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b3b619a89a4284" /></Relationships>
</file>

<file path=xl/workbook.xml><?xml version="1.0" encoding="utf-8"?>
<x:workbook xmlns:x="http://schemas.openxmlformats.org/spreadsheetml/2006/main">
  <x:sheets>
    <x:sheet xmlns:r="http://schemas.openxmlformats.org/officeDocument/2006/relationships" name="都广核心区总表" sheetId="1" r:id="R5ae95f1eb6e44f93"/>
    <x:sheet xmlns:r="http://schemas.openxmlformats.org/officeDocument/2006/relationships" name="坐标棋盘图" sheetId="2" r:id="R6d0121a6373443f3"/>
    <x:sheet xmlns:r="http://schemas.openxmlformats.org/officeDocument/2006/relationships" name="山海经原文总库" sheetId="3" r:id="R86fd4bf7e1fc462f"/>
  </x:sheets>
</x:workbook>
</file>

<file path=xl/sharedStrings.xml><?xml version="1.0" encoding="utf-8"?>
<x:sst xmlns:x="http://schemas.openxmlformats.org/spreadsheetml/2006/main">
  <x:si>
    <x:t xml:space="preserve">制图原点</x:t>
  </x:si>
  <x:si>
    <x:t xml:space="preserve">都广之野中心 =（0，0）；东为X正，北为Y正。缺项留空。</x:t>
  </x:si>
  <x:si>
    <x:t xml:space="preserve">固定比例尺</x:t>
  </x:si>
  <x:si>
    <x:t xml:space="preserve">1个棋盘大格 = 100文本里。坐标第一列同时显示“里坐标”和“棋盘格坐标”。</x:t>
  </x:si>
  <x:si>
    <x:t xml:space="preserve">无里数关系</x:t>
  </x:si>
  <x:si>
    <x:t xml:space="preserve">原文只给方向而没有里数时，暂按最小邻接100里落格；若对象有明确面积，则优先用面积避免区域互相覆盖。</x:t>
  </x:si>
  <x:si>
    <x:t xml:space="preserve">《海内南经》</x:t>
  </x:si>
  <x:si>
    <x:t xml:space="preserve">《海内西经》</x:t>
  </x:si>
  <x:si>
    <x:t xml:space="preserve">混合引用以“所属经篇”中排在最前的《山海经》篇章作为整行主色；其他古籍只作证据，不另设底色。</x:t>
  </x:si>
  <x:si>
    <x:t xml:space="preserve">基础信息</x:t>
  </x:si>
  <x:si>
    <x:t xml:space="preserve">坐标信息</x:t>
  </x:si>
  <x:si>
    <x:t xml:space="preserve">地点内部内容</x:t>
  </x:si>
  <x:si>
    <x:t xml:space="preserve">原典与考据</x:t>
  </x:si>
  <x:si>
    <x:t xml:space="preserve">设定与推导</x:t>
  </x:si>
  <x:si>
    <x:r>
      <x:rPr>
        <x:b/>
        <x:sz val="9"/>
        <x:color rgb="FFFFFFFF"/>
        <x:rFont val="Carlito"/>
      </x:rPr>
      <x:t xml:space="preserve"> X</x:t>
    </x:r>
    <x:r>
      <x:rPr>
        <x:b/>
        <x:sz val="9"/>
        <x:color rgb="FFFFFFFF"/>
        <x:rFont val="宋体"/>
      </x:rPr>
      <x:t xml:space="preserve">、</x:t>
    </x:r>
    <x:r>
      <x:rPr>
        <x:b/>
        <x:sz val="9"/>
        <x:color rgb="FFFFFFFF"/>
        <x:rFont val="Carlito"/>
      </x:rPr>
      <x:t xml:space="preserve">Y</x:t>
    </x:r>
    <x:r>
      <x:rPr>
        <x:b/>
        <x:sz val="9"/>
        <x:color rgb="FFFFFFFF"/>
        <x:rFont val="宋体"/>
      </x:rPr>
      <x:t xml:space="preserve">坐标</x:t>
    </x:r>
  </x:si>
  <x:si>
    <x:r>
      <x:rPr>
        <x:b/>
        <x:sz val="9"/>
        <x:color rgb="FFFFFFFF"/>
        <x:rFont val="Carlito"/>
      </x:rPr>
      <x:t xml:space="preserve"> </x:t>
    </x:r>
    <x:r>
      <x:rPr>
        <x:b/>
        <x:sz val="9"/>
        <x:color rgb="FFFFFFFF"/>
        <x:rFont val="宋体"/>
      </x:rPr>
      <x:t xml:space="preserve">地名</x:t>
    </x:r>
  </x:si>
  <x:si>
    <x:t xml:space="preserve">类型</x:t>
  </x:si>
  <x:si>
    <x:t xml:space="preserve">所属经篇</x:t>
  </x:si>
  <x:si>
    <x:t xml:space="preserve">所属区域／山系</x:t>
  </x:si>
  <x:si>
    <x:t xml:space="preserve">相对都广方向</x:t>
  </x:si>
  <x:si>
    <x:t xml:space="preserve">距都广距离（里）</x:t>
  </x:si>
  <x:si>
    <x:t xml:space="preserve">直接参照地和原文方向</x:t>
  </x:si>
  <x:si>
    <x:r>
      <x:rPr>
        <x:b/>
        <x:sz val="9"/>
        <x:color rgb="FFFFFFFF"/>
        <x:rFont val="Carlito"/>
      </x:rPr>
      <x:t xml:space="preserve"> </x:t>
    </x:r>
    <x:r>
      <x:rPr>
        <x:b/>
        <x:sz val="9"/>
        <x:color rgb="FFFFFFFF"/>
        <x:rFont val="宋体"/>
      </x:rPr>
      <x:t xml:space="preserve">原文距离</x:t>
    </x:r>
  </x:si>
  <x:si>
    <x:t xml:space="preserve">坐标性质</x:t>
  </x:si>
  <x:si>
    <x:t xml:space="preserve">锁定状态</x:t>
  </x:si>
  <x:si>
    <x:t xml:space="preserve">对象范围／占地</x:t>
  </x:si>
  <x:si>
    <x:t xml:space="preserve">地貌</x:t>
  </x:si>
  <x:si>
    <x:t xml:space="preserve">水系</x:t>
  </x:si>
  <x:si>
    <x:t xml:space="preserve">植物</x:t>
  </x:si>
  <x:si>
    <x:t xml:space="preserve">动物</x:t>
  </x:si>
  <x:si>
    <x:t xml:space="preserve">矿物</x:t>
  </x:si>
  <x:si>
    <x:r>
      <x:rPr>
        <x:b/>
        <x:sz val="9"/>
        <x:color rgb="FFFFFFFF"/>
        <x:rFont val="Carlito"/>
      </x:rPr>
      <x:t xml:space="preserve"> </x:t>
    </x:r>
    <x:r>
      <x:rPr>
        <x:b/>
        <x:sz val="9"/>
        <x:color rgb="FFFFFFFF"/>
        <x:rFont val="宋体"/>
      </x:rPr>
      <x:t xml:space="preserve">野兽</x:t>
    </x:r>
  </x:si>
  <x:si>
    <x:t xml:space="preserve">怪物／异兽</x:t>
  </x:si>
  <x:si>
    <x:t xml:space="preserve">人物</x:t>
  </x:si>
  <x:si>
    <x:t xml:space="preserve">神祇</x:t>
  </x:si>
  <x:si>
    <x:t xml:space="preserve">族群居民</x:t>
  </x:si>
  <x:si>
    <x:t xml:space="preserve">外形特征</x:t>
  </x:si>
  <x:si>
    <x:t xml:space="preserve">能力／功效／征兆</x:t>
  </x:si>
  <x:si>
    <x:t xml:space="preserve">事件</x:t>
  </x:si>
  <x:si>
    <x:t xml:space="preserve">原文段落／跳转</x:t>
  </x:si>
  <x:si>
    <x:t xml:space="preserve">全书同名检索</x:t>
  </x:si>
  <x:si>
    <x:t xml:space="preserve">古注</x:t>
  </x:si>
  <x:si>
    <x:t xml:space="preserve">其他古籍</x:t>
  </x:si>
  <x:si>
    <x:t xml:space="preserve">异文</x:t>
  </x:si>
  <x:si>
    <x:r>
      <x:rPr>
        <x:b/>
        <x:sz val="9"/>
        <x:color rgb="FFFFFFFF"/>
        <x:rFont val="Carlito"/>
      </x:rPr>
      <x:t xml:space="preserve"> </x:t>
    </x:r>
    <x:r>
      <x:rPr>
        <x:b/>
        <x:sz val="9"/>
        <x:color rgb="FFFFFFFF"/>
        <x:rFont val="宋体"/>
      </x:rPr>
      <x:t xml:space="preserve">现代考证</x:t>
    </x:r>
  </x:si>
  <x:si>
    <x:t xml:space="preserve">常见定位说</x:t>
  </x:si>
  <x:si>
    <x:t xml:space="preserve">百度／维基补充</x:t>
  </x:si>
  <x:si>
    <x:t xml:space="preserve">误传辨析</x:t>
  </x:si>
  <x:si>
    <x:r>
      <x:rPr>
        <x:b/>
        <x:sz val="9"/>
        <x:color rgb="FFFFFFFF"/>
        <x:rFont val="宋体"/>
      </x:rPr>
      <x:t xml:space="preserve">来源</x:t>
    </x:r>
    <x:r>
      <x:rPr>
        <x:b/>
        <x:sz val="9"/>
        <x:color rgb="FFFFFFFF"/>
        <x:rFont val="Carlito"/>
      </x:rPr>
      <x:t xml:space="preserve"> URL</x:t>
    </x:r>
  </x:si>
  <x:si>
    <x:t xml:space="preserve">X=0里，Y=0里（0，0格）</x:t>
  </x:si>
  <x:si>
    <x:t xml:space="preserve">建木</x:t>
  </x:si>
  <x:si>
    <x:t xml:space="preserve">神木／天地轴</x:t>
  </x:si>
  <x:si>
    <x:t xml:space="preserve">《海内经》《海内南经》；《淮南子》</x:t>
  </x:si>
  <x:si>
    <x:t xml:space="preserve">都广00核心区／九丘</x:t>
  </x:si>
  <x:si>
    <x:t xml:space="preserve">中央</x:t>
  </x:si>
  <x:si>
    <x:t xml:space="preserve">直接参照地：都广之野；九丘；窫窳
原文方向：在都广；在窫窳西、弱水上</x:t>
  </x:si>
  <x:si>
    <x:t xml:space="preserve">跨篇硬关系；与都广中心重合</x:t>
  </x:si>
  <x:si>
    <x:t xml:space="preserve">核心关系锁定</x:t>
  </x:si>
  <x:si>
    <x:t xml:space="preserve">点状神木；垂直高度百仞；位于九丘系统</x:t>
  </x:si>
  <x:si>
    <x:t xml:space="preserve">九丘水网中的中央通天结构</x:t>
  </x:si>
  <x:si>
    <x:t xml:space="preserve">位于弱水相关区域；九丘以水相络</x:t>
  </x:si>
  <x:si>
    <x:t xml:space="preserve">青叶、紫茎、玄华、黄实；果如麻/栾，叶如芒/罗</x:t>
  </x:si>
  <x:si>
    <x:t xml:space="preserve">大皞；黄帝；众帝</x:t>
  </x:si>
  <x:si>
    <x:t xml:space="preserve">黄帝（创造/施为者）；众帝经此上下</x:t>
  </x:si>
  <x:si>
    <x:t xml:space="preserve">一说状如牛，可牵剥其皮如冠缨、黄蛇；百仞无枝，上有九欘，下有九枸</x:t>
  </x:si>
  <x:si>
    <x:t xml:space="preserve">能力：作为天地通道；众帝由此上下；日中无影，呼而无响（《淮南子》）
功效：连接天界与人间</x:t>
  </x:si>
  <x:si>
    <x:t xml:space="preserve">事件：大皞“爰过”；黄帝所为</x:t>
  </x:si>
  <x:si>
    <x:t xml:space="preserve">《海内南经》另给一套更具动物性的树形描写；一般视为同一建木的异貌</x:t>
  </x:si>
  <x:si>
    <x:t xml:space="preserve">郭璞将“黄帝所为”解为治护；袁珂认为应解为黄帝造作。袁珂又把大皞“爰过”解释为沿树上下</x:t>
  </x:si>
  <x:si>
    <x:t xml:space="preserve">《淮南子》明确：建木在都广，众帝所自上下，盖天地之中</x:t>
  </x:si>
  <x:si>
    <x:t xml:space="preserve">叶如芒/罗；果如麻/栾；大皞“爰过”是普通经过还是升降，解释不同</x:t>
  </x:si>
  <x:si>
    <x:t xml:space="preserve">常解释为世界树或天梯；袁珂强调它是古籍中明确承担登天功能的树</x:t>
  </x:si>
  <x:si>
    <x:t xml:space="preserve">常与古蜀神树崇拜联系，但缺乏可直接闭合的原典地理证明</x:t>
  </x:si>
  <x:si>
    <x:t xml:space="preserve">维基百科概括为众神登天的梯子，并汇集两篇经文的形貌</x:t>
  </x:si>
  <x:si>
    <x:t xml:space="preserve">不能把建木直接等同三星堆青铜神树；也不能把“黄帝所为”唯一解释成园艺养护</x:t>
  </x:si>
  <x:si>
    <x:t xml:space="preserve">其他关系：与九丘结构对应；在窫窳西；氐人国又在其西
背景故事：都广解决地表生养，建木解决天地交通。九曲树冠与盘根对应九丘，形成上下贯通的中央圣地
视觉灵感备注：主体几乎无横枝，顶端九条回曲结构、地下九组盘根；正午无影、树下无回声，以环水九丘强化中央寂静
推导思路关联：《淮南子》直接把建木置于都广，故同为(0,0)。建木是点状轴心，可以与区域对象都广、九丘共享坐标。</x:t>
  </x:si>
  <x:si>
    <x:t xml:space="preserve">https://ctext.org/shan-hai-jing/hai-nei-jing/zh
https://ctext.org/shan-hai-jing/hai-nei-nan-jing/zh
https://ctext.org/huainanzi/di-xing-xun/zh
https://ctext.org/wiki.pl?chapter=714485&amp;if=gb
https://zh.wikipedia.org/wiki/建木</x:t>
  </x:si>
  <x:si>
    <x:t xml:space="preserve">九丘水络（未名水系）</x:t>
  </x:si>
  <x:si>
    <x:t xml:space="preserve">水系／环络网络</x:t>
  </x:si>
  <x:si>
    <x:t xml:space="preserve">《海内经》</x:t>
  </x:si>
  <x:si>
    <x:t xml:space="preserve">九丘／都广00核心区</x:t>
  </x:si>
  <x:si>
    <x:t xml:space="preserve">直接参照地：九丘（整体）
原文关系：以水络之</x:t>
  </x:si>
  <x:si>
    <x:t xml:space="preserve">原文关系＋线网布局</x:t>
  </x:si>
  <x:si>
    <x:t xml:space="preserve">关系锁定；线型未锁</x:t>
  </x:si>
  <x:si>
    <x:t xml:space="preserve">线型对象，覆盖九丘3×3格</x:t>
  </x:si>
  <x:si>
    <x:t xml:space="preserve">水环绕或连通九丘</x:t>
  </x:si>
  <x:si>
    <x:t xml:space="preserve">郭璞：“络犹绕也。”</x:t>
  </x:si>
  <x:si>
    <x:t xml:space="preserve">不得把该水络直接命名为黑水、弱水或若水。</x:t>
  </x:si>
  <x:si>
    <x:t xml:space="preserve">以(0,0)作为线网代表坐标；棋盘图只标环络范围，不添加原文没有的流向箭头。</x:t>
  </x:si>
  <x:si>
    <x:t xml:space="preserve">https://ctext.org/shan-hai-jing/hai-nei-jing/zh
https://zh.wikisource.org/wiki/山海經_(四庫全書本)/卷18</x:t>
  </x:si>
  <x:si>
    <x:t xml:space="preserve">X=-100里，Y=+100里（-1，+1格）</x:t>
  </x:si>
  <x:si>
    <x:t xml:space="preserve">陶唐之丘</x:t>
  </x:si>
  <x:si>
    <x:t xml:space="preserve">丘</x:t>
  </x:si>
  <x:si>
    <x:t xml:space="preserve">西北</x:t>
  </x:si>
  <x:si>
    <x:t xml:space="preserve">直接参照地：九丘（整体）</x:t>
  </x:si>
  <x:si>
    <x:t xml:space="preserve">项目九宫格布局</x:t>
  </x:si>
  <x:si>
    <x:t xml:space="preserve">布局锁定，可随新证据整体重排</x:t>
  </x:si>
  <x:si>
    <x:t xml:space="preserve">100×100里单格模型</x:t>
  </x:si>
  <x:si>
    <x:t xml:space="preserve">丘陵</x:t>
  </x:si>
  <x:si>
    <x:t xml:space="preserve">九丘之间以水连接/环绕</x:t>
  </x:si>
  <x:si>
    <x:t xml:space="preserve">陶唐/尧</x:t>
  </x:si>
  <x:si>
    <x:t xml:space="preserve">除昆吾等名称外，多数不见《山海经》其他独立地理条目</x:t>
  </x:si>
  <x:si>
    <x:t xml:space="preserve">陶唐即尧号</x:t>
  </x:si>
  <x:si>
    <x:t xml:space="preserve">应依九丘整体与名称语义谨慎处理</x:t>
  </x:si>
  <x:si>
    <x:t xml:space="preserve">不能因名称熟悉就并入尧都、昆吾氏故国或星宿体系；需等待跨篇证据</x:t>
  </x:si>
  <x:si>
    <x:t xml:space="preserve">其他关系：与建木根系、环水系统共享核心区域
背景故事：帝尧/陶唐的政治记忆
视觉灵感备注：古帝号命名的西北丘；可画礼制高台
推导思路关联：九丘原文不载内部方向。按项目九宫格规则，经文列举第1名落在西北格；纯制图布局，不是原文方位。</x:t>
  </x:si>
  <x:si>
    <x:t xml:space="preserve">https://ctext.org/shan-hai-jing/hai-nei-jing/zh
https://zh.wikisource.org/zh-hans/山海經/海內經
https://ctext.org/wiki.pl?chapter=714485&amp;if=gb</x:t>
  </x:si>
  <x:si>
    <x:t xml:space="preserve">X=0里，Y=+100里（0，+1格）</x:t>
  </x:si>
  <x:si>
    <x:t xml:space="preserve">叔得之丘</x:t>
  </x:si>
  <x:si>
    <x:t xml:space="preserve">北</x:t>
  </x:si>
  <x:si>
    <x:t xml:space="preserve">叔得</x:t>
  </x:si>
  <x:si>
    <x:t xml:space="preserve">郝懿行认为叔得可能是人名号</x:t>
  </x:si>
  <x:si>
    <x:t xml:space="preserve">其他关系：与建木根系、环水系统共享核心区域
背景故事：失传首领或神人名号
视觉灵感备注：北丘，以水道环抱的古王陵丘
推导思路关联：九丘原文不载内部方向。按项目九宫格规则，经文列举第2名落在北格；纯制图布局，不是原文方位。</x:t>
  </x:si>
  <x:si>
    <x:t xml:space="preserve">X=+100里，Y=+100里（+1，+1格）</x:t>
  </x:si>
  <x:si>
    <x:t xml:space="preserve">孟盈之丘</x:t>
  </x:si>
  <x:si>
    <x:t xml:space="preserve">东北</x:t>
  </x:si>
  <x:si>
    <x:t xml:space="preserve">孟盈</x:t>
  </x:si>
  <x:si>
    <x:t xml:space="preserve">郝懿行认为孟盈可能是人名号，或作盖盈</x:t>
  </x:si>
  <x:si>
    <x:t xml:space="preserve">其他关系：与建木根系、环水系统共享核心区域
背景故事：古天子或人物名号地名化
视觉灵感备注：东北丘，突出古族徽记但不虚构具体生物
推导思路关联：九丘原文不载内部方向。按项目九宫格规则，经文列举第3名落在东北格；纯制图布局，不是原文方位。</x:t>
  </x:si>
  <x:si>
    <x:t xml:space="preserve">X=-100里，Y=0里（-1，0格）</x:t>
  </x:si>
  <x:si>
    <x:t xml:space="preserve">昆吾之丘</x:t>
  </x:si>
  <x:si>
    <x:t xml:space="preserve">西</x:t>
  </x:si>
  <x:si>
    <x:t xml:space="preserve">名金传统</x:t>
  </x:si>
  <x:si>
    <x:t xml:space="preserve">昆吾</x:t>
  </x:si>
  <x:si>
    <x:t xml:space="preserve">郭璞称此山出名金；昆吾亦见古诸侯与其他山名</x:t>
  </x:si>
  <x:si>
    <x:t xml:space="preserve">其他关系：与建木根系、环水系统共享核心区域
背景故事：矿冶与昆吾氏传说接口
视觉灵感备注：西丘画金属矿脉与古冶炼痕迹
推导思路关联：九丘原文不载内部方向。按项目九宫格规则，经文列举第4名落在西格；纯制图布局，不是原文方位。</x:t>
  </x:si>
  <x:si>
    <x:t xml:space="preserve">黑白之丘</x:t>
  </x:si>
  <x:si>
    <x:t xml:space="preserve">其他关系：与建木根系、环水系统共享核心区域
背景故事：可能反映双色土石或阴阳分区，仅作灵感
视觉灵感备注：中心丘与建木重合，可画黑白双层岩盘
推导思路关联：九丘原文不载内部方向。按项目九宫格规则，经文列举第5名落在中央格；纯制图布局，不是原文方位。</x:t>
  </x:si>
  <x:si>
    <x:t xml:space="preserve">X=+100里，Y=0里（+1，0格）</x:t>
  </x:si>
  <x:si>
    <x:t xml:space="preserve">赤望之丘</x:t>
  </x:si>
  <x:si>
    <x:t xml:space="preserve">东</x:t>
  </x:si>
  <x:si>
    <x:t xml:space="preserve">其他关系：与建木根系、环水系统共享核心区域
背景故事：可启发赤色远眺台地
视觉灵感备注：东丘以赤色岩面与开阔视野表现
推导思路关联：九丘原文不载内部方向。按项目九宫格规则，经文列举第6名落在东格；纯制图布局，不是原文方位。</x:t>
  </x:si>
  <x:si>
    <x:t xml:space="preserve">X=-100里，Y=-100里（-1，-1格）</x:t>
  </x:si>
  <x:si>
    <x:t xml:space="preserve">参卫之丘</x:t>
  </x:si>
  <x:si>
    <x:t xml:space="preserve">西南</x:t>
  </x:si>
  <x:si>
    <x:t xml:space="preserve">其他关系：与建木根系、环水系统共享核心区域
背景故事：名称或与守卫、人名、星名有关，未定
视觉灵感备注：西南丘设计为守卫水口的双峰
推导思路关联：九丘原文不载内部方向。按项目九宫格规则，经文列举第7名落在西南格；纯制图布局，不是原文方位。</x:t>
  </x:si>
  <x:si>
    <x:t xml:space="preserve">X=0里，Y=-100里（0，-1格）</x:t>
  </x:si>
  <x:si>
    <x:t xml:space="preserve">武夫之丘</x:t>
  </x:si>
  <x:si>
    <x:t xml:space="preserve">南</x:t>
  </x:si>
  <x:si>
    <x:t xml:space="preserve">美石传统</x:t>
  </x:si>
  <x:si>
    <x:t xml:space="preserve">郭璞称此山出美石；袁珂联系似玉的武夫石</x:t>
  </x:si>
  <x:si>
    <x:t xml:space="preserve">其他关系：与建木根系、环水系统共享核心区域
背景故事：优质石材与玉质岩层产地
视觉灵感备注：南丘画温润美石与采石断面
推导思路关联：九丘原文不载内部方向。按项目九宫格规则，经文列举第8名落在南格；纯制图布局，不是原文方位。</x:t>
  </x:si>
  <x:si>
    <x:t xml:space="preserve">X=+100里，Y=-100里（+1，-1格）</x:t>
  </x:si>
  <x:si>
    <x:t xml:space="preserve">神民之丘</x:t>
  </x:si>
  <x:si>
    <x:t xml:space="preserve">东南</x:t>
  </x:si>
  <x:si>
    <x:t xml:space="preserve">神人/神民</x:t>
  </x:si>
  <x:si>
    <x:t xml:space="preserve">郭璞称上有神人；异本作神人之丘</x:t>
  </x:si>
  <x:si>
    <x:t xml:space="preserve">神民/神人</x:t>
  </x:si>
  <x:si>
    <x:t xml:space="preserve">其他关系：与建木根系、环水系统共享核心区域
背景故事：神人/祭司居丘
视觉灵感备注：东南丘设置少量神人居所或祭坛
推导思路关联：九丘原文不载内部方向。按项目九宫格规则，经文列举第9名落在东南格；纯制图布局，不是原文方位。</x:t>
  </x:si>
  <x:si>
    <x:t xml:space="preserve">后稷之葬</x:t>
  </x:si>
  <x:si>
    <x:t xml:space="preserve">墓葬／农业圣域</x:t>
  </x:si>
  <x:si>
    <x:t xml:space="preserve">《海内经》《海内西经》</x:t>
  </x:si>
  <x:si>
    <x:t xml:space="preserve">都广00核心区西部</x:t>
  </x:si>
  <x:si>
    <x:t xml:space="preserve">山水环抱的墓葬圣地</x:t>
  </x:si>
  <x:si>
    <x:t xml:space="preserve">山水环之</x:t>
  </x:si>
  <x:si>
    <x:t xml:space="preserve">与都广百谷生态相连</x:t>
  </x:si>
  <x:si>
    <x:t xml:space="preserve">后稷</x:t>
  </x:si>
  <x:si>
    <x:t xml:space="preserve">帝俊系农业神话中的谷神/农神</x:t>
  </x:si>
  <x:si>
    <x:t xml:space="preserve">能力：降百谷、播百谷（见《大荒西经》）
功效：农业丰收与谷物传播</x:t>
  </x:si>
  <x:si>
    <x:t xml:space="preserve">事件：后稷葬于都广；另有槐江山大泽“后稷所潜”的异传</x:t>
  </x:si>
  <x:si>
    <x:t xml:space="preserve">《西山经》另有后稷“所潜”的大泽；不是同一句地理记载</x:t>
  </x:si>
  <x:si>
    <x:t xml:space="preserve">郭璞明确注“在广都之野”；袁珂串联都广—建木—氐人—后稷</x:t>
  </x:si>
  <x:si>
    <x:t xml:space="preserve">《大荒西经》：帝俊生后稷，稷降以百谷；《淮南子》：后稷垄在建木西</x:t>
  </x:si>
  <x:si>
    <x:t xml:space="preserve">都广/广都；“葬”与“潜”形成不同死后神话</x:t>
  </x:si>
  <x:si>
    <x:t xml:space="preserve">农业祖神的墓葬处于永生丰饶之野，可能反映谷物神死而复生的周期象征</x:t>
  </x:si>
  <x:si>
    <x:t xml:space="preserve">杨慎等将广都、后稷葬地联系成都—双流一带，属后世解释</x:t>
  </x:si>
  <x:si>
    <x:t xml:space="preserve">百科常将后稷概括为周人始祖和农神；本表保留帝俊血统与百谷神话</x:t>
  </x:si>
  <x:si>
    <x:t xml:space="preserve">https://ctext.org/shan-hai-jing/hai-nei-jing/zh
https://ctext.org/shan-hai-jing/hai-nei-xi-jing/zh
https://ctext.org/wiki.pl?chapter=815632&amp;if=gb
https://ctext.org/shan-hai-jing/da-huang-xi-jing/zhs
https://zh.wikisource.org/zh-hans/山海經_(四庫全書本)/卷18</x:t>
  </x:si>
  <x:si>
    <x:t xml:space="preserve">氐人国</x:t>
  </x:si>
  <x:si>
    <x:t xml:space="preserve">国／水族聚落</x:t>
  </x:si>
  <x:si>
    <x:t xml:space="preserve">直接参照地：建木；后稷之葬
原文方向：在建木西；后稷葬又在其西</x:t>
  </x:si>
  <x:si>
    <x:t xml:space="preserve">原文方向＋项目距离</x:t>
  </x:si>
  <x:si>
    <x:t xml:space="preserve">以单格中心表示</x:t>
  </x:si>
  <x:si>
    <x:t xml:space="preserve">水域型聚落或滨水国</x:t>
  </x:si>
  <x:si>
    <x:t xml:space="preserve">原文未指明具体水名；居民身体水生化</x:t>
  </x:si>
  <x:si>
    <x:t xml:space="preserve">氐人：人面鱼身，无足</x:t>
  </x:si>
  <x:si>
    <x:t xml:space="preserve">人面、鱼身、无足</x:t>
  </x:si>
  <x:si>
    <x:t xml:space="preserve">能力：水中浮游；郭璞图赞另赋予死而复苏、托云雨等意象</x:t>
  </x:si>
  <x:si>
    <x:t xml:space="preserve">事件：作为建木西与后稷葬东之间的中间国家</x:t>
  </x:si>
  <x:si>
    <x:t xml:space="preserve">《海内西经》作“氐国”，一般与氐人国合并</x:t>
  </x:si>
  <x:si>
    <x:t xml:space="preserve">郭璞本经无关键补充；《图赞》称“炎帝之苗，实生氐人”，属于诗性扩写</x:t>
  </x:si>
  <x:si>
    <x:t xml:space="preserve">后世常与氐羌族群联系，但鱼身无足首先是神话族形</x:t>
  </x:si>
  <x:si>
    <x:t xml:space="preserve">氐国/氐人国</x:t>
  </x:si>
  <x:si>
    <x:t xml:space="preserve">可视为中央神木西侧的水生族群接口，缺少可靠现代民族学对应</x:t>
  </x:si>
  <x:si>
    <x:t xml:space="preserve">有附会为西南氐羌先民的说法，证据不足</x:t>
  </x:si>
  <x:si>
    <x:t xml:space="preserve">百科通常复述人面鱼身无足，独立故事很少</x:t>
  </x:si>
  <x:si>
    <x:t xml:space="preserve">其他关系：《海内西经》作“氐国”，袁珂认为即氐人国省称
背景故事：氐人国让都广中心与水生族群直接接壤，是农业圣地与水域文明之间的中继节点
视觉灵感备注：半水上聚落、深水廊道、无腿鱼身居民；不擅加鱼尾颜色与社会制度
推导思路关联：《海内南经》只说明在建木西，按最小邻接置(-100,0)；又由后稷葬在氐国西形成连续东西轴。</x:t>
  </x:si>
  <x:si>
    <x:t xml:space="preserve">https://ctext.org/shan-hai-jing/hai-nei-nan-jing/zh
https://ctext.org/shan-hai-jing/hai-nei-xi-jing/zh
https://ctext.org/wiki.pl?chapter=815632&amp;if=gb
https://zh.wikisource.org/wiki/全晉文/卷一百二十三</x:t>
  </x:si>
  <x:si>
    <x:t xml:space="preserve">X=-400里，Y=0里（-4，0格）</x:t>
  </x:si>
  <x:si>
    <x:t xml:space="preserve">巴遂山</x:t>
  </x:si>
  <x:si>
    <x:t xml:space="preserve">山</x:t>
  </x:si>
  <x:si>
    <x:t xml:space="preserve">流黄酆氏国／流黄辛氏国</x:t>
  </x:si>
  <x:si>
    <x:t xml:space="preserve">直接参照地：流黄国
原文关系：《海内经》称国中有巴遂山；《海内西经》称国中有山</x:t>
  </x:si>
  <x:si>
    <x:t xml:space="preserve">跨篇同国关系推导</x:t>
  </x:si>
  <x:si>
    <x:t xml:space="preserve">国域内部关系锁定</x:t>
  </x:si>
  <x:si>
    <x:t xml:space="preserve">山体点位；面积无数值</x:t>
  </x:si>
  <x:si>
    <x:t xml:space="preserve">流黄国中央山地</x:t>
  </x:si>
  <x:si>
    <x:t xml:space="preserve">澠水发源</x:t>
  </x:si>
  <x:si>
    <x:t xml:space="preserve">《海内西经》只写“中有山”；因郭璞认辛氏即酆氏，本表将该中央山与巴遂山合并为同一候选。</x:t>
  </x:si>
  <x:si>
    <x:t xml:space="preserve">郭璞注流黄辛氏：“即酆氏也。”</x:t>
  </x:si>
  <x:si>
    <x:t xml:space="preserve">巴遂山；巴邃山等后世转写需逐本核对。</x:t>
  </x:si>
  <x:si>
    <x:t xml:space="preserve">“中有山”与巴遂山的合并属于跨篇推导，不是同一句正文直接命名。</x:t>
  </x:si>
  <x:si>
    <x:t xml:space="preserve">不能把流黄国中央山必然等同现实巴山。</x:t>
  </x:si>
  <x:si>
    <x:t xml:space="preserve">流黄国中心为(-400,0)；巴遂山作为国中核心山与国中心叠置。</x:t>
  </x:si>
  <x:si>
    <x:t xml:space="preserve">https://ctext.org/shan-hai-jing/hai-nei-jing/zh
https://ctext.org/shan-hai-jing/hai-nei-xi-jing/zh
https://zh.wikisource.org/wiki/山海經_(四庫全書本)/卷18
https://ctext.org/wiki.pl?chapter=714485&amp;if=gb</x:t>
  </x:si>
  <x:si>
    <x:t xml:space="preserve">澠水（巴遂源段）</x:t>
  </x:si>
  <x:si>
    <x:t xml:space="preserve">河流源点</x:t>
  </x:si>
  <x:si>
    <x:t xml:space="preserve">巴遂山／流黄国</x:t>
  </x:si>
  <x:si>
    <x:t xml:space="preserve">直接参照地：巴遂山
原文关系：澠水出焉</x:t>
  </x:si>
  <x:si>
    <x:t xml:space="preserve">源点同巴遂山</x:t>
  </x:si>
  <x:si>
    <x:t xml:space="preserve">原文源点锁定</x:t>
  </x:si>
  <x:si>
    <x:t xml:space="preserve">源点锁定；河道待接续</x:t>
  </x:si>
  <x:si>
    <x:t xml:space="preserve">线型水系；本坐标为源头</x:t>
  </x:si>
  <x:si>
    <x:t xml:space="preserve">巴遂山山地源区</x:t>
  </x:si>
  <x:si>
    <x:t xml:space="preserve">自巴遂山发源</x:t>
  </x:si>
  <x:si>
    <x:t xml:space="preserve">《北山经》另有澠水，不得自动合并。</x:t>
  </x:si>
  <x:si>
    <x:t xml:space="preserve">澠水／繩水。袁珂据《水经注》引文主张本处“澠”应作“繩”。</x:t>
  </x:si>
  <x:si>
    <x:t xml:space="preserve">是否可接入若水、弱水等西南水系，需要等待《水经注》与全书水系闭合。</x:t>
  </x:si>
  <x:si>
    <x:t xml:space="preserve">本条正文没有记载流向，棋盘图不画下游箭头。</x:t>
  </x:si>
  <x:si>
    <x:t xml:space="preserve">源点与巴遂山同为(-400,0)；河流以后作为独立线型模块向外延伸。</x:t>
  </x:si>
  <x:si>
    <x:t xml:space="preserve">https://ctext.org/shan-hai-jing/hai-nei-jing/zh
https://zh.wikisource.org/wiki/山海經_(四庫全書本)/卷18
https://ctext.org/wiki.pl?chapter=714485&amp;if=gb</x:t>
  </x:si>
  <x:si>
    <x:t xml:space="preserve">窫窳</x:t>
  </x:si>
  <x:si>
    <x:t xml:space="preserve">异兽／神尸转化体</x:t>
  </x:si>
  <x:si>
    <x:t xml:space="preserve">《海内经》《海内南经》《海内西经》《北山经》</x:t>
  </x:si>
  <x:si>
    <x:t xml:space="preserve">都广00核心区东部／弱水</x:t>
  </x:si>
  <x:si>
    <x:t xml:space="preserve">直接参照地：建木；弱水；狌狌
原文方向：建木在窫窳西；窫窳居弱水中；窫窳在狌狌西</x:t>
  </x:si>
  <x:si>
    <x:t xml:space="preserve">反向方位硬约束＋项目距离</x:t>
  </x:si>
  <x:si>
    <x:t xml:space="preserve">点状活动核心；弱水中</x:t>
  </x:si>
  <x:si>
    <x:t xml:space="preserve">弱水水域中的危险生物锚点</x:t>
  </x:si>
  <x:si>
    <x:t xml:space="preserve">居弱水中</x:t>
  </x:si>
  <x:si>
    <x:t xml:space="preserve">食人；不同篇有龙首、蛇身人面、牛状赤身等形貌</x:t>
  </x:si>
  <x:si>
    <x:t xml:space="preserve">窫窳；贰负与危；六巫</x:t>
  </x:si>
  <x:si>
    <x:t xml:space="preserve">原为神性存在，后成为食人异兽</x:t>
  </x:si>
  <x:si>
    <x:t xml:space="preserve">龙首；蛇身人面之尸；牛状赤身、人面马足，版本互异</x:t>
  </x:si>
  <x:si>
    <x:t xml:space="preserve">能力：食人；复生/变形
功效：不死药使其复苏或转化的传统
征兆：构成水域食人危险</x:t>
  </x:si>
  <x:si>
    <x:t xml:space="preserve">事件：贰负与危杀窫窳；六巫夹尸持不死药；复活后形貌变化并居弱水</x:t>
  </x:si>
  <x:si>
    <x:t xml:space="preserve">多篇异貌：蛇身人面、龙首、牛状赤身人面马足；名称又作猰貐等</x:t>
  </x:si>
  <x:si>
    <x:t xml:space="preserve">郭璞解释其本蛇身人面，被贰负之臣所杀，复化而成食人怪物</x:t>
  </x:si>
  <x:si>
    <x:t xml:space="preserve">《海内西经》六巫持不死药围尸；《淮南子》又有羿诛窫窳版本</x:t>
  </x:si>
  <x:si>
    <x:t xml:space="preserve">窫窳、猰貐、䝟貐等多种写法；形貌版本冲突</x:t>
  </x:si>
  <x:si>
    <x:t xml:space="preserve">典型“死亡—药物复生—形态退化”的神话复合体</x:t>
  </x:si>
  <x:si>
    <x:t xml:space="preserve">百科常整合成被害神兽、复活变怪物、最终被羿射杀；这是多篇拼接</x:t>
  </x:si>
  <x:si>
    <x:t xml:space="preserve">建木为(0,0)；原文先锁窫窳在建木东、狌狌西，按无里数关系最小邻接置(100,0)，并与弱水核心段共享坐标。</x:t>
  </x:si>
  <x:si>
    <x:t xml:space="preserve">https://ctext.org/shan-hai-jing/hai-nei-jing/zh
https://ctext.org/shan-hai-jing/hai-nei-nan-jing/zh
https://ctext.org/shan-hai-jing/hai-nei-xi-jing/zhs
https://ctext.org/wiki.pl?chapter=616148&amp;if=gb
https://ctext.org/wiki.pl?chapter=815632&amp;if=gb</x:t>
  </x:si>
  <x:si>
    <x:t xml:space="preserve">弱水（都广核心段）</x:t>
  </x:si>
  <x:si>
    <x:t xml:space="preserve">河流／水域</x:t>
  </x:si>
  <x:si>
    <x:t xml:space="preserve">《海内南经》；全书多篇</x:t>
  </x:si>
  <x:si>
    <x:t xml:space="preserve">都广00核心区东部</x:t>
  </x:si>
  <x:si>
    <x:t xml:space="preserve">直接参照地：建木；窫窳
原文方向：窫窳居弱水中；建木在窫窳西、弱水上</x:t>
  </x:si>
  <x:si>
    <x:t xml:space="preserve">附属水域锚定</x:t>
  </x:si>
  <x:si>
    <x:t xml:space="preserve">线性水系；核心段覆盖建木—窫窳关系区</x:t>
  </x:si>
  <x:si>
    <x:t xml:space="preserve">建木东侧的神异水域</x:t>
  </x:si>
  <x:si>
    <x:t xml:space="preserve">承载窫窳；建木位于其上/岸</x:t>
  </x:si>
  <x:si>
    <x:t xml:space="preserve">能力：作为异兽居所与建木边界水道</x:t>
  </x:si>
  <x:si>
    <x:t xml:space="preserve">事件：窫窳居其中；建木在其上</x:t>
  </x:si>
  <x:si>
    <x:t xml:space="preserve">弱水在《大荒西经》《海内西经》等多见；可能同一大水系，也可能是同名水体
v011新增“弱水（昆仑源段）”；与本核心段同名，暂不合并。
v012判定：建木—窫窳弱水核心段与昆仑源段之间缺少连续河道节点。</x:t>
  </x:si>
  <x:si>
    <x:t xml:space="preserve">郭璞与图赞常称弱水轻物亦沉，但该性质不在本段正文</x:t>
  </x:si>
  <x:si>
    <x:t xml:space="preserve">郭璞图赞：“弱出昆山，鸿毛是沉”；后世“弱水三千”进一步文学化</x:t>
  </x:si>
  <x:si>
    <x:t xml:space="preserve">多处同名水体，需分段建档</x:t>
  </x:si>
  <x:si>
    <x:t xml:space="preserve">常自然化为高盐度水、沼泽或流沙边水，均属假说</x:t>
  </x:si>
  <x:si>
    <x:t xml:space="preserve">百科常强调鸿毛不浮与三千弱水；后者主要是后世文学语汇</x:t>
  </x:si>
  <x:si>
    <x:t xml:space="preserve">本批只锁定建木与窫窳之间的弱水核心段；代表坐标取窫窳所在格(100,0)，不据此推定全河源头与入海方向。
昆仑源段另行建档；本行仍只代表建木—窫窳之间的弱水核心段。
当前只保留同名候选，不绘制连接线。</x:t>
  </x:si>
  <x:si>
    <x:t xml:space="preserve">https://ctext.org/shan-hai-jing/hai-nei-nan-jing/zh
https://ctext.org/shan-hai-jing/hai-nei-xi-jing/zh
https://ctext.org/wiki.pl?chapter=616148&amp;if=gb
https://zh.wikisource.org/wiki/全晉文/卷一百二十三</x:t>
  </x:si>
  <x:si>
    <x:t xml:space="preserve">X=+200里，Y=0里（+2，0格）</x:t>
  </x:si>
  <x:si>
    <x:t xml:space="preserve">狌狌／猩猩（都广东轴）</x:t>
  </x:si>
  <x:si>
    <x:t xml:space="preserve">异兽</x:t>
  </x:si>
  <x:si>
    <x:t xml:space="preserve">《海内南经》《海内经》《南山经》</x:t>
  </x:si>
  <x:si>
    <x:t xml:space="preserve">都广第一环东轴</x:t>
  </x:si>
  <x:si>
    <x:t xml:space="preserve">直接参照地：窫窳；舜葬；氾林；犀牛
原文方向：在窫窳东、舜葬西；氾林在其东；其西北有犀牛</x:t>
  </x:si>
  <x:si>
    <x:t xml:space="preserve">双向关系锁定＋项目距离</x:t>
  </x:si>
  <x:si>
    <x:t xml:space="preserve">点状活动核心</x:t>
  </x:si>
  <x:si>
    <x:t xml:space="preserve">狌狌／猩猩</x:t>
  </x:si>
  <x:si>
    <x:t xml:space="preserve">如豕而人面；《海内经》又称青兽人面</x:t>
  </x:si>
  <x:si>
    <x:t xml:space="preserve">能力：知人名；郭璞注《海内经》猩猩能言</x:t>
  </x:si>
  <x:si>
    <x:t xml:space="preserve">《南山经》招摇之山另有狌狌，状如禺、白耳，食之善走；形貌不同，先保留同类异地可能。</x:t>
  </x:si>
  <x:si>
    <x:t xml:space="preserve">郭璞引《周书》称其状如黄狗而人面、头如雄鸡；又注“猩猩字同耳”。</x:t>
  </x:si>
  <x:si>
    <x:t xml:space="preserve">狌狌／猩猩。</x:t>
  </x:si>
  <x:si>
    <x:t xml:space="preserve">三篇狌狌形貌并不完全一致，不能把所有特征无条件拼成单一标准形象。</x:t>
  </x:si>
  <x:si>
    <x:t xml:space="preserve">窫窳为(100,0)，狌狌在其东且在舜葬西，按最小邻接置(200,0)。</x:t>
  </x:si>
  <x:si>
    <x:t xml:space="preserve">https://ctext.org/shan-hai-jing/hai-nei-nan-jing/zh
https://ctext.org/shan-hai-jing/hai-nei-jing/zh
https://ctext.org/shan-hai-jing/nan-shan-jing/zh
https://zh.wikisource.org/wiki/山海經_(四庫全書本)/卷10
https://zh.wikisource.org/wiki/山海經_(四庫全書本)/卷18</x:t>
  </x:si>
  <x:si>
    <x:t xml:space="preserve">X=+129里，Y=+71里（+1.29，+0.71格）</x:t>
  </x:si>
  <x:si>
    <x:t xml:space="preserve">犀牛（狌狌西北）</x:t>
  </x:si>
  <x:si>
    <x:t xml:space="preserve">野兽</x:t>
  </x:si>
  <x:si>
    <x:t xml:space="preserve">直接参照地：狌狌
原文方向：狌狌西北有犀牛</x:t>
  </x:si>
  <x:si>
    <x:t xml:space="preserve">原文方向＋斜向最小邻接</x:t>
  </x:si>
  <x:si>
    <x:t xml:space="preserve">野兽活动点</x:t>
  </x:si>
  <x:si>
    <x:t xml:space="preserve">犀牛</x:t>
  </x:si>
  <x:si>
    <x:t xml:space="preserve">状如牛而黑</x:t>
  </x:si>
  <x:si>
    <x:t xml:space="preserve">郭璞称其似水牛、猪头、庳脚三角。</x:t>
  </x:si>
  <x:si>
    <x:t xml:space="preserve">狌狌为(200,0)；无里数的西北关系按100里、45度分解，置(129,71)。</x:t>
  </x:si>
  <x:si>
    <x:t xml:space="preserve">https://ctext.org/shan-hai-jing/hai-nei-nan-jing/zh
https://zh.wikisource.org/wiki/山海經_(四庫全書本)/卷10</x:t>
  </x:si>
  <x:si>
    <x:t xml:space="preserve">X=+300里，Y=0里（+3，0格）</x:t>
  </x:si>
  <x:si>
    <x:t xml:space="preserve">苍梧之山</x:t>
  </x:si>
  <x:si>
    <x:t xml:space="preserve">山／墓葬载体</x:t>
  </x:si>
  <x:si>
    <x:t xml:space="preserve">《海内南经》《海内经》</x:t>
  </x:si>
  <x:si>
    <x:t xml:space="preserve">舜葬外接模块</x:t>
  </x:si>
  <x:si>
    <x:t xml:space="preserve">直接参照地：舜葬；帝丹朱葬；狌狌
原文关系：舜葬于阳，丹朱葬于阴；狌狌在舜葬西</x:t>
  </x:si>
  <x:si>
    <x:t xml:space="preserve">跨篇方向链＋模块锚点</x:t>
  </x:si>
  <x:si>
    <x:t xml:space="preserve">山体模块；阳坡与阴坡为内部关系</x:t>
  </x:si>
  <x:si>
    <x:t xml:space="preserve">苍梧山地</x:t>
  </x:si>
  <x:si>
    <x:t xml:space="preserve">帝舜；帝丹朱</x:t>
  </x:si>
  <x:si>
    <x:t xml:space="preserve">事件：帝舜葬于阳，帝丹朱葬于阴</x:t>
  </x:si>
  <x:si>
    <x:t xml:space="preserve">《海内经》另载苍梧之丘、苍梧之渊及其中九嶷山；本表作为同一舜葬模块分行保留。</x:t>
  </x:si>
  <x:si>
    <x:t xml:space="preserve">郭璞注：“即九疑山也。”</x:t>
  </x:si>
  <x:si>
    <x:t xml:space="preserve">《礼记·檀弓》：“舜葬于苍梧之野。”《史记·五帝本纪》称舜崩苍梧、葬江南九疑。</x:t>
  </x:si>
  <x:si>
    <x:t xml:space="preserve">苍梧／仓梧；九嶷／九疑。</x:t>
  </x:si>
  <x:si>
    <x:t xml:space="preserve">传统多定位湖南宁远九嶷山，但本项目先按神话关系落位，不用现实经纬度覆盖棋盘。</x:t>
  </x:si>
  <x:si>
    <x:t xml:space="preserve">零陵—九嶷山说。</x:t>
  </x:si>
  <x:si>
    <x:t xml:space="preserve">https://ctext.org/shan-hai-jing/hai-nei-nan-jing/zh
https://ctext.org/shan-hai-jing/hai-nei-jing/zh
https://zh.wikisource.org/wiki/山海經_(四庫全書本)/卷10
https://zh.wikisource.org/wiki/山海經_(四庫全書本)/卷18
https://ctext.org/liji/tan-gong-i/zh
https://ctext.org/shiji/wu-di-ben-ji/zh</x:t>
  </x:si>
  <x:si>
    <x:t xml:space="preserve">舜葬</x:t>
  </x:si>
  <x:si>
    <x:t xml:space="preserve">墓葬</x:t>
  </x:si>
  <x:si>
    <x:t xml:space="preserve">苍梧之山／九嶷山模块</x:t>
  </x:si>
  <x:si>
    <x:t xml:space="preserve">直接参照地：狌狌；苍梧之山；兕
原文方向：在狌狌东；葬于苍梧之山阳；兕在其东</x:t>
  </x:si>
  <x:si>
    <x:t xml:space="preserve">多条原文关系闭合＋项目距离</x:t>
  </x:si>
  <x:si>
    <x:t xml:space="preserve">墓葬点；位于山体阳面</x:t>
  </x:si>
  <x:si>
    <x:t xml:space="preserve">苍梧山阳坡／九嶷山中</x:t>
  </x:si>
  <x:si>
    <x:t xml:space="preserve">帝舜</x:t>
  </x:si>
  <x:si>
    <x:t xml:space="preserve">事件：帝舜葬于苍梧之山阳</x:t>
  </x:si>
  <x:si>
    <x:t xml:space="preserve">郭璞以苍梧之山为九疑山；《海内经》注又称九谿皆相似，故名九疑。</x:t>
  </x:si>
  <x:si>
    <x:t xml:space="preserve">《礼记·檀弓》记舜葬苍梧之野；《史记》记崩苍梧、葬江南九疑。</x:t>
  </x:si>
  <x:si>
    <x:t xml:space="preserve">《孟子》另有舜卒鸣条传统，属于不同死亡地理系统。</x:t>
  </x:si>
  <x:si>
    <x:t xml:space="preserve">湖南宁远九嶷山传统。</x:t>
  </x:si>
  <x:si>
    <x:t xml:space="preserve">帝丹朱葬</x:t>
  </x:si>
  <x:si>
    <x:t xml:space="preserve">苍梧之山模块</x:t>
  </x:si>
  <x:si>
    <x:t xml:space="preserve">直接参照地：苍梧之山；舜葬
原文关系：葬于苍梧之山阴</x:t>
  </x:si>
  <x:si>
    <x:t xml:space="preserve">原文山体内部关系</x:t>
  </x:si>
  <x:si>
    <x:t xml:space="preserve">墓葬点；位于山体阴面</x:t>
  </x:si>
  <x:si>
    <x:t xml:space="preserve">帝丹朱</x:t>
  </x:si>
  <x:si>
    <x:t xml:space="preserve">事件：帝丹朱葬于苍梧之山阴</x:t>
  </x:si>
  <x:si>
    <x:t xml:space="preserve">郭璞以《竹书》后稷放帝朱于丹水解释丹朱传统，并说明“帝”称。</x:t>
  </x:si>
  <x:si>
    <x:t xml:space="preserve">苍梧之丘</x:t>
  </x:si>
  <x:si>
    <x:t xml:space="preserve">丘／区域</x:t>
  </x:si>
  <x:si>
    <x:t xml:space="preserve">苍梧—九嶷模块</x:t>
  </x:si>
  <x:si>
    <x:t xml:space="preserve">直接参照地：苍梧之渊；九嶷山；舜葬
原文关系：南方有苍梧之丘、苍梧之渊，其中有九嶷山</x:t>
  </x:si>
  <x:si>
    <x:t xml:space="preserve">跨篇同模块锚定</x:t>
  </x:si>
  <x:si>
    <x:t xml:space="preserve">苍梧丘陵区域</x:t>
  </x:si>
  <x:si>
    <x:t xml:space="preserve">郭璞以古苍梧为一地总名。</x:t>
  </x:si>
  <x:si>
    <x:t xml:space="preserve">苍梧之渊</x:t>
  </x:si>
  <x:si>
    <x:t xml:space="preserve">渊／深水地貌</x:t>
  </x:si>
  <x:si>
    <x:t xml:space="preserve">直接参照地：苍梧之丘；九嶷山
原文关系：与苍梧之丘并列，九嶷山在其中</x:t>
  </x:si>
  <x:si>
    <x:t xml:space="preserve">原文包含关系＋模块锚定</x:t>
  </x:si>
  <x:si>
    <x:t xml:space="preserve">渊域；范围无数字</x:t>
  </x:si>
  <x:si>
    <x:t xml:space="preserve">深渊／深水地貌</x:t>
  </x:si>
  <x:si>
    <x:t xml:space="preserve">九嶷山／九疑山</x:t>
  </x:si>
  <x:si>
    <x:t xml:space="preserve">《海内经》《海内南经》</x:t>
  </x:si>
  <x:si>
    <x:t xml:space="preserve">苍梧—舜葬模块</x:t>
  </x:si>
  <x:si>
    <x:t xml:space="preserve">直接参照地：苍梧之丘；苍梧之渊；舜葬
原文关系：九嶷山在苍梧模块中，为舜所葬</x:t>
  </x:si>
  <x:si>
    <x:t xml:space="preserve">跨篇同模块锁定</x:t>
  </x:si>
  <x:si>
    <x:t xml:space="preserve">九峰／多峰山系传统</x:t>
  </x:si>
  <x:si>
    <x:t xml:space="preserve">事件：舜葬于此</x:t>
  </x:si>
  <x:si>
    <x:t xml:space="preserve">郭璞称山有九谿皆相似，故云九疑；并注苍梧之山即九疑山。</x:t>
  </x:si>
  <x:si>
    <x:t xml:space="preserve">《史记·五帝本纪》：“葬于江南九疑，是为零陵。”</x:t>
  </x:si>
  <x:si>
    <x:t xml:space="preserve">九嶷／九疑。</x:t>
  </x:si>
  <x:si>
    <x:t xml:space="preserve">https://ctext.org/shan-hai-jing/hai-nei-jing/zh
https://ctext.org/shan-hai-jing/hai-nei-nan-jing/zh
https://zh.wikisource.org/wiki/山海經_(四庫全書本)/卷18
https://zh.wikisource.org/wiki/山海經_(四庫全書本)/卷10
https://ctext.org/shiji/wu-di-ben-ji/zh</x:t>
  </x:si>
  <x:si>
    <x:t xml:space="preserve">X=+400里，Y=0里（+4，0格）</x:t>
  </x:si>
  <x:si>
    <x:t xml:space="preserve">兕（舜葬东）</x:t>
  </x:si>
  <x:si>
    <x:t xml:space="preserve">舜葬外接区／湘水南</x:t>
  </x:si>
  <x:si>
    <x:t xml:space="preserve">直接参照地：舜葬；湘水
原文方向：在舜葬东、湘水南</x:t>
  </x:si>
  <x:si>
    <x:t xml:space="preserve">双向原文关系＋项目距离</x:t>
  </x:si>
  <x:si>
    <x:t xml:space="preserve">兕</x:t>
  </x:si>
  <x:si>
    <x:t xml:space="preserve">状如牛，苍黑，一角</x:t>
  </x:si>
  <x:si>
    <x:t xml:space="preserve">若木</x:t>
  </x:si>
  <x:si>
    <x:t xml:space="preserve">神木／若水源点</x:t>
  </x:si>
  <x:si>
    <x:t xml:space="preserve">《海内经》《大荒北经》；《淮南子》</x:t>
  </x:si>
  <x:si>
    <x:t xml:space="preserve">都广00核心区南部水系</x:t>
  </x:si>
  <x:si>
    <x:t xml:space="preserve">直接参照地：建木；黑水；青水
原文方向：《淮南子》：在建木西；《海内经》：南海之内、黑水青水之间</x:t>
  </x:si>
  <x:si>
    <x:t xml:space="preserve">南部水域中的赤色神木</x:t>
  </x:si>
  <x:si>
    <x:t xml:space="preserve">若水从其下发源；介于黑水、青水</x:t>
  </x:si>
  <x:si>
    <x:t xml:space="preserve">赤树、青叶、赤华（《大荒北经》）</x:t>
  </x:si>
  <x:si>
    <x:t xml:space="preserve">昌意在若水生活的帝系故事与若木水系相关</x:t>
  </x:si>
  <x:si>
    <x:t xml:space="preserve">赤色树干、青叶、赤花</x:t>
  </x:si>
  <x:si>
    <x:t xml:space="preserve">能力：《淮南子》把若木接入十日系统；本经只明载若水出焉
功效：若水源头；后世有日木功能</x:t>
  </x:si>
  <x:si>
    <x:t xml:space="preserve">事件：若水发源；昌意降处若水，生韩流，后生颛顼</x:t>
  </x:si>
  <x:si>
    <x:t xml:space="preserve">《大荒北经》另记若木在衡石、九阴、泂野诸山上；《水经注》说若木之生非一所</x:t>
  </x:si>
  <x:si>
    <x:t xml:space="preserve">郭注“树赤华青”，袁珂认为华/叶有讹，结合大荒北经应为赤树青叶赤华</x:t>
  </x:si>
  <x:si>
    <x:t xml:space="preserve">《淮南子》：若木在建木西，末有十日，其华照下地；《水经注》现实化到蜀郡旄牛徼外</x:t>
  </x:si>
  <x:si>
    <x:t xml:space="preserve">南海之内/之外；有木/有水名曰若木；青水二字在《水经注》引文中缺</x:t>
  </x:si>
  <x:si>
    <x:t xml:space="preserve">若木可能并非单一地点树，而是多处神木传统的合并</x:t>
  </x:si>
  <x:si>
    <x:t xml:space="preserve">常指向川西若水流域，但不能据此锁定神话坐标</x:t>
  </x:si>
  <x:si>
    <x:t xml:space="preserve">百科通常把若木归入太阳神树，与扶桑相对；此功能主要来自《淮南子》等</x:t>
  </x:si>
  <x:si>
    <x:t xml:space="preserve">https://ctext.org/shan-hai-jing/hai-nei-jing/zh
https://ctext.org/huainanzi/di-xing-xun/zh
https://ctext.org/shan-hai-jing/da-huang-bei-jing/zhs
https://ctext.org/wiki.pl?chapter=714485&amp;if=gb</x:t>
  </x:si>
  <x:si>
    <x:t xml:space="preserve">若水（若木源段）</x:t>
  </x:si>
  <x:si>
    <x:t xml:space="preserve">《海内经》；帝系段落</x:t>
  </x:si>
  <x:si>
    <x:t xml:space="preserve">直接参照地：若木
原文方向：出于若木</x:t>
  </x:si>
  <x:si>
    <x:t xml:space="preserve">源点同若木</x:t>
  </x:si>
  <x:si>
    <x:t xml:space="preserve">神木下的源泉与河谷</x:t>
  </x:si>
  <x:si>
    <x:t xml:space="preserve">若水自若木出；昌意降处若水</x:t>
  </x:si>
  <x:si>
    <x:t xml:space="preserve">昌意、韩流、阿女、颛顼</x:t>
  </x:si>
  <x:si>
    <x:t xml:space="preserve">黄帝帝系</x:t>
  </x:si>
  <x:si>
    <x:t xml:space="preserve">能力：孕育/承载黄帝—颛顼帝系的居住与出生叙事</x:t>
  </x:si>
  <x:si>
    <x:t xml:space="preserve">事件：昌意降处若水，生韩流；韩流与阿女生颛顼</x:t>
  </x:si>
  <x:si>
    <x:t xml:space="preserve">《海内经》同篇两处若水记载可以互相连接，但仍需确认是否同一水系</x:t>
  </x:si>
  <x:si>
    <x:t xml:space="preserve">郭璞引《竹书》：昌意降居若水，产帝乾荒，乾荒即韩流</x:t>
  </x:si>
  <x:si>
    <x:t xml:space="preserve">《水经注》将若水指向蜀郡旄牛徼外，后世多对应雅砻江等川西水系</x:t>
  </x:si>
  <x:si>
    <x:t xml:space="preserve">若水/如水等音近；现实地理名与神话水系不必完全重合</x:t>
  </x:si>
  <x:si>
    <x:t xml:space="preserve">若水兼具神木水源和帝系出生地双重属性</x:t>
  </x:si>
  <x:si>
    <x:t xml:space="preserve">常见说法对应雅砻江或金沙江上游支系，属于历史地理解释</x:t>
  </x:si>
  <x:si>
    <x:t xml:space="preserve">地方与百科资料常直接说若水即雅砻江，证据链应单独标注</x:t>
  </x:si>
  <x:si>
    <x:t xml:space="preserve">https://ctext.org/shan-hai-jing/hai-nei-jing/zh
https://zh.wikisource.org/zh-hans/山海經_(四庫全書本)/卷18
https://ctext.org/wiki.pl?chapter=714485&amp;if=gb</x:t>
  </x:si>
  <x:si>
    <x:t xml:space="preserve">黑水（都广—若木核心段）</x:t>
  </x:si>
  <x:si>
    <x:t xml:space="preserve">河流／边界水系</x:t>
  </x:si>
  <x:si>
    <x:t xml:space="preserve">《海内经》；全书多篇</x:t>
  </x:si>
  <x:si>
    <x:t xml:space="preserve">都广00核心区西南边界</x:t>
  </x:si>
  <x:si>
    <x:t xml:space="preserve">直接参照地：都广之野；若木；青水
原文方向：都广在西南黑水之间；若木在黑水、青水之间</x:t>
  </x:si>
  <x:si>
    <x:t xml:space="preserve">中央区西南侧的深色大水或多支水网</x:t>
  </x:si>
  <x:si>
    <x:t xml:space="preserve">与都广、若木、不死山等多个地点发生边界关系</x:t>
  </x:si>
  <x:si>
    <x:t xml:space="preserve">能力：作为区域界线、汇流与外海通道</x:t>
  </x:si>
  <x:si>
    <x:t xml:space="preserve">事件：标定都广与若木的外缘</x:t>
  </x:si>
  <x:si>
    <x:t xml:space="preserve">黑水在《海内西经》《大荒西经》《海内经》多次出现，可能为大水系或同名分支
v011新增“黑水（昆仑源段）”；与都广—若木核心段、幽都源段分别建档。
v012加入幽都黑水源；另有南山经鸡山黑水源，形成多源冲突。</x:t>
  </x:si>
  <x:si>
    <x:t xml:space="preserve">郭璞、郝懿行常以《禹贡》黑水与西南现实河流解释，但不同段落未必同一</x:t>
  </x:si>
  <x:si>
    <x:t xml:space="preserve">《尚书·禹贡》有黑水入南海传统；《水经注》又有多种现实化解释</x:t>
  </x:si>
  <x:si>
    <x:t xml:space="preserve">“西南黑水之间”的断句和空间含义不清</x:t>
  </x:si>
  <x:si>
    <x:t xml:space="preserve">黑水是重要跨篇接口，必须先分段建档再判断是否合流</x:t>
  </x:si>
  <x:si>
    <x:t xml:space="preserve">曾对应金沙江、怒江、澜沧江等，不同说法冲突</x:t>
  </x:si>
  <x:si>
    <x:t xml:space="preserve">百科常给单一现实河流对应，容易掩盖多处黑水问题</x:t>
  </x:si>
  <x:si>
    <x:t xml:space="preserve">https://ctext.org/shan-hai-jing/hai-nei-jing/zh
https://ctext.org/shan-hai-jing/hai-nei-xi-jing/zh
https://ctext.org/wiki.pl?chapter=714485&amp;if=gb</x:t>
  </x:si>
  <x:si>
    <x:t xml:space="preserve">X=0里，Y=+1400里（0，+14格）</x:t>
  </x:si>
  <x:si>
    <x:t xml:space="preserve">幽都之山</x:t>
  </x:si>
  <x:si>
    <x:t xml:space="preserve">北海山岳／黑水源山</x:t>
  </x:si>
  <x:si>
    <x:t xml:space="preserve">北海—幽都黑水源模块</x:t>
  </x:si>
  <x:si>
    <x:t xml:space="preserve">直接参照地：北海；黑水；大玄之山；玄丘之民；大幽之国
原文关系：北海之内有幽都之山，黑水出焉</x:t>
  </x:si>
  <x:si>
    <x:t xml:space="preserve">山体源点；与大玄之山、大幽之国构成北方黑色地景群</x:t>
  </x:si>
  <x:si>
    <x:t xml:space="preserve">幽都黑色山地</x:t>
  </x:si>
  <x:si>
    <x:t xml:space="preserve">黑水从山中发源</x:t>
  </x:si>
  <x:si>
    <x:t xml:space="preserve">玄鸟、玄蛇、玄豹、玄虎、玄狐蓬尾</x:t>
  </x:si>
  <x:si>
    <x:t xml:space="preserve">玄丘之民；大幽之国；赤胫之民</x:t>
  </x:si>
  <x:si>
    <x:t xml:space="preserve">山上动物皆以玄黑色系为共同特征</x:t>
  </x:si>
  <x:si>
    <x:t xml:space="preserve">作为《海内经》另一处明确黑水源点</x:t>
  </x:si>
  <x:si>
    <x:t xml:space="preserve">建立北海内部的黑水源头传统</x:t>
  </x:si>
  <x:si>
    <x:t xml:space="preserve">与昆仑西北隅黑水源、南山经鸡山黑水源形成多源冲突。可能是支源、同名异水或不同文本地理系统。</x:t>
  </x:si>
  <x:si>
    <x:t xml:space="preserve">袁珂将幽都与地下幽冥观念联系，但正文首先给出的是北海内部的山、水、国、民组合。</x:t>
  </x:si>
  <x:si>
    <x:t xml:space="preserve">《楚辞》《淮南子》等有幽都、幽冥观念，但不能替代《海内经》的地理关系。</x:t>
  </x:si>
  <x:si>
    <x:t xml:space="preserve">大玄之山另有太玄之山异文；幽都与大幽之国关系需分层处理。</x:t>
  </x:si>
  <x:si>
    <x:t xml:space="preserve">本版只建立神话北方模块，不作现实地理定位。</x:t>
  </x:si>
  <x:si>
    <x:t xml:space="preserve">幽都不应只被理解为后世阴曹地府；本段具有明确山岳、水源和族国结构。</x:t>
  </x:si>
  <x:si>
    <x:t xml:space="preserve">原文只说“北海之内”。为不与昆仑外层重叠，将幽都模块置于当前全图北部最近空位(0,+1400)。该模块可随北海边界确定后整体移动。</x:t>
  </x:si>
  <x:si>
    <x:t xml:space="preserve">https://ctext.org/shan-hai-jing/hai-nei-jing/zh
https://ctext.org/wiki.pl?chapter=714485&amp;if=gb</x:t>
  </x:si>
  <x:si>
    <x:t xml:space="preserve">黑水（幽都源段）</x:t>
  </x:si>
  <x:si>
    <x:t xml:space="preserve">河流源点／源段</x:t>
  </x:si>
  <x:si>
    <x:t xml:space="preserve">幽都之山／北海</x:t>
  </x:si>
  <x:si>
    <x:t xml:space="preserve">直接参照地：幽都之山；北海
原文关系：黑水出于幽都之山</x:t>
  </x:si>
  <x:si>
    <x:t xml:space="preserve">源点同幽都之山</x:t>
  </x:si>
  <x:si>
    <x:t xml:space="preserve">线型水系；本坐标为幽都源点，流向未加设</x:t>
  </x:si>
  <x:si>
    <x:t xml:space="preserve">北海内部山地源区</x:t>
  </x:si>
  <x:si>
    <x:t xml:space="preserve">自幽都之山发源</x:t>
  </x:si>
  <x:si>
    <x:t xml:space="preserve">北方黑水源头</x:t>
  </x:si>
  <x:si>
    <x:t xml:space="preserve">《海内西经》黑水与洋水同出昆仑西北隅；《南山经》鸡山又有黑水出焉；《大荒南经》不姜之山记黑水穷焉。</x:t>
  </x:si>
  <x:si>
    <x:t xml:space="preserve">多处“黑水”同时出现源点与终点，无法仅凭同名恢复一条唯一河道。</x:t>
  </x:si>
  <x:si>
    <x:t xml:space="preserve">《尚书·禹贡》有黑水入南海传统，但不能直接解决《山海经》内部多个黑水源点。</x:t>
  </x:si>
  <x:si>
    <x:t xml:space="preserve">黑水为高频同名水系，须按源段、边界段、终止段分别建档。</x:t>
  </x:si>
  <x:si>
    <x:t xml:space="preserve">本阶段判定为独立源段。</x:t>
  </x:si>
  <x:si>
    <x:t xml:space="preserve">不得把幽都黑水直接拉线连接到都广西南或昆仑西北。</x:t>
  </x:si>
  <x:si>
    <x:t xml:space="preserve">源点与幽都之山同为(0,+1400)；原文没有流向，棋盘不绘制方向箭头。</x:t>
  </x:si>
  <x:si>
    <x:t xml:space="preserve">https://ctext.org/shan-hai-jing/hai-nei-jing/zh
https://ctext.org/shan-hai-jing/hai-nei-xi-jing/zh
https://ctext.org/shan-hai-jing/nan-shan-jing/zh
https://ctext.org/shan-hai-jing/da-huang-nan-jing/zh
https://ctext.org/wiki.pl?chapter=714485&amp;if=gb</x:t>
  </x:si>
  <x:si>
    <x:t xml:space="preserve">X=-450里，Y=+1250里（-4.5，+12.5格）</x:t>
  </x:si>
  <x:si>
    <x:t xml:space="preserve">四帝台（整体）</x:t>
  </x:si>
  <x:si>
    <x:t xml:space="preserve">台群／帝迹区域</x:t>
  </x:si>
  <x:si>
    <x:t xml:space="preserve">《海内北经》</x:t>
  </x:si>
  <x:si>
    <x:t xml:space="preserve">昆仑东北接口模块</x:t>
  </x:si>
  <x:si>
    <x:t xml:space="preserve">直接参照地：海内昆仑之虚；帝尧台、帝喾台、帝丹朱台、帝舜台
原文方向：在昆仑东北</x:t>
  </x:si>
  <x:si>
    <x:t xml:space="preserve">四帝各二台；台四方</x:t>
  </x:si>
  <x:si>
    <x:t xml:space="preserve">原文方向＋项目2×2布局</x:t>
  </x:si>
  <x:si>
    <x:t xml:space="preserve">昆仑东北关系锁定；台群内部排列推定</x:t>
  </x:si>
  <x:si>
    <x:t xml:space="preserve">四组帝台，共八台；整体中心(-450,+1250)</x:t>
  </x:si>
  <x:si>
    <x:t xml:space="preserve">昆仑东北台地</x:t>
  </x:si>
  <x:si>
    <x:t xml:space="preserve">帝尧、帝喾、帝丹朱、帝舜</x:t>
  </x:si>
  <x:si>
    <x:t xml:space="preserve">四帝遗迹集中于昆仑东北</x:t>
  </x:si>
  <x:si>
    <x:t xml:space="preserve">各帝台名称可能是独立祭台、行迹纪念物或部族圣地，正文未说明建造时间与用途。</x:t>
  </x:si>
  <x:si>
    <x:t xml:space="preserve">郭璞认为可能是夷狄为纪念圣王巡狩遗迹而筑台，此为注家解释，不是正文。</x:t>
  </x:si>
  <x:si>
    <x:t xml:space="preserve">“各二台”是数量说明，不是第五个地名。</x:t>
  </x:si>
  <x:si>
    <x:t xml:space="preserve">昆仑外环东北角为(-600,+1100)附近；台群置于其东北空区，中心(-450,+1250)。内部2×2只是制图布局。</x:t>
  </x:si>
  <x:si>
    <x:t xml:space="preserve">https://ctext.org/shan-hai-jing/hai-nei-bei-jing/zh
https://zh.wikisource.org/zh-hans/山海經/海內北經
https://zh.wikisource.org/zh-hans/山海經_(四庫全書本)/卷12</x:t>
  </x:si>
  <x:si>
    <x:t xml:space="preserve">X=-500里，Y=+1300里（-5，+13格）</x:t>
  </x:si>
  <x:si>
    <x:t xml:space="preserve">帝尧台</x:t>
  </x:si>
  <x:si>
    <x:t xml:space="preserve">台／帝迹</x:t>
  </x:si>
  <x:si>
    <x:t xml:space="preserve">四帝台／昆仑东北</x:t>
  </x:si>
  <x:si>
    <x:t xml:space="preserve">直接参照地：四帝台；海内昆仑之虚
原文方向：四帝台在昆仑东北</x:t>
  </x:si>
  <x:si>
    <x:t xml:space="preserve">二台；台四方</x:t>
  </x:si>
  <x:si>
    <x:t xml:space="preserve">台群内部项目布局</x:t>
  </x:si>
  <x:si>
    <x:t xml:space="preserve">数量与整体方向锁定；内部排列推定</x:t>
  </x:si>
  <x:si>
    <x:t xml:space="preserve">两座方台，以一格代表</x:t>
  </x:si>
  <x:si>
    <x:t xml:space="preserve">方形台地</x:t>
  </x:si>
  <x:si>
    <x:t xml:space="preserve">帝尧</x:t>
  </x:si>
  <x:si>
    <x:t xml:space="preserve">帝尧名号附着于昆仑东北两座方台</x:t>
  </x:si>
  <x:si>
    <x:t xml:space="preserve">不可把帝尧台直接等同尧的都城或墓葬。</x:t>
  </x:si>
  <x:si>
    <x:t xml:space="preserve">四帝台2×2布局西北位，置(-500,+1300)。</x:t>
  </x:si>
  <x:si>
    <x:t xml:space="preserve">https://ctext.org/shan-hai-jing/hai-nei-bei-jing/zh
https://zh.wikisource.org/zh-hans/山海經/海內北經</x:t>
  </x:si>
  <x:si>
    <x:t xml:space="preserve">X=-400里，Y=+1300里（-4，+13格）</x:t>
  </x:si>
  <x:si>
    <x:t xml:space="preserve">帝喾台</x:t>
  </x:si>
  <x:si>
    <x:t xml:space="preserve">帝喾</x:t>
  </x:si>
  <x:si>
    <x:t xml:space="preserve">帝喾名号附着于昆仑东北两座方台</x:t>
  </x:si>
  <x:si>
    <x:t xml:space="preserve">不可因帝喾台而推定帝喾实际葬地或都邑在此。</x:t>
  </x:si>
  <x:si>
    <x:t xml:space="preserve">四帝台2×2布局东北位，置(-400,+1300)。</x:t>
  </x:si>
  <x:si>
    <x:t xml:space="preserve">X=-500里，Y=+1200里（-5，+12格）</x:t>
  </x:si>
  <x:si>
    <x:t xml:space="preserve">帝丹朱台</x:t>
  </x:si>
  <x:si>
    <x:t xml:space="preserve">帝丹朱名号附着于昆仑东北两座方台</x:t>
  </x:si>
  <x:si>
    <x:t xml:space="preserve">与苍梧之山的“帝丹朱葬”不是同一对象：一为台，一为墓葬。</x:t>
  </x:si>
  <x:si>
    <x:t xml:space="preserve">不能把帝丹朱台与帝丹朱葬合并。</x:t>
  </x:si>
  <x:si>
    <x:t xml:space="preserve">四帝台2×2布局西南位，置(-500,+1200)。</x:t>
  </x:si>
  <x:si>
    <x:t xml:space="preserve">X=-400里，Y=+1200里（-4，+12格）</x:t>
  </x:si>
  <x:si>
    <x:t xml:space="preserve">帝舜台</x:t>
  </x:si>
  <x:si>
    <x:t xml:space="preserve">帝舜名号附着于昆仑东北两座方台</x:t>
  </x:si>
  <x:si>
    <x:t xml:space="preserve">与苍梧—九嶷模块中的舜葬不是同一对象。</x:t>
  </x:si>
  <x:si>
    <x:t xml:space="preserve">不能以帝舜台覆盖舜葬的位置。</x:t>
  </x:si>
  <x:si>
    <x:t xml:space="preserve">四帝台2×2布局东南位，置(-400,+1200)。</x:t>
  </x:si>
  <x:si>
    <x:t xml:space="preserve">X=-1050里，Y=+250里（-10.5，+2.5格）</x:t>
  </x:si>
  <x:si>
    <x:t xml:space="preserve">从极之渊／忠极之渊</x:t>
  </x:si>
  <x:si>
    <x:t xml:space="preserve">深渊／河神居所</x:t>
  </x:si>
  <x:si>
    <x:t xml:space="preserve">昆仑虚南接口模块</x:t>
  </x:si>
  <x:si>
    <x:t xml:space="preserve">直接参照地：海内昆仑之虚；氾林；昆仑南渊
原文关系：紧接昆仑虚南所氾林之后；深300仞</x:t>
  </x:si>
  <x:si>
    <x:t xml:space="preserve">深300仞</x:t>
  </x:si>
  <x:si>
    <x:t xml:space="preserve">篇章邻接＋深度同值＋候选叠置</x:t>
  </x:si>
  <x:si>
    <x:t xml:space="preserve">深渊对象；代表坐标与昆仑南渊重合</x:t>
  </x:si>
  <x:si>
    <x:t xml:space="preserve">昆仑南侧深渊</x:t>
  </x:si>
  <x:si>
    <x:t xml:space="preserve">冰夷长期居于其中</x:t>
  </x:si>
  <x:si>
    <x:t xml:space="preserve">冰夷</x:t>
  </x:si>
  <x:si>
    <x:t xml:space="preserve">冰夷／冯夷／河伯传统</x:t>
  </x:si>
  <x:si>
    <x:t xml:space="preserve">冰夷人面，乘两龙</x:t>
  </x:si>
  <x:si>
    <x:t xml:space="preserve">作为冰夷恒居的深水空间</x:t>
  </x:si>
  <x:si>
    <x:t xml:space="preserve">一名忠极之渊</x:t>
  </x:si>
  <x:si>
    <x:t xml:space="preserve">昆仑南渊亦深300仞；两条极可能描述同一南部深渊，但正文名称与叙事功能不同。</x:t>
  </x:si>
  <x:si>
    <x:t xml:space="preserve">郭璞以冰夷为冯夷、河伯传统；“恒都焉”意为长期居住于此，不是地名。</x:t>
  </x:si>
  <x:si>
    <x:t xml:space="preserve">从极之渊／忠极之渊；冰夷／冯夷</x:t>
  </x:si>
  <x:si>
    <x:t xml:space="preserve">本版分别建档并共用坐标，等待更强文本证据后再决定是否合并。</x:t>
  </x:si>
  <x:si>
    <x:t xml:space="preserve">“维冰夷恒都”不是聚落名称；冰夷属于其中的神祇／居民。</x:t>
  </x:si>
  <x:si>
    <x:t xml:space="preserve">十八卷快速目录</x:t>
  </x:si>
  <x:si>
    <x:t xml:space="preserve">段落ID</x:t>
  </x:si>
  <x:si>
    <x:t xml:space="preserve">卷次／经篇</x:t>
  </x:si>
  <x:si>
    <x:t xml:space="preserve">原文段落</x:t>
  </x:si>
  <x:si>
    <x:t xml:space="preserve">本段全部地理名称</x:t>
  </x:si>
  <x:si>
    <x:t xml:space="preserve">跳转到地点总表</x:t>
  </x:si>
  <x:si>
    <x:t xml:space="preserve">底本／来源</x:t>
  </x:si>
  <x:si>
    <x:t xml:space="preserve">返回目录</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</x:si>
</x:sst>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0.0"/>
  </x:numFmts>
  <x:fonts count="88">
    <x:font>
      <x:sz val="11"/>
      <x:name val="Carlito"/>
    </x:font>
    <x:font>
      <x:b/>
      <x:sz val="17"/>
      <x:color rgb="FFFFFFFF"/>
      <x:name val="Carlito"/>
    </x:font>
    <x:font>
      <x:sz val="10"/>
      <x:color rgb="FF5B4636"/>
      <x:name val="Carlito"/>
    </x:font>
    <x:font>
      <x:b/>
      <x:sz val="11"/>
      <x:color rgb="FFFFFFFF"/>
      <x:name val="Carlito"/>
    </x:font>
    <x:font>
      <x:b/>
      <x:sz val="9"/>
      <x:color rgb="FF0563C1"/>
      <x:name val="Carlito"/>
    </x:font>
    <x:font>
      <x:b/>
      <x:sz val="10"/>
      <x:color rgb="FFFFFFFF"/>
      <x:name val="Carlito"/>
    </x:font>
    <x:font>
      <x:sz val="9"/>
      <x:color rgb="FF2F2F2F"/>
      <x:name val="Carlito"/>
    </x:font>
    <x:font>
      <x:sz val="10"/>
      <x:color rgb="FF222222"/>
      <x:name val="Carlito"/>
    </x:font>
    <x:font>
      <x:sz val="8"/>
      <x:color rgb="FF4A453E"/>
      <x:name val="Carlito"/>
    </x:font>
    <x:font>
      <x:b/>
      <x:sz val="9"/>
      <x:color rgb="FF2F2F2F"/>
      <x:name val="Carlito"/>
    </x:font>
    <x:font>
      <x:b/>
      <x:sz val="16"/>
      <x:color rgb="FFFFFFFF"/>
      <x:name val="Carlito"/>
    </x:font>
    <x:font>
      <x:b/>
      <x:sz val="8"/>
      <x:name val="Carlito"/>
    </x:font>
    <x:font>
      <x:sz val="7"/>
      <x:color rgb="FF6B6259"/>
      <x:name val="Carlito"/>
    </x:font>
    <x:font>
      <x:sz val="9"/>
      <x:color rgb="FF5B4636"/>
      <x:name val="Carlito"/>
    </x:font>
    <x:font>
      <x:b/>
      <x:sz val="7"/>
      <x:color rgb="FF2F2F2F"/>
      <x:name val="Carlito"/>
    </x:font>
    <x:font>
      <x:sz val="7"/>
      <x:color rgb="FF2F2F2F"/>
      <x:name val="Carlito"/>
    </x:font>
    <x:font>
      <x:b/>
      <x:sz val="10"/>
      <x:color rgb="FF23463F"/>
      <x:name val="Carlito"/>
    </x:font>
    <x:font>
      <x:sz val="10"/>
      <x:color rgb="FF4A453E"/>
      <x:name val="Carlito"/>
    </x:font>
    <x:font>
      <x:b/>
      <x:sz val="10"/>
      <x:color rgb="FF4A3A24"/>
      <x:name val="Carlito"/>
    </x:font>
    <x:font>
      <x:b/>
      <x:sz val="10"/>
      <x:color rgb="FF2E4A2E"/>
      <x:name val="Carlito"/>
    </x:font>
    <x:font>
      <x:b/>
      <x:sz val="10"/>
      <x:color rgb="FF2E435D"/>
      <x:name val="Carlito"/>
    </x:font>
    <x:font>
      <x:sz val="9"/>
      <x:color rgb="FF4A453E"/>
      <x:name val="Carlito"/>
    </x:font>
    <x:font>
      <x:b/>
      <x:sz val="10"/>
      <x:color rgb="FF3F3028"/>
      <x:name val="Carlito"/>
    </x:font>
    <x:font>
      <x:b/>
      <x:sz val="9"/>
      <x:color rgb="FFFFFFFF"/>
      <x:name val="Carlito"/>
    </x:font>
    <x:font>
      <x:b/>
      <x:sz val="9"/>
      <x:color rgb="FFFFFFFF"/>
      <x:name val="宋体"/>
    </x:font>
    <x:font>
      <x:b/>
      <x:sz val="9"/>
      <x:color rgb="FF1F4E78"/>
      <x:name val="Carlito"/>
    </x:font>
    <x:font>
      <x:sz val="9"/>
      <x:color rgb="FF263532"/>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0"/>
      <x:color rgb="FF2B2521"/>
      <x:name val="Carlito"/>
    </x:font>
    <x:font>
      <x:b/>
      <x:sz val="10"/>
      <x:color rgb="FF2B2521"/>
      <x:name val="Carlito"/>
    </x:font>
    <x:font>
      <x:b/>
      <x:sz val="11"/>
      <x:color rgb="FF44362C"/>
      <x:name val="Carlito"/>
    </x:font>
    <x:font>
      <x:b/>
      <x:sz val="9"/>
      <x:color rgb="FF44362C"/>
      <x:name val="Carlito"/>
    </x:font>
    <x:font>
      <x:sz val="11"/>
      <x:color rgb="FF263532"/>
      <x:name val="Carlito"/>
    </x:font>
    <x:font>
      <x:b/>
      <x:sz val="11"/>
      <x:color rgb="FF1F4E78"/>
      <x:name val="Carlito"/>
    </x:font>
    <x:font>
      <x:b/>
      <x:sz val="11"/>
      <x:color rgb="FF3F3028"/>
      <x:name val="Carlito"/>
    </x:font>
    <x:font>
      <x:sz val="11"/>
      <x:color rgb="FF0563C1"/>
      <x:name val="Carlito"/>
    </x:font>
    <x:font>
      <x:b/>
      <x:sz val="7"/>
      <x:color rgb="FF203864"/>
      <x:name val="Carlito"/>
    </x:font>
    <x:font>
      <x:i/>
      <x:sz val="11"/>
      <x:color rgb="FF44362C"/>
      <x:name val="Carlito"/>
    </x:font>
    <x:font>
      <x:b/>
      <x:sz val="11"/>
      <x:color rgb="FF274E13"/>
      <x:name val="Carlito"/>
    </x:font>
    <x:font>
      <x:b/>
      <x:sz val="11"/>
      <x:name val="Carlito"/>
    </x:font>
    <x:font>
      <x:b/>
      <x:sz val="15"/>
      <x:color rgb="FFFFFFFF"/>
      <x:name val="Carlito"/>
    </x:font>
    <x:font>
      <x:sz val="11"/>
      <x:color rgb="FF44362C"/>
      <x:name val="Carlito"/>
    </x:font>
    <x:font>
      <x:b/>
      <x:sz val="11"/>
      <x:color rgb="FF5B4636"/>
      <x:name val="Carlito"/>
    </x:font>
    <x:font>
      <x:b/>
      <x:sz val="14"/>
      <x:color rgb="FFFFFFFF"/>
      <x:name val="Carlito"/>
    </x:font>
    <x:font>
      <x:sz val="10"/>
      <x:color rgb="FF4E3A2C"/>
      <x:name val="Carlito"/>
    </x:font>
    <x:font>
      <x:b/>
      <x:sz val="9"/>
      <x:color rgb="FF4E3A2C"/>
      <x:name val="Carlito"/>
    </x:font>
    <x:font>
      <x:sz val="8"/>
      <x:color rgb="FF4A4037"/>
      <x:name val="Carlito"/>
    </x:font>
    <x:font>
      <x:b/>
      <x:sz val="8"/>
      <x:color rgb="FF4A4037"/>
      <x:name val="Carlito"/>
    </x:font>
    <x:font>
      <x:sz val="10"/>
      <x:color rgb="FF324A3B"/>
      <x:name val="Carlito"/>
    </x:font>
    <x:font>
      <x:b/>
      <x:sz val="8"/>
      <x:color rgb="FF3E342B"/>
      <x:name val="Carlito"/>
    </x:font>
    <x:font>
      <x:sz val="10"/>
      <x:color rgb="FF4B382A"/>
      <x:name val="Carlito"/>
    </x:font>
    <x:font>
      <x:b/>
      <x:sz val="8"/>
      <x:color rgb="FFFFFFFF"/>
      <x:name val="Carlito"/>
    </x:font>
    <x:font>
      <x:b/>
      <x:sz val="8"/>
      <x:color rgb="FF4B382A"/>
      <x:name val="Carlito"/>
    </x:font>
    <x:font>
      <x:sz val="7"/>
      <x:color rgb="FF40372F"/>
      <x:name val="Carlito"/>
    </x:font>
    <x:font>
      <x:b/>
      <x:sz val="7"/>
      <x:color rgb="FF40372F"/>
      <x:name val="Carlito"/>
    </x:font>
    <x:font>
      <x:sz val="10"/>
      <x:color rgb="FF31483A"/>
      <x:name val="Carlito"/>
    </x:font>
    <x:font>
      <x:sz val="9"/>
      <x:color rgb="FF31483A"/>
      <x:name val="Carlito"/>
    </x:font>
    <x:font>
      <x:b/>
      <x:sz val="7"/>
      <x:color rgb="FF3E342C"/>
      <x:name val="Carlito"/>
    </x:font>
    <x:font>
      <x:sz val="10"/>
      <x:color rgb="FF443328"/>
      <x:name val="Carlito"/>
    </x:font>
    <x:font>
      <x:b/>
      <x:sz val="8"/>
      <x:color rgb="FF443328"/>
      <x:name val="Carlito"/>
    </x:font>
    <x:font>
      <x:sz val="9"/>
      <x:color rgb="FF274653"/>
      <x:name val="Carlito"/>
    </x:font>
    <x:font>
      <x:b/>
      <x:sz val="7"/>
      <x:color rgb="FF3C332C"/>
      <x:name val="Carlito"/>
    </x:font>
    <x:font>
      <x:b/>
      <x:sz val="6"/>
      <x:color rgb="FF3C332C"/>
      <x:name val="Carlito"/>
    </x:font>
    <x:font>
      <x:b/>
      <x:sz val="6"/>
      <x:color rgb="FF2E3A42"/>
      <x:name val="Carlito"/>
    </x:font>
    <x:font>
      <x:b/>
      <x:sz val="9"/>
      <x:color rgb="FF263532"/>
      <x:name val="Carlito"/>
    </x:font>
    <x:font>
      <x:b/>
      <x:sz val="9"/>
      <x:color rgb="FF4B382A"/>
      <x:name val="Carlito"/>
    </x:font>
    <x:font>
      <x:sz val="9"/>
      <x:color rgb="FF4B382A"/>
      <x:name val="Carlito"/>
    </x:font>
    <x:font>
      <x:b/>
      <x:sz val="6"/>
      <x:color rgb="FF4B382A"/>
      <x:name val="Carlito"/>
    </x:font>
    <x:font>
      <x:b/>
      <x:sz val="6"/>
      <x:color rgb="FF3B342B"/>
      <x:name val="Carlito"/>
    </x:font>
    <x:font>
      <x:sz val="10"/>
      <x:color rgb="FF2B2521"/>
      <x:name val="Carlito"/>
    </x:font>
  </x:fonts>
  <x:fills count="224">
    <x:fill>
      <x:patternFill patternType="none"/>
    </x:fill>
    <x:fill>
      <x:patternFill patternType="gray125"/>
    </x:fill>
    <x:fill>
      <x:patternFill patternType="solid">
        <x:fgColor rgb="FF5B4636"/>
      </x:patternFill>
    </x:fill>
    <x:fill>
      <x:patternFill patternType="solid">
        <x:fgColor rgb="FFFFF8E7"/>
      </x:patternFill>
    </x:fill>
    <x:fill>
      <x:patternFill patternType="solid">
        <x:fgColor rgb="FF37332E"/>
      </x:patternFill>
    </x:fill>
    <x:fill>
      <x:patternFill patternType="solid">
        <x:fgColor rgb="FFF7F3EA"/>
      </x:patternFill>
    </x:fill>
    <x:fill>
      <x:patternFill patternType="solid">
        <x:fgColor rgb="FFF3E2C7"/>
      </x:patternFill>
    </x:fill>
    <x:fill>
      <x:patternFill patternType="solid">
        <x:fgColor rgb="FFEAD4B5"/>
      </x:patternFill>
    </x:fill>
    <x:fill>
      <x:patternFill patternType="solid">
        <x:fgColor rgb="FFDDEBD8"/>
      </x:patternFill>
    </x:fill>
    <x:fill>
      <x:patternFill patternType="solid">
        <x:fgColor rgb="FFDCE8F5"/>
      </x:patternFill>
    </x:fill>
    <x:fill>
      <x:patternFill patternType="solid">
        <x:fgColor rgb="FFF7E7C6"/>
      </x:patternFill>
    </x:fill>
    <x:fill>
      <x:patternFill patternType="solid">
        <x:fgColor rgb="FFE2C9A5"/>
      </x:patternFill>
    </x:fill>
    <x:fill>
      <x:patternFill patternType="solid">
        <x:fgColor rgb="FFD9BE98"/>
      </x:patternFill>
    </x:fill>
    <x:fill>
      <x:patternFill patternType="solid">
        <x:fgColor rgb="FFCFB089"/>
      </x:patternFill>
    </x:fill>
    <x:fill>
      <x:patternFill patternType="solid">
        <x:fgColor rgb="FFD9EAF7"/>
      </x:patternFill>
    </x:fill>
    <x:fill>
      <x:patternFill patternType="solid">
        <x:fgColor rgb="FFCFE1F1"/>
      </x:patternFill>
    </x:fill>
    <x:fill>
      <x:patternFill patternType="solid">
        <x:fgColor rgb="FFC5D8EB"/>
      </x:patternFill>
    </x:fill>
    <x:fill>
      <x:patternFill patternType="solid">
        <x:fgColor rgb="FFBBD0E5"/>
      </x:patternFill>
    </x:fill>
    <x:fill>
      <x:patternFill patternType="solid">
        <x:fgColor rgb="FFE4DFEC"/>
      </x:patternFill>
    </x:fill>
    <x:fill>
      <x:patternFill patternType="solid">
        <x:fgColor rgb="FFFCE4D6"/>
      </x:patternFill>
    </x:fill>
    <x:fill>
      <x:patternFill patternType="solid">
        <x:fgColor rgb="FFE8DDF0"/>
      </x:patternFill>
    </x:fill>
    <x:fill>
      <x:patternFill patternType="solid">
        <x:fgColor rgb="FFDFD1E8"/>
      </x:patternFill>
    </x:fill>
    <x:fill>
      <x:patternFill patternType="solid">
        <x:fgColor rgb="FFD6C5E0"/>
      </x:patternFill>
    </x:fill>
    <x:fill>
      <x:patternFill patternType="solid">
        <x:fgColor rgb="FFCDB9D8"/>
      </x:patternFill>
    </x:fill>
    <x:fill>
      <x:patternFill patternType="solid">
        <x:fgColor rgb="FFD9E1F2"/>
      </x:patternFill>
    </x:fill>
    <x:fill>
      <x:patternFill patternType="solid">
        <x:fgColor rgb="FFF7F5EF"/>
      </x:patternFill>
    </x:fill>
    <x:fill>
      <x:patternFill patternType="solid">
        <x:fgColor rgb="FFC9DAF8"/>
      </x:patternFill>
    </x:fill>
    <x:fill>
      <x:patternFill patternType="solid">
        <x:fgColor rgb="FFD9D2E9"/>
      </x:patternFill>
    </x:fill>
    <x:fill>
      <x:patternFill patternType="solid">
        <x:fgColor rgb="FF9DC3E6"/>
      </x:patternFill>
    </x:fill>
    <x:fill>
      <x:patternFill patternType="solid">
        <x:fgColor rgb="FFB4C7E7"/>
      </x:patternFill>
    </x:fill>
    <x:fill>
      <x:patternFill patternType="solid">
        <x:fgColor rgb="FFBDD7EE"/>
      </x:patternFill>
    </x:fill>
    <x:fill>
      <x:patternFill patternType="solid">
        <x:fgColor rgb="FFF4B183"/>
      </x:patternFill>
    </x:fill>
    <x:fill>
      <x:patternFill patternType="solid">
        <x:fgColor rgb="FFFFE699"/>
      </x:patternFill>
    </x:fill>
    <x:fill>
      <x:patternFill patternType="solid">
        <x:fgColor rgb="FF2F6C61"/>
      </x:patternFill>
    </x:fill>
    <x:fill>
      <x:patternFill patternType="solid">
        <x:fgColor rgb="FFDCE8E4"/>
      </x:patternFill>
    </x:fill>
    <x:fill>
      <x:patternFill patternType="solid">
        <x:fgColor rgb="FFC9D9E8"/>
      </x:patternFill>
    </x:fill>
    <x:fill>
      <x:patternFill patternType="solid">
        <x:fgColor rgb="FFD9C2A7"/>
      </x:patternFill>
    </x:fill>
    <x:fill>
      <x:patternFill patternType="solid">
        <x:fgColor rgb="FFB8CCE4"/>
      </x:patternFill>
    </x:fill>
    <x:fill>
      <x:patternFill patternType="solid">
        <x:fgColor rgb="FFC6E0B4"/>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5B4636"/>
      </x:patternFill>
    </x:fill>
    <x:fill>
      <x:patternFill patternType="solid">
        <x:fgColor rgb="FFFCE8DF"/>
      </x:patternFill>
    </x:fill>
    <x:fill>
      <x:patternFill patternType="solid">
        <x:fgColor rgb="FFFCE8CF"/>
      </x:patternFill>
    </x:fill>
    <x:fill>
      <x:patternFill patternType="solid">
        <x:fgColor rgb="FFE8F4DF"/>
      </x:patternFill>
    </x:fill>
    <x:fill>
      <x:patternFill patternType="solid">
        <x:fgColor rgb="FFEEE6F7"/>
      </x:patternFill>
    </x:fill>
    <x:fill>
      <x:patternFill patternType="solid">
        <x:fgColor rgb="FFE4F0F8"/>
      </x:patternFill>
    </x:fill>
    <x:fill>
      <x:patternFill patternType="solid">
        <x:fgColor rgb="FFFFF2CC"/>
      </x:patternFill>
    </x:fill>
    <x:fill>
      <x:patternFill patternType="solid">
        <x:fgColor rgb="FFEFE6D8"/>
      </x:patternFill>
    </x:fill>
    <x:fill>
      <x:patternFill patternType="solid">
        <x:fgColor rgb="FFDCE8F5"/>
      </x:patternFill>
    </x:fill>
    <x:fill>
      <x:patternFill patternType="solid">
        <x:fgColor rgb="FFB4C7E7"/>
      </x:patternFill>
    </x:fill>
    <x:fill>
      <x:patternFill patternType="solid">
        <x:fgColor rgb="FFFCE8DF"/>
      </x:patternFill>
    </x:fill>
    <x:fill>
      <x:patternFill patternType="solid">
        <x:fgColor rgb="FFFFF2CC"/>
      </x:patternFill>
    </x:fill>
    <x:fill>
      <x:patternFill patternType="solid">
        <x:fgColor rgb="FFDDEBF7"/>
      </x:patternFill>
    </x:fill>
    <x:fill>
      <x:patternFill patternType="solid">
        <x:fgColor rgb="FFDDEBF7"/>
      </x:patternFill>
    </x:fill>
    <x:fill>
      <x:patternFill patternType="solid">
        <x:fgColor rgb="FFE4F0F8"/>
      </x:patternFill>
    </x:fill>
    <x:fill>
      <x:patternFill patternType="solid">
        <x:fgColor rgb="FFE8F4DF"/>
      </x:patternFill>
    </x:fill>
    <x:fill>
      <x:patternFill patternType="solid">
        <x:fgColor rgb="FFF3E5C8"/>
      </x:patternFill>
    </x:fill>
    <x:fill>
      <x:patternFill patternType="solid">
        <x:fgColor rgb="FF5B4636"/>
      </x:patternFill>
    </x:fill>
    <x:fill>
      <x:patternFill patternType="solid">
        <x:fgColor rgb="FFEFE6D8"/>
      </x:patternFill>
    </x:fill>
    <x:fill>
      <x:patternFill patternType="solid">
        <x:fgColor rgb="FF7A624F"/>
      </x:patternFill>
    </x:fill>
    <x:fill>
      <x:patternFill patternType="solid">
        <x:fgColor rgb="FFD9EAD3"/>
      </x:patternFill>
    </x:fill>
    <x:fill>
      <x:patternFill patternType="solid">
        <x:fgColor rgb="FFF4E9D8"/>
      </x:patternFill>
    </x:fill>
    <x:fill>
      <x:patternFill patternType="solid">
        <x:fgColor rgb="FF5B4636"/>
      </x:patternFill>
    </x:fill>
    <x:fill>
      <x:patternFill patternType="solid">
        <x:fgColor rgb="FF7A624F"/>
      </x:patternFill>
    </x:fill>
    <x:fill>
      <x:patternFill patternType="solid">
        <x:fgColor rgb="FF4E3A2C"/>
      </x:patternFill>
    </x:fill>
    <x:fill>
      <x:patternFill patternType="solid">
        <x:fgColor rgb="FFF1E6D5"/>
      </x:patternFill>
    </x:fill>
    <x:fill>
      <x:patternFill patternType="solid">
        <x:fgColor rgb="FF79614C"/>
      </x:patternFill>
    </x:fill>
    <x:fill>
      <x:patternFill patternType="solid">
        <x:fgColor rgb="FF5E7D6A"/>
      </x:patternFill>
    </x:fill>
    <x:fill>
      <x:patternFill patternType="solid">
        <x:fgColor rgb="FFEDE2D1"/>
      </x:patternFill>
    </x:fill>
    <x:fill>
      <x:patternFill patternType="solid">
        <x:fgColor rgb="FFFAF8F3"/>
      </x:patternFill>
    </x:fill>
    <x:fill>
      <x:patternFill patternType="solid">
        <x:fgColor rgb="FFEEF4F0"/>
      </x:patternFill>
    </x:fill>
    <x:fill>
      <x:patternFill patternType="solid">
        <x:fgColor rgb="FFE3EFF6"/>
      </x:patternFill>
    </x:fill>
    <x:fill>
      <x:patternFill patternType="solid">
        <x:fgColor rgb="FFEEE8DC"/>
      </x:patternFill>
    </x:fill>
    <x:fill>
      <x:patternFill patternType="solid">
        <x:fgColor rgb="FFF3E5C8"/>
      </x:patternFill>
    </x:fill>
    <x:fill>
      <x:patternFill patternType="solid">
        <x:fgColor rgb="FFF1E1C8"/>
      </x:patternFill>
    </x:fill>
    <x:fill>
      <x:patternFill patternType="solid">
        <x:fgColor rgb="FFE4F0DD"/>
      </x:patternFill>
    </x:fill>
    <x:fill>
      <x:patternFill patternType="solid">
        <x:fgColor rgb="FF4B382A"/>
      </x:patternFill>
    </x:fill>
    <x:fill>
      <x:patternFill patternType="solid">
        <x:fgColor rgb="FFF1E7D7"/>
      </x:patternFill>
    </x:fill>
    <x:fill>
      <x:patternFill patternType="solid">
        <x:fgColor rgb="FF75604D"/>
      </x:patternFill>
    </x:fill>
    <x:fill>
      <x:patternFill patternType="solid">
        <x:fgColor rgb="FF516E61"/>
      </x:patternFill>
    </x:fill>
    <x:fill>
      <x:patternFill patternType="solid">
        <x:fgColor rgb="FFEDE3D4"/>
      </x:patternFill>
    </x:fill>
    <x:fill>
      <x:patternFill patternType="solid">
        <x:fgColor rgb="FFFCFAF6"/>
      </x:patternFill>
    </x:fill>
    <x:fill>
      <x:patternFill patternType="solid">
        <x:fgColor rgb="FFEEF4F0"/>
      </x:patternFill>
    </x:fill>
    <x:fill>
      <x:patternFill patternType="solid">
        <x:fgColor rgb="FFF5EFD6"/>
      </x:patternFill>
    </x:fill>
    <x:fill>
      <x:patternFill patternType="solid">
        <x:fgColor rgb="FFF4E2A8"/>
      </x:patternFill>
    </x:fill>
    <x:fill>
      <x:patternFill patternType="solid">
        <x:fgColor rgb="FFDCEBD5"/>
      </x:patternFill>
    </x:fill>
    <x:fill>
      <x:patternFill patternType="solid">
        <x:fgColor rgb="FFE8D5B5"/>
      </x:patternFill>
    </x:fill>
    <x:fill>
      <x:patternFill patternType="solid">
        <x:fgColor rgb="FFE4D5C0"/>
      </x:patternFill>
    </x:fill>
    <x:fill>
      <x:patternFill patternType="solid">
        <x:fgColor rgb="FFF6D9D5"/>
      </x:patternFill>
    </x:fill>
    <x:fill>
      <x:patternFill patternType="solid">
        <x:fgColor rgb="FF4B382A"/>
      </x:patternFill>
    </x:fill>
    <x:fill>
      <x:patternFill patternType="solid">
        <x:fgColor rgb="FFE7D7BF"/>
      </x:patternFill>
    </x:fill>
    <x:fill>
      <x:patternFill patternType="solid">
        <x:fgColor rgb="FF6E5946"/>
      </x:patternFill>
    </x:fill>
    <x:fill>
      <x:patternFill patternType="solid">
        <x:fgColor rgb="FF4F6C5E"/>
      </x:patternFill>
    </x:fill>
    <x:fill>
      <x:patternFill patternType="solid">
        <x:fgColor rgb="FFE4D2BC"/>
      </x:patternFill>
    </x:fill>
    <x:fill>
      <x:patternFill patternType="solid">
        <x:fgColor rgb="FFE2E8E4"/>
      </x:patternFill>
    </x:fill>
    <x:fill>
      <x:patternFill patternType="solid">
        <x:fgColor rgb="FFF1E4CF"/>
      </x:patternFill>
    </x:fill>
    <x:fill>
      <x:patternFill patternType="solid">
        <x:fgColor rgb="FF7FA8CB"/>
      </x:patternFill>
    </x:fill>
    <x:fill>
      <x:patternFill patternType="solid">
        <x:fgColor rgb="FFD6B887"/>
      </x:patternFill>
    </x:fill>
    <x:fill>
      <x:patternFill patternType="solid">
        <x:fgColor rgb="FFD7C8B8"/>
      </x:patternFill>
    </x:fill>
    <x:fill>
      <x:patternFill patternType="solid">
        <x:fgColor rgb="FFBCA0D8"/>
      </x:patternFill>
    </x:fill>
    <x:fill>
      <x:patternFill patternType="solid">
        <x:fgColor rgb="FFD8C18D"/>
      </x:patternFill>
    </x:fill>
    <x:fill>
      <x:patternFill patternType="solid">
        <x:fgColor rgb="FFD9A4A4"/>
      </x:patternFill>
    </x:fill>
    <x:fill>
      <x:patternFill patternType="solid">
        <x:fgColor rgb="FFB79673"/>
      </x:patternFill>
    </x:fill>
    <x:fill>
      <x:patternFill patternType="solid">
        <x:fgColor rgb="FFC9A46C"/>
      </x:patternFill>
    </x:fill>
    <x:fill>
      <x:patternFill patternType="solid">
        <x:fgColor rgb="FFA5B4DA"/>
      </x:patternFill>
    </x:fill>
    <x:fill>
      <x:patternFill patternType="solid">
        <x:fgColor rgb="FF443328"/>
      </x:patternFill>
    </x:fill>
    <x:fill>
      <x:patternFill patternType="solid">
        <x:fgColor rgb="FFE4D5BE"/>
      </x:patternFill>
    </x:fill>
    <x:fill>
      <x:patternFill patternType="solid">
        <x:fgColor rgb="FF695443"/>
      </x:patternFill>
    </x:fill>
    <x:fill>
      <x:patternFill patternType="solid">
        <x:fgColor rgb="FF365F73"/>
      </x:patternFill>
    </x:fill>
    <x:fill>
      <x:patternFill patternType="solid">
        <x:fgColor rgb="FFE1CFB8"/>
      </x:patternFill>
    </x:fill>
    <x:fill>
      <x:patternFill patternType="solid">
        <x:fgColor rgb="FFE3ECEF"/>
      </x:patternFill>
    </x:fill>
    <x:fill>
      <x:patternFill patternType="solid">
        <x:fgColor rgb="FFEFE2CD"/>
      </x:patternFill>
    </x:fill>
    <x:fill>
      <x:patternFill patternType="solid">
        <x:fgColor rgb="FFD6B887"/>
      </x:patternFill>
    </x:fill>
    <x:fill>
      <x:patternFill patternType="solid">
        <x:fgColor rgb="FFC9A46C"/>
      </x:patternFill>
    </x:fill>
    <x:fill>
      <x:patternFill patternType="solid">
        <x:fgColor rgb="FFA5B4DA"/>
      </x:patternFill>
    </x:fill>
    <x:fill>
      <x:patternFill patternType="solid">
        <x:fgColor rgb="FFD7C8B8"/>
      </x:patternFill>
    </x:fill>
    <x:fill>
      <x:patternFill patternType="solid">
        <x:fgColor rgb="FFD9A58F"/>
      </x:patternFill>
    </x:fill>
    <x:fill>
      <x:patternFill patternType="solid">
        <x:fgColor rgb="FFBCA0D8"/>
      </x:patternFill>
    </x:fill>
    <x:fill>
      <x:patternFill patternType="solid">
        <x:fgColor rgb="FFB79673"/>
      </x:patternFill>
    </x:fill>
    <x:fill>
      <x:patternFill patternType="solid">
        <x:fgColor rgb="FFD9A4A4"/>
      </x:patternFill>
    </x:fill>
    <x:fill>
      <x:patternFill patternType="solid">
        <x:fgColor rgb="FFD8C18D"/>
      </x:patternFill>
    </x:fill>
    <x:fill>
      <x:patternFill patternType="solid">
        <x:fgColor rgb="FF8EA8C0"/>
      </x:patternFill>
    </x:fill>
    <x:fill>
      <x:patternFill patternType="solid">
        <x:fgColor rgb="FFB8D8EA"/>
      </x:patternFill>
    </x:fill>
    <x:fill>
      <x:patternFill patternType="solid">
        <x:fgColor rgb="FF443328"/>
      </x:patternFill>
    </x:fill>
    <x:fill>
      <x:patternFill patternType="solid">
        <x:fgColor rgb="FFE4D5BE"/>
      </x:patternFill>
    </x:fill>
    <x:fill>
      <x:patternFill patternType="solid">
        <x:fgColor rgb="FF695443"/>
      </x:patternFill>
    </x:fill>
    <x:fill>
      <x:patternFill patternType="solid">
        <x:fgColor rgb="FF365F73"/>
      </x:patternFill>
    </x:fill>
    <x:fill>
      <x:patternFill patternType="solid">
        <x:fgColor rgb="FFE1CFB8"/>
      </x:patternFill>
    </x:fill>
    <x:fill>
      <x:patternFill patternType="solid">
        <x:fgColor rgb="FFE3ECEF"/>
      </x:patternFill>
    </x:fill>
    <x:fill>
      <x:patternFill patternType="solid">
        <x:fgColor rgb="FFEFE2CD"/>
      </x:patternFill>
    </x:fill>
    <x:fill>
      <x:patternFill patternType="solid">
        <x:fgColor rgb="FFD6B887"/>
      </x:patternFill>
    </x:fill>
    <x:fill>
      <x:patternFill patternType="solid">
        <x:fgColor rgb="FFC9A46C"/>
      </x:patternFill>
    </x:fill>
    <x:fill>
      <x:patternFill patternType="solid">
        <x:fgColor rgb="FFA5B4DA"/>
      </x:patternFill>
    </x:fill>
    <x:fill>
      <x:patternFill patternType="solid">
        <x:fgColor rgb="FFD7C8B8"/>
      </x:patternFill>
    </x:fill>
    <x:fill>
      <x:patternFill patternType="solid">
        <x:fgColor rgb="FFD9A58F"/>
      </x:patternFill>
    </x:fill>
    <x:fill>
      <x:patternFill patternType="solid">
        <x:fgColor rgb="FFBCA0D8"/>
      </x:patternFill>
    </x:fill>
    <x:fill>
      <x:patternFill patternType="solid">
        <x:fgColor rgb="FFB79673"/>
      </x:patternFill>
    </x:fill>
    <x:fill>
      <x:patternFill patternType="solid">
        <x:fgColor rgb="FFD9A4A4"/>
      </x:patternFill>
    </x:fill>
    <x:fill>
      <x:patternFill patternType="solid">
        <x:fgColor rgb="FFD8C18D"/>
      </x:patternFill>
    </x:fill>
    <x:fill>
      <x:patternFill patternType="solid">
        <x:fgColor rgb="FF8EA8C0"/>
      </x:patternFill>
    </x:fill>
    <x:fill>
      <x:patternFill patternType="solid">
        <x:fgColor rgb="FFB8D8EA"/>
      </x:patternFill>
    </x:fill>
    <x:fill>
      <x:patternFill patternType="solid">
        <x:fgColor rgb="FFB8D8EA"/>
      </x:patternFill>
    </x:fill>
    <x:fill>
      <x:patternFill patternType="solid">
        <x:fgColor rgb="FFF7E7C6"/>
      </x:patternFill>
    </x:fill>
    <x:fill>
      <x:patternFill patternType="solid">
        <x:fgColor rgb="FFDCE8F5"/>
      </x:patternFill>
    </x:fill>
    <x:fill>
      <x:patternFill patternType="solid">
        <x:fgColor rgb="FFF3E5C8"/>
      </x:patternFill>
    </x:fill>
    <x:fill>
      <x:patternFill patternType="solid">
        <x:fgColor rgb="FFE4DFEC"/>
      </x:patternFill>
    </x:fill>
    <x:fill>
      <x:patternFill patternType="solid">
        <x:fgColor rgb="FFB8D8EA"/>
      </x:patternFill>
    </x:fill>
    <x:fill>
      <x:patternFill patternType="solid">
        <x:fgColor rgb="FFE8F4DF"/>
      </x:patternFill>
    </x:fill>
    <x:fill>
      <x:patternFill patternType="solid">
        <x:fgColor rgb="FFDCE8F5"/>
      </x:patternFill>
    </x:fill>
    <x:fill>
      <x:patternFill patternType="solid">
        <x:fgColor rgb="FFF3E5C8"/>
      </x:patternFill>
    </x:fill>
    <x:fill>
      <x:patternFill patternType="solid">
        <x:fgColor rgb="FFE4DFEC"/>
      </x:patternFill>
    </x:fill>
    <x:fill>
      <x:patternFill patternType="solid">
        <x:fgColor rgb="FF7A5D3B"/>
      </x:patternFill>
    </x:fill>
    <x:fill>
      <x:patternFill patternType="solid">
        <x:fgColor rgb="FFF7E7C6"/>
      </x:patternFill>
    </x:fill>
    <x:fill>
      <x:patternFill patternType="solid">
        <x:fgColor rgb="FFF7E7C6"/>
      </x:patternFill>
    </x:fill>
    <x:fill>
      <x:patternFill patternType="solid">
        <x:fgColor rgb="FFE6D0A8"/>
      </x:patternFill>
    </x:fill>
    <x:fill>
      <x:patternFill patternType="solid">
        <x:fgColor rgb="FFEFE2CD"/>
      </x:patternFill>
    </x:fill>
    <x:fill>
      <x:patternFill patternType="solid">
        <x:fgColor rgb="FFF7E7C6"/>
      </x:patternFill>
    </x:fill>
    <x:fill>
      <x:patternFill patternType="solid">
        <x:fgColor rgb="FF443328"/>
      </x:patternFill>
    </x:fill>
    <x:fill>
      <x:patternFill patternType="solid">
        <x:fgColor rgb="FFE4D5BE"/>
      </x:patternFill>
    </x:fill>
    <x:fill>
      <x:patternFill patternType="solid">
        <x:fgColor rgb="FF695443"/>
      </x:patternFill>
    </x:fill>
    <x:fill>
      <x:patternFill patternType="solid">
        <x:fgColor rgb="FF365F73"/>
      </x:patternFill>
    </x:fill>
    <x:fill>
      <x:patternFill patternType="solid">
        <x:fgColor rgb="FFE1CFB8"/>
      </x:patternFill>
    </x:fill>
    <x:fill>
      <x:patternFill patternType="solid">
        <x:fgColor rgb="FFE3ECEF"/>
      </x:patternFill>
    </x:fill>
    <x:fill>
      <x:patternFill patternType="solid">
        <x:fgColor rgb="FFEFE2CD"/>
      </x:patternFill>
    </x:fill>
    <x:fill>
      <x:patternFill patternType="solid">
        <x:fgColor rgb="FFD6B887"/>
      </x:patternFill>
    </x:fill>
    <x:fill>
      <x:patternFill patternType="solid">
        <x:fgColor rgb="FFA5B4DA"/>
      </x:patternFill>
    </x:fill>
    <x:fill>
      <x:patternFill patternType="solid">
        <x:fgColor rgb="FFD7C8B8"/>
      </x:patternFill>
    </x:fill>
    <x:fill>
      <x:patternFill patternType="solid">
        <x:fgColor rgb="FFBCA0D8"/>
      </x:patternFill>
    </x:fill>
    <x:fill>
      <x:patternFill patternType="solid">
        <x:fgColor rgb="FFC9A46C"/>
      </x:patternFill>
    </x:fill>
    <x:fill>
      <x:patternFill patternType="solid">
        <x:fgColor rgb="FFB79673"/>
      </x:patternFill>
    </x:fill>
    <x:fill>
      <x:patternFill patternType="solid">
        <x:fgColor rgb="FFD9A4A4"/>
      </x:patternFill>
    </x:fill>
    <x:fill>
      <x:patternFill patternType="solid">
        <x:fgColor rgb="FFB8D8EA"/>
      </x:patternFill>
    </x:fill>
    <x:fill>
      <x:patternFill patternType="solid">
        <x:fgColor rgb="FFE6D0A8"/>
      </x:patternFill>
    </x:fill>
    <x:fill>
      <x:patternFill patternType="solid">
        <x:fgColor rgb="FF7A5D3B"/>
      </x:patternFill>
    </x:fill>
    <x:fill>
      <x:patternFill patternType="solid">
        <x:fgColor rgb="FFF7E7C6"/>
      </x:patternFill>
    </x:fill>
    <x:fill>
      <x:patternFill patternType="solid">
        <x:fgColor rgb="FFF7E7C6"/>
      </x:patternFill>
    </x:fill>
    <x:fill>
      <x:patternFill patternType="solid">
        <x:fgColor rgb="FF443328"/>
      </x:patternFill>
    </x:fill>
    <x:fill>
      <x:patternFill patternType="solid">
        <x:fgColor rgb="FFE4D5BE"/>
      </x:patternFill>
    </x:fill>
    <x:fill>
      <x:patternFill patternType="solid">
        <x:fgColor rgb="FF695443"/>
      </x:patternFill>
    </x:fill>
    <x:fill>
      <x:patternFill patternType="solid">
        <x:fgColor rgb="FF365F73"/>
      </x:patternFill>
    </x:fill>
    <x:fill>
      <x:patternFill patternType="solid">
        <x:fgColor rgb="FFE1CFB8"/>
      </x:patternFill>
    </x:fill>
    <x:fill>
      <x:patternFill patternType="solid">
        <x:fgColor rgb="FFE3ECEF"/>
      </x:patternFill>
    </x:fill>
    <x:fill>
      <x:patternFill patternType="solid">
        <x:fgColor rgb="FFEFE2CD"/>
      </x:patternFill>
    </x:fill>
    <x:fill>
      <x:patternFill patternType="solid">
        <x:fgColor rgb="FFA5B4DA"/>
      </x:patternFill>
    </x:fill>
    <x:fill>
      <x:patternFill patternType="solid">
        <x:fgColor rgb="FFD7C8B8"/>
      </x:patternFill>
    </x:fill>
    <x:fill>
      <x:patternFill patternType="solid">
        <x:fgColor rgb="FFBCA0D8"/>
      </x:patternFill>
    </x:fill>
    <x:fill>
      <x:patternFill patternType="solid">
        <x:fgColor rgb="FFC9A46C"/>
      </x:patternFill>
    </x:fill>
    <x:fill>
      <x:patternFill patternType="solid">
        <x:fgColor rgb="FFB79673"/>
      </x:patternFill>
    </x:fill>
    <x:fill>
      <x:patternFill patternType="solid">
        <x:fgColor rgb="FFD9A4A4"/>
      </x:patternFill>
    </x:fill>
    <x:fill>
      <x:patternFill patternType="solid">
        <x:fgColor rgb="FFD6B887"/>
      </x:patternFill>
    </x:fill>
    <x:fill>
      <x:patternFill patternType="solid">
        <x:fgColor rgb="FFB8D8EA"/>
      </x:patternFill>
    </x:fill>
    <x:fill>
      <x:patternFill patternType="solid">
        <x:fgColor rgb="FFE6D0A8"/>
      </x:patternFill>
    </x:fill>
    <x:fill>
      <x:patternFill patternType="solid">
        <x:fgColor rgb="FF7A5D3B"/>
      </x:patternFill>
    </x:fill>
    <x:fill>
      <x:patternFill patternType="solid">
        <x:fgColor rgb="FFFFF2CC"/>
      </x:patternFill>
    </x:fill>
  </x:fills>
  <x:borders count="66">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auto="1"/>
      </x:left>
      <x:right style="thin">
        <x:color auto="1"/>
      </x:right>
      <x:top style="thin">
        <x:color auto="1"/>
      </x:top>
      <x:bottom style="thin">
        <x:color auto="1"/>
      </x:bottom>
    </x:border>
    <x:border>
      <x:top style="dashed">
        <x:color rgb="FFB18B32"/>
      </x:top>
    </x:border>
    <x:border>
      <x:bottom style="dashed">
        <x:color rgb="FFB18B32"/>
      </x:bottom>
    </x:border>
    <x:border>
      <x:left style="dashed">
        <x:color rgb="FFB18B32"/>
      </x:left>
      <x:top style="dashed">
        <x:color rgb="FFB18B32"/>
      </x:top>
    </x:border>
    <x:border>
      <x:left style="dashed">
        <x:color rgb="FFB18B32"/>
      </x:left>
    </x:border>
    <x:border>
      <x:left style="dashed">
        <x:color rgb="FFB18B32"/>
      </x:left>
      <x:bottom style="dashed">
        <x:color rgb="FFB18B32"/>
      </x:bottom>
    </x:border>
    <x:border>
      <x:right style="dashed">
        <x:color rgb="FFB18B32"/>
      </x:right>
      <x:top style="dashed">
        <x:color rgb="FFB18B32"/>
      </x:top>
    </x:border>
    <x:border>
      <x:right style="dashed">
        <x:color rgb="FFB18B32"/>
      </x:right>
    </x:border>
    <x:border>
      <x:right style="dashed">
        <x:color rgb="FFB18B32"/>
      </x:right>
      <x:bottom style="dashed">
        <x:color rgb="FFB18B32"/>
      </x:bottom>
    </x:border>
    <x:border>
      <x:top style="medium">
        <x:color rgb="FF9B751E"/>
      </x:top>
    </x:border>
    <x:border>
      <x:bottom style="medium">
        <x:color rgb="FF9B751E"/>
      </x:bottom>
    </x:border>
    <x:border>
      <x:left style="medium">
        <x:color rgb="FF9B751E"/>
      </x:left>
      <x:top style="medium">
        <x:color rgb="FF9B751E"/>
      </x:top>
    </x:border>
    <x:border>
      <x:left style="medium">
        <x:color rgb="FF9B751E"/>
      </x:left>
    </x:border>
    <x:border>
      <x:left style="medium">
        <x:color rgb="FF9B751E"/>
      </x:left>
      <x:bottom style="medium">
        <x:color rgb="FF9B751E"/>
      </x:bottom>
    </x:border>
    <x:border>
      <x:right style="medium">
        <x:color rgb="FF9B751E"/>
      </x:right>
      <x:top style="medium">
        <x:color rgb="FF9B751E"/>
      </x:top>
    </x:border>
    <x:border>
      <x:right style="medium">
        <x:color rgb="FF9B751E"/>
      </x:right>
    </x:border>
    <x:border>
      <x:right style="medium">
        <x:color rgb="FF9B751E"/>
      </x:right>
      <x:bottom style="medium">
        <x:color rgb="FF9B751E"/>
      </x:bottom>
    </x:border>
    <x:border>
      <x:top style="medium">
        <x:color rgb="FF4F7C45"/>
      </x:top>
    </x:border>
    <x:border>
      <x:bottom style="medium">
        <x:color rgb="FF4F7C45"/>
      </x:bottom>
    </x:border>
    <x:border>
      <x:left style="medium">
        <x:color rgb="FF4F7C45"/>
      </x:left>
      <x:top style="medium">
        <x:color rgb="FF4F7C45"/>
      </x:top>
    </x:border>
    <x:border>
      <x:left style="medium">
        <x:color rgb="FF4F7C45"/>
      </x:left>
    </x:border>
    <x:border>
      <x:left style="medium">
        <x:color rgb="FF4F7C45"/>
      </x:left>
      <x:bottom style="medium">
        <x:color rgb="FF4F7C45"/>
      </x:bottom>
    </x:border>
    <x:border>
      <x:right style="medium">
        <x:color rgb="FF4F7C45"/>
      </x:right>
      <x:top style="medium">
        <x:color rgb="FF4F7C45"/>
      </x:top>
    </x:border>
    <x:border>
      <x:right style="medium">
        <x:color rgb="FF4F7C45"/>
      </x:right>
    </x:border>
    <x:border>
      <x:right style="medium">
        <x:color rgb="FF4F7C45"/>
      </x:right>
      <x:bottom style="medium">
        <x:color rgb="FF4F7C45"/>
      </x:bottom>
    </x:border>
    <x:border>
      <x:top style="dashed">
        <x:color rgb="FF4D8398"/>
      </x:top>
    </x:border>
    <x:border>
      <x:bottom style="dashed">
        <x:color rgb="FF4D8398"/>
      </x:bottom>
    </x:border>
    <x:border>
      <x:left style="dashed">
        <x:color rgb="FF4D8398"/>
      </x:left>
      <x:top style="dashed">
        <x:color rgb="FF4D8398"/>
      </x:top>
    </x:border>
    <x:border>
      <x:left style="dashed">
        <x:color rgb="FF4D8398"/>
      </x:left>
    </x:border>
    <x:border>
      <x:left style="dashed">
        <x:color rgb="FF4D8398"/>
      </x:left>
      <x:bottom style="dashed">
        <x:color rgb="FF4D8398"/>
      </x:bottom>
    </x:border>
    <x:border>
      <x:right style="dashed">
        <x:color rgb="FF4D8398"/>
      </x:right>
      <x:top style="dashed">
        <x:color rgb="FF4D8398"/>
      </x:top>
    </x:border>
    <x:border>
      <x:right style="dashed">
        <x:color rgb="FF4D8398"/>
      </x:right>
    </x:border>
    <x:border>
      <x:right style="dashed">
        <x:color rgb="FF4D8398"/>
      </x:right>
      <x:bottom style="dashed">
        <x:color rgb="FF4D8398"/>
      </x:bottom>
    </x:border>
    <x:border>
      <x:left style="medium">
        <x:color rgb="FF397CA8"/>
      </x:left>
    </x:border>
    <x:border>
      <x:right style="medium">
        <x:color rgb="FF397CA8"/>
      </x:right>
    </x:border>
    <x:border>
      <x:top style="medium">
        <x:color rgb="FF397CA8"/>
      </x:top>
    </x:border>
    <x:border>
      <x:bottom style="medium">
        <x:color rgb="FF397CA8"/>
      </x:bottom>
    </x:border>
    <x:border>
      <x:left style="medium">
        <x:color rgb="FF397CA8"/>
      </x:left>
      <x:top style="medium">
        <x:color rgb="FF397CA8"/>
      </x:top>
    </x:border>
    <x:border>
      <x:left style="thin">
        <x:color rgb="FFD6C6B4"/>
      </x:left>
      <x:right style="thin">
        <x:color rgb="FFD6C6B4"/>
      </x:right>
      <x:top style="medium">
        <x:color rgb="FF397CA8"/>
      </x:top>
      <x:bottom style="thin">
        <x:color rgb="FFD6C6B4"/>
      </x:bottom>
    </x:border>
    <x:border>
      <x:top style="medium">
        <x:color rgb="FF6D4D8D"/>
      </x:top>
    </x:border>
    <x:border>
      <x:bottom style="medium">
        <x:color rgb="FF6D4D8D"/>
      </x:bottom>
    </x:border>
    <x:border>
      <x:right style="dashed">
        <x:color rgb="FF4D8398"/>
      </x:right>
      <x:top style="medium">
        <x:color rgb="FF6D4D8D"/>
      </x:top>
    </x:border>
    <x:border>
      <x:right style="dashed">
        <x:color rgb="FF4D8398"/>
      </x:right>
      <x:bottom style="medium">
        <x:color rgb="FF6D4D8D"/>
      </x:bottom>
    </x:border>
    <x:border>
      <x:left style="medium">
        <x:color rgb="FF6D4D8D"/>
      </x:left>
      <x:top style="medium">
        <x:color rgb="FF6D4D8D"/>
      </x:top>
    </x:border>
    <x:border>
      <x:right style="medium">
        <x:color rgb="FF6D4D8D"/>
      </x:right>
      <x:top style="medium">
        <x:color rgb="FF6D4D8D"/>
      </x:top>
    </x:border>
    <x:border>
      <x:left style="medium">
        <x:color rgb="FF6D4D8D"/>
      </x:left>
    </x:border>
    <x:border>
      <x:right style="medium">
        <x:color rgb="FF6D4D8D"/>
      </x:right>
    </x:border>
    <x:border>
      <x:left style="medium">
        <x:color rgb="FF6D4D8D"/>
      </x:left>
      <x:bottom style="medium">
        <x:color rgb="FF6D4D8D"/>
      </x:bottom>
    </x:border>
    <x:border>
      <x:right style="medium">
        <x:color rgb="FF6D4D8D"/>
      </x:right>
      <x:bottom style="medium">
        <x:color rgb="FF6D4D8D"/>
      </x:bottom>
    </x:border>
    <x:border>
      <x:left style="medium">
        <x:color rgb="FF6D4D8D"/>
      </x:left>
      <x:bottom style="medium">
        <x:color rgb="FF397CA8"/>
      </x:bottom>
    </x:border>
    <x:border>
      <x:left style="thin">
        <x:color rgb="FF7B9FB5"/>
      </x:left>
      <x:right style="thin">
        <x:color rgb="FF7B9FB5"/>
      </x:right>
      <x:top style="dashed">
        <x:color rgb="FFB38A32"/>
      </x:top>
      <x:bottom style="thin">
        <x:color rgb="FF7B9FB5"/>
      </x:bottom>
    </x:border>
    <x:border>
      <x:left style="medium">
        <x:color rgb="FFB38A32"/>
      </x:left>
      <x:right style="medium">
        <x:color rgb="FFB38A32"/>
      </x:right>
      <x:top style="medium">
        <x:color rgb="FFB38A32"/>
      </x:top>
      <x:bottom style="medium">
        <x:color rgb="FFB38A32"/>
      </x:bottom>
    </x:border>
    <x:border>
      <x:left style="thin">
        <x:color rgb="FFC6A66B"/>
      </x:left>
      <x:right style="medium">
        <x:color rgb="FF397CA8"/>
      </x:right>
      <x:top style="thin">
        <x:color rgb="FFC6A66B"/>
      </x:top>
      <x:bottom style="thin">
        <x:color rgb="FFC6A66B"/>
      </x:bottom>
    </x:border>
    <x:border>
      <x:left style="medium">
        <x:color rgb="FF397CA8"/>
      </x:left>
      <x:right style="medium">
        <x:color rgb="FF397CA8"/>
      </x:right>
      <x:top style="thin">
        <x:color rgb="FFC8AA7C"/>
      </x:top>
      <x:bottom style="thin">
        <x:color rgb="FFC8AA7C"/>
      </x:bottom>
    </x:border>
    <x:border>
      <x:left style="medium">
        <x:color rgb="FF397CA8"/>
      </x:left>
      <x:right style="medium">
        <x:color rgb="FFB38A32"/>
      </x:right>
      <x:top style="medium">
        <x:color rgb="FFB38A32"/>
      </x:top>
      <x:bottom style="medium">
        <x:color rgb="FFB38A32"/>
      </x:bottom>
    </x:border>
  </x:borders>
  <x:cellStyleXfs count="50">
    <x:xf numFmtId="0" fontId="27" fillId="0" borderId="0">
      <x:alignment vertical="center"/>
    </x:xf>
    <x:xf numFmtId="43" fontId="27" fillId="0" borderId="0" applyFont="0" applyFill="0" applyBorder="0" applyAlignment="0" applyProtection="0">
      <x:alignment vertical="center"/>
    </x:xf>
    <x:xf numFmtId="44" fontId="27" fillId="0" borderId="0" applyFont="0" applyFill="0" applyBorder="0" applyAlignment="0" applyProtection="0">
      <x:alignment vertical="center"/>
    </x:xf>
    <x:xf numFmtId="9" fontId="27" fillId="0" borderId="0" applyFont="0" applyFill="0" applyBorder="0" applyAlignment="0" applyProtection="0">
      <x:alignment vertical="center"/>
    </x:xf>
    <x:xf numFmtId="41" fontId="27" fillId="0" borderId="0" applyFont="0" applyFill="0" applyBorder="0" applyAlignment="0" applyProtection="0">
      <x:alignment vertical="center"/>
    </x:xf>
    <x:xf numFmtId="42" fontId="27" fillId="0" borderId="0" applyFont="0" applyFill="0" applyBorder="0" applyAlignment="0" applyProtection="0">
      <x:alignment vertical="center"/>
    </x:xf>
    <x:xf numFmtId="0" fontId="28" fillId="0" borderId="0" applyNumberFormat="0" applyFill="0" applyBorder="0" applyAlignment="0" applyProtection="0">
      <x:alignment vertical="center"/>
    </x:xf>
    <x:xf numFmtId="0" fontId="29" fillId="0" borderId="0" applyNumberFormat="0" applyFill="0" applyBorder="0" applyAlignment="0" applyProtection="0">
      <x:alignment vertical="center"/>
    </x:xf>
    <x:xf numFmtId="0" fontId="27" fillId="39" borderId="2" applyNumberFormat="0" applyFont="0" applyAlignment="0" applyProtection="0">
      <x:alignment vertical="center"/>
    </x:xf>
    <x:xf numFmtId="0" fontId="30" fillId="0" borderId="0" applyNumberFormat="0" applyFill="0" applyBorder="0" applyAlignment="0" applyProtection="0">
      <x:alignment vertical="center"/>
    </x:xf>
    <x:xf numFmtId="0" fontId="31" fillId="0" borderId="0" applyNumberFormat="0" applyFill="0" applyBorder="0" applyAlignment="0" applyProtection="0">
      <x:alignment vertical="center"/>
    </x:xf>
    <x:xf numFmtId="0" fontId="32" fillId="0" borderId="0" applyNumberFormat="0" applyFill="0" applyBorder="0" applyAlignment="0" applyProtection="0">
      <x:alignment vertical="center"/>
    </x:xf>
    <x:xf numFmtId="0" fontId="33" fillId="0" borderId="3" applyNumberFormat="0" applyFill="0" applyAlignment="0" applyProtection="0">
      <x:alignment vertical="center"/>
    </x:xf>
    <x:xf numFmtId="0" fontId="34" fillId="0" borderId="3" applyNumberFormat="0" applyFill="0" applyAlignment="0" applyProtection="0">
      <x:alignment vertical="center"/>
    </x:xf>
    <x:xf numFmtId="0" fontId="35" fillId="0" borderId="4" applyNumberFormat="0" applyFill="0" applyAlignment="0" applyProtection="0">
      <x:alignment vertical="center"/>
    </x:xf>
    <x:xf numFmtId="0" fontId="35" fillId="0" borderId="0" applyNumberFormat="0" applyFill="0" applyBorder="0" applyAlignment="0" applyProtection="0">
      <x:alignment vertical="center"/>
    </x:xf>
    <x:xf numFmtId="0" fontId="36" fillId="40" borderId="5" applyNumberFormat="0" applyAlignment="0" applyProtection="0">
      <x:alignment vertical="center"/>
    </x:xf>
    <x:xf numFmtId="0" fontId="37" fillId="41" borderId="6" applyNumberFormat="0" applyAlignment="0" applyProtection="0">
      <x:alignment vertical="center"/>
    </x:xf>
    <x:xf numFmtId="0" fontId="38" fillId="41" borderId="5" applyNumberFormat="0" applyAlignment="0" applyProtection="0">
      <x:alignment vertical="center"/>
    </x:xf>
    <x:xf numFmtId="0" fontId="39" fillId="42" borderId="7" applyNumberFormat="0" applyAlignment="0" applyProtection="0">
      <x:alignment vertical="center"/>
    </x:xf>
    <x:xf numFmtId="0" fontId="40" fillId="0" borderId="8" applyNumberFormat="0" applyFill="0" applyAlignment="0" applyProtection="0">
      <x:alignment vertical="center"/>
    </x:xf>
    <x:xf numFmtId="0" fontId="41" fillId="0" borderId="9" applyNumberFormat="0" applyFill="0" applyAlignment="0" applyProtection="0">
      <x:alignment vertical="center"/>
    </x:xf>
    <x:xf numFmtId="0" fontId="42" fillId="43" borderId="0" applyNumberFormat="0" applyBorder="0" applyAlignment="0" applyProtection="0">
      <x:alignment vertical="center"/>
    </x:xf>
    <x:xf numFmtId="0" fontId="43" fillId="44" borderId="0" applyNumberFormat="0" applyBorder="0" applyAlignment="0" applyProtection="0">
      <x:alignment vertical="center"/>
    </x:xf>
    <x:xf numFmtId="0" fontId="44" fillId="45" borderId="0" applyNumberFormat="0" applyBorder="0" applyAlignment="0" applyProtection="0">
      <x:alignment vertical="center"/>
    </x:xf>
    <x:xf numFmtId="0" fontId="45" fillId="46" borderId="0" applyNumberFormat="0" applyBorder="0" applyAlignment="0" applyProtection="0">
      <x:alignment vertical="center"/>
    </x:xf>
    <x:xf numFmtId="0" fontId="27" fillId="47" borderId="0" applyNumberFormat="0" applyBorder="0" applyAlignment="0" applyProtection="0">
      <x:alignment vertical="center"/>
    </x:xf>
    <x:xf numFmtId="0" fontId="27" fillId="48" borderId="0" applyNumberFormat="0" applyBorder="0" applyAlignment="0" applyProtection="0">
      <x:alignment vertical="center"/>
    </x:xf>
    <x:xf numFmtId="0" fontId="45" fillId="49" borderId="0" applyNumberFormat="0" applyBorder="0" applyAlignment="0" applyProtection="0">
      <x:alignment vertical="center"/>
    </x:xf>
    <x:xf numFmtId="0" fontId="45" fillId="50" borderId="0" applyNumberFormat="0" applyBorder="0" applyAlignment="0" applyProtection="0">
      <x:alignment vertical="center"/>
    </x:xf>
    <x:xf numFmtId="0" fontId="27" fillId="51" borderId="0" applyNumberFormat="0" applyBorder="0" applyAlignment="0" applyProtection="0">
      <x:alignment vertical="center"/>
    </x:xf>
    <x:xf numFmtId="0" fontId="27" fillId="52" borderId="0" applyNumberFormat="0" applyBorder="0" applyAlignment="0" applyProtection="0">
      <x:alignment vertical="center"/>
    </x:xf>
    <x:xf numFmtId="0" fontId="45" fillId="53" borderId="0" applyNumberFormat="0" applyBorder="0" applyAlignment="0" applyProtection="0">
      <x:alignment vertical="center"/>
    </x:xf>
    <x:xf numFmtId="0" fontId="45" fillId="54" borderId="0" applyNumberFormat="0" applyBorder="0" applyAlignment="0" applyProtection="0">
      <x:alignment vertical="center"/>
    </x:xf>
    <x:xf numFmtId="0" fontId="27" fillId="55" borderId="0" applyNumberFormat="0" applyBorder="0" applyAlignment="0" applyProtection="0">
      <x:alignment vertical="center"/>
    </x:xf>
    <x:xf numFmtId="0" fontId="27" fillId="56" borderId="0" applyNumberFormat="0" applyBorder="0" applyAlignment="0" applyProtection="0">
      <x:alignment vertical="center"/>
    </x:xf>
    <x:xf numFmtId="0" fontId="45" fillId="57" borderId="0" applyNumberFormat="0" applyBorder="0" applyAlignment="0" applyProtection="0">
      <x:alignment vertical="center"/>
    </x:xf>
    <x:xf numFmtId="0" fontId="45" fillId="58" borderId="0" applyNumberFormat="0" applyBorder="0" applyAlignment="0" applyProtection="0">
      <x:alignment vertical="center"/>
    </x:xf>
    <x:xf numFmtId="0" fontId="27" fillId="59" borderId="0" applyNumberFormat="0" applyBorder="0" applyAlignment="0" applyProtection="0">
      <x:alignment vertical="center"/>
    </x:xf>
    <x:xf numFmtId="0" fontId="27" fillId="60" borderId="0" applyNumberFormat="0" applyBorder="0" applyAlignment="0" applyProtection="0">
      <x:alignment vertical="center"/>
    </x:xf>
    <x:xf numFmtId="0" fontId="45" fillId="61" borderId="0" applyNumberFormat="0" applyBorder="0" applyAlignment="0" applyProtection="0">
      <x:alignment vertical="center"/>
    </x:xf>
    <x:xf numFmtId="0" fontId="45" fillId="62" borderId="0" applyNumberFormat="0" applyBorder="0" applyAlignment="0" applyProtection="0">
      <x:alignment vertical="center"/>
    </x:xf>
    <x:xf numFmtId="0" fontId="27" fillId="63" borderId="0" applyNumberFormat="0" applyBorder="0" applyAlignment="0" applyProtection="0">
      <x:alignment vertical="center"/>
    </x:xf>
    <x:xf numFmtId="0" fontId="27" fillId="64" borderId="0" applyNumberFormat="0" applyBorder="0" applyAlignment="0" applyProtection="0">
      <x:alignment vertical="center"/>
    </x:xf>
    <x:xf numFmtId="0" fontId="45" fillId="65" borderId="0" applyNumberFormat="0" applyBorder="0" applyAlignment="0" applyProtection="0">
      <x:alignment vertical="center"/>
    </x:xf>
    <x:xf numFmtId="0" fontId="45" fillId="66" borderId="0" applyNumberFormat="0" applyBorder="0" applyAlignment="0" applyProtection="0">
      <x:alignment vertical="center"/>
    </x:xf>
    <x:xf numFmtId="0" fontId="27" fillId="67" borderId="0" applyNumberFormat="0" applyBorder="0" applyAlignment="0" applyProtection="0">
      <x:alignment vertical="center"/>
    </x:xf>
    <x:xf numFmtId="0" fontId="27" fillId="68" borderId="0" applyNumberFormat="0" applyBorder="0" applyAlignment="0" applyProtection="0">
      <x:alignment vertical="center"/>
    </x:xf>
    <x:xf numFmtId="0" fontId="45" fillId="69" borderId="0" applyNumberFormat="0" applyBorder="0" applyAlignment="0" applyProtection="0">
      <x:alignment vertical="center"/>
    </x:xf>
    <x:xf numFmtId="0" fontId="0" fillId="0" borderId="0"/>
  </x:cellStyleXfs>
  <x:cellXfs count="1705">
    <x:xf numFmtId="0" fontId="0" fillId="0" borderId="0" xfId="49"/>
    <x:xf numFmtId="0" fontId="1" fillId="2" borderId="0" xfId="49" applyNumberFormat="1" applyFont="1" applyFill="1" applyBorder="1" applyAlignment="1">
      <x:alignment horizontal="center" vertical="center"/>
    </x:xf>
    <x:xf numFmtId="0" fontId="2" fillId="3" borderId="0" xfId="49" applyNumberFormat="1" applyFont="1" applyFill="1" applyBorder="1" applyAlignment="1">
      <x:alignment vertical="center" wrapText="1"/>
    </x:xf>
    <x:xf numFmtId="0" fontId="3" fillId="4" borderId="0" xfId="49" applyNumberFormat="1" applyFont="1" applyFill="1" applyBorder="1" applyAlignment="1">
      <x:alignment horizontal="center"/>
    </x:xf>
    <x:xf numFmtId="0" fontId="4" fillId="5" borderId="0" xfId="49" applyNumberFormat="1" applyFont="1" applyFill="1" applyBorder="1" applyAlignment="1">
      <x:alignment horizontal="center" vertical="center"/>
    </x:xf>
    <x:xf numFmtId="0" fontId="4" fillId="0" borderId="0" xfId="49" applyNumberFormat="1" applyFont="1" applyFill="1" applyBorder="1" applyAlignment="1">
      <x:alignment horizontal="center" vertical="center"/>
    </x:xf>
    <x:xf numFmtId="0" fontId="5" fillId="4" borderId="0" xfId="49" applyNumberFormat="1" applyFont="1" applyFill="1" applyBorder="1" applyAlignment="1">
      <x:alignment horizontal="center" vertical="center" wrapText="1"/>
    </x:xf>
    <x:xf numFmtId="0" fontId="6" fillId="6" borderId="0" xfId="49" applyNumberFormat="1" applyFont="1" applyFill="1" applyBorder="1" applyAlignment="1">
      <x:alignment horizontal="center" vertical="top" wrapText="1"/>
    </x:xf>
    <x:xf numFmtId="0" fontId="7" fillId="6" borderId="0" xfId="49" applyNumberFormat="1" applyFont="1" applyFill="1" applyBorder="1" applyAlignment="1">
      <x:alignment vertical="top" wrapText="1"/>
    </x:xf>
    <x:xf numFmtId="0" fontId="4" fillId="6" borderId="0" xfId="49" applyNumberFormat="1" applyFont="1" applyFill="1" applyBorder="1" applyAlignment="1">
      <x:alignment horizontal="center" vertical="top" wrapText="1"/>
    </x:xf>
    <x:xf numFmtId="0" fontId="8" fillId="6" borderId="0" xfId="49" applyNumberFormat="1" applyFont="1" applyFill="1" applyBorder="1" applyAlignment="1">
      <x:alignment vertical="top" wrapText="1"/>
    </x:xf>
    <x:xf numFmtId="0" fontId="4" fillId="6" borderId="0" xfId="49" applyNumberFormat="1" applyFont="1" applyFill="1" applyBorder="1" applyAlignment="1">
      <x:alignment vertical="top" wrapText="1"/>
    </x:xf>
    <x:xf numFmtId="0" fontId="4" fillId="7" borderId="0" xfId="49" applyNumberFormat="1" applyFont="1" applyFill="1" applyBorder="1" applyAlignment="1">
      <x:alignment horizontal="center" vertical="top" wrapText="1"/>
    </x:xf>
    <x:xf numFmtId="0" fontId="6" fillId="8" borderId="0" xfId="49" applyNumberFormat="1" applyFont="1" applyFill="1" applyBorder="1" applyAlignment="1">
      <x:alignment vertical="top" wrapText="1"/>
    </x:xf>
    <x:xf numFmtId="0" fontId="6" fillId="9" borderId="0" xfId="49" applyNumberFormat="1" applyFont="1" applyFill="1" applyBorder="1" applyAlignment="1">
      <x:alignment vertical="top" wrapText="1"/>
    </x:xf>
    <x:xf numFmtId="0" fontId="6" fillId="10" borderId="0" xfId="49" applyNumberFormat="1" applyFont="1" applyFill="1" applyBorder="1" applyAlignment="1">
      <x:alignment vertical="top" wrapText="1"/>
    </x:xf>
    <x:xf numFmtId="0" fontId="4" fillId="11" borderId="0" xfId="49" applyNumberFormat="1" applyFont="1" applyFill="1" applyBorder="1" applyAlignment="1">
      <x:alignment horizontal="center" vertical="top" wrapText="1"/>
    </x:xf>
    <x:xf numFmtId="0" fontId="4" fillId="12" borderId="0" xfId="49" applyNumberFormat="1" applyFont="1" applyFill="1" applyBorder="1" applyAlignment="1">
      <x:alignment horizontal="center" vertical="top" wrapText="1"/>
    </x:xf>
    <x:xf numFmtId="0" fontId="4" fillId="13" borderId="0" xfId="49" applyNumberFormat="1" applyFont="1" applyFill="1" applyBorder="1" applyAlignment="1">
      <x:alignment horizontal="center" vertical="top" wrapText="1"/>
    </x:xf>
    <x:xf numFmtId="0" fontId="4" fillId="14" borderId="0" xfId="49" applyNumberFormat="1" applyFont="1" applyFill="1" applyBorder="1" applyAlignment="1">
      <x:alignment horizontal="center" vertical="top" wrapText="1"/>
    </x:xf>
    <x:xf numFmtId="0" fontId="4" fillId="15" borderId="0" xfId="49" applyNumberFormat="1" applyFont="1" applyFill="1" applyBorder="1" applyAlignment="1">
      <x:alignment horizontal="center" vertical="top" wrapText="1"/>
    </x:xf>
    <x:xf numFmtId="0" fontId="4" fillId="16" borderId="0" xfId="49" applyNumberFormat="1" applyFont="1" applyFill="1" applyBorder="1" applyAlignment="1">
      <x:alignment horizontal="center" vertical="top" wrapText="1"/>
    </x:xf>
    <x:xf numFmtId="0" fontId="4" fillId="17" borderId="0" xfId="49" applyNumberFormat="1" applyFont="1" applyFill="1" applyBorder="1" applyAlignment="1">
      <x:alignment horizontal="center" vertical="top" wrapText="1"/>
    </x:xf>
    <x:xf numFmtId="0" fontId="4" fillId="8" borderId="0" xfId="49" applyNumberFormat="1" applyFont="1" applyFill="1" applyBorder="1" applyAlignment="1">
      <x:alignment horizontal="center" vertical="top" wrapText="1"/>
    </x:xf>
    <x:xf numFmtId="0" fontId="6" fillId="7" borderId="0" xfId="49" applyNumberFormat="1" applyFont="1" applyFill="1" applyBorder="1" applyAlignment="1">
      <x:alignment horizontal="center" vertical="top" wrapText="1"/>
    </x:xf>
    <x:xf numFmtId="0" fontId="7" fillId="7" borderId="0" xfId="49" applyNumberFormat="1" applyFont="1" applyFill="1" applyBorder="1" applyAlignment="1">
      <x:alignment vertical="top" wrapText="1"/>
    </x:xf>
    <x:xf numFmtId="0" fontId="8" fillId="7" borderId="0" xfId="49" applyNumberFormat="1" applyFont="1" applyFill="1" applyBorder="1" applyAlignment="1">
      <x:alignment vertical="top" wrapText="1"/>
    </x:xf>
    <x:xf numFmtId="0" fontId="4" fillId="7" borderId="0" xfId="49" applyNumberFormat="1" applyFont="1" applyFill="1" applyBorder="1" applyAlignment="1">
      <x:alignment vertical="top" wrapText="1"/>
    </x:xf>
    <x:xf numFmtId="0" fontId="4" fillId="9" borderId="0" xfId="49" applyNumberFormat="1" applyFont="1" applyFill="1" applyBorder="1" applyAlignment="1">
      <x:alignment horizontal="center" vertical="top" wrapText="1"/>
    </x:xf>
    <x:xf numFmtId="0" fontId="4" fillId="18" borderId="0" xfId="49" applyNumberFormat="1" applyFont="1" applyFill="1" applyBorder="1" applyAlignment="1">
      <x:alignment horizontal="center" vertical="top" wrapText="1"/>
    </x:xf>
    <x:xf numFmtId="0" fontId="4" fillId="19" borderId="0" xfId="49" applyNumberFormat="1" applyFont="1" applyFill="1" applyBorder="1" applyAlignment="1">
      <x:alignment horizontal="center" vertical="top" wrapText="1"/>
    </x:xf>
    <x:xf numFmtId="0" fontId="4" fillId="20" borderId="0" xfId="49" applyNumberFormat="1" applyFont="1" applyFill="1" applyBorder="1" applyAlignment="1">
      <x:alignment horizontal="center" vertical="top" wrapText="1"/>
    </x:xf>
    <x:xf numFmtId="0" fontId="4" fillId="21" borderId="0" xfId="49" applyNumberFormat="1" applyFont="1" applyFill="1" applyBorder="1" applyAlignment="1">
      <x:alignment horizontal="center" vertical="top" wrapText="1"/>
    </x:xf>
    <x:xf numFmtId="0" fontId="4" fillId="22" borderId="0" xfId="49" applyNumberFormat="1" applyFont="1" applyFill="1" applyBorder="1" applyAlignment="1">
      <x:alignment horizontal="center" vertical="top" wrapText="1"/>
    </x:xf>
    <x:xf numFmtId="0" fontId="4" fillId="23" borderId="0" xfId="49" applyNumberFormat="1" applyFont="1" applyFill="1" applyBorder="1" applyAlignment="1">
      <x:alignment horizontal="center" vertical="top" wrapText="1"/>
    </x:xf>
    <x:xf numFmtId="0" fontId="4" fillId="10" borderId="0" xfId="49" applyNumberFormat="1" applyFont="1" applyFill="1" applyBorder="1" applyAlignment="1">
      <x:alignment horizontal="center" vertical="top" wrapText="1"/>
    </x:xf>
    <x:xf numFmtId="0" fontId="6" fillId="11" borderId="0" xfId="49" applyNumberFormat="1" applyFont="1" applyFill="1" applyBorder="1" applyAlignment="1">
      <x:alignment horizontal="center" vertical="top" wrapText="1"/>
    </x:xf>
    <x:xf numFmtId="0" fontId="7" fillId="11" borderId="0" xfId="49" applyNumberFormat="1" applyFont="1" applyFill="1" applyBorder="1" applyAlignment="1">
      <x:alignment vertical="top" wrapText="1"/>
    </x:xf>
    <x:xf numFmtId="0" fontId="8" fillId="11" borderId="0" xfId="49" applyNumberFormat="1" applyFont="1" applyFill="1" applyBorder="1" applyAlignment="1">
      <x:alignment vertical="top" wrapText="1"/>
    </x:xf>
    <x:xf numFmtId="0" fontId="4" fillId="11" borderId="0" xfId="49" applyNumberFormat="1" applyFont="1" applyFill="1" applyBorder="1" applyAlignment="1">
      <x:alignment vertical="top" wrapText="1"/>
    </x:xf>
    <x:xf numFmtId="0" fontId="6" fillId="12" borderId="0" xfId="49" applyNumberFormat="1" applyFont="1" applyFill="1" applyBorder="1" applyAlignment="1">
      <x:alignment horizontal="center" vertical="top" wrapText="1"/>
    </x:xf>
    <x:xf numFmtId="0" fontId="7" fillId="12" borderId="0" xfId="49" applyNumberFormat="1" applyFont="1" applyFill="1" applyBorder="1" applyAlignment="1">
      <x:alignment vertical="top" wrapText="1"/>
    </x:xf>
    <x:xf numFmtId="0" fontId="8" fillId="12" borderId="0" xfId="49" applyNumberFormat="1" applyFont="1" applyFill="1" applyBorder="1" applyAlignment="1">
      <x:alignment vertical="top" wrapText="1"/>
    </x:xf>
    <x:xf numFmtId="0" fontId="4" fillId="12" borderId="0" xfId="49" applyNumberFormat="1" applyFont="1" applyFill="1" applyBorder="1" applyAlignment="1">
      <x:alignment vertical="top" wrapText="1"/>
    </x:xf>
    <x:xf numFmtId="0" fontId="6" fillId="13" borderId="0" xfId="49" applyNumberFormat="1" applyFont="1" applyFill="1" applyBorder="1" applyAlignment="1">
      <x:alignment horizontal="center" vertical="top" wrapText="1"/>
    </x:xf>
    <x:xf numFmtId="0" fontId="7" fillId="13" borderId="0" xfId="49" applyNumberFormat="1" applyFont="1" applyFill="1" applyBorder="1" applyAlignment="1">
      <x:alignment vertical="top" wrapText="1"/>
    </x:xf>
    <x:xf numFmtId="0" fontId="8" fillId="13" borderId="0" xfId="49" applyNumberFormat="1" applyFont="1" applyFill="1" applyBorder="1" applyAlignment="1">
      <x:alignment vertical="top" wrapText="1"/>
    </x:xf>
    <x:xf numFmtId="0" fontId="4" fillId="13" borderId="0" xfId="49" applyNumberFormat="1" applyFont="1" applyFill="1" applyBorder="1" applyAlignment="1">
      <x:alignment vertical="top" wrapText="1"/>
    </x:xf>
    <x:xf numFmtId="0" fontId="6" fillId="14" borderId="0" xfId="49" applyNumberFormat="1" applyFont="1" applyFill="1" applyBorder="1" applyAlignment="1">
      <x:alignment horizontal="center" vertical="top" wrapText="1"/>
    </x:xf>
    <x:xf numFmtId="0" fontId="7" fillId="14" borderId="0" xfId="49" applyNumberFormat="1" applyFont="1" applyFill="1" applyBorder="1" applyAlignment="1">
      <x:alignment vertical="top" wrapText="1"/>
    </x:xf>
    <x:xf numFmtId="0" fontId="8" fillId="14" borderId="0" xfId="49" applyNumberFormat="1" applyFont="1" applyFill="1" applyBorder="1" applyAlignment="1">
      <x:alignment vertical="top" wrapText="1"/>
    </x:xf>
    <x:xf numFmtId="0" fontId="4" fillId="14" borderId="0" xfId="49" applyNumberFormat="1" applyFont="1" applyFill="1" applyBorder="1" applyAlignment="1">
      <x:alignment vertical="top" wrapText="1"/>
    </x:xf>
    <x:xf numFmtId="0" fontId="4" fillId="14" borderId="0" xfId="49" applyNumberFormat="1" applyFont="1" applyFill="1" applyBorder="1" applyAlignment="1">
      <x:alignment horizontal="center" vertical="center" wrapText="1"/>
    </x:xf>
    <x:xf numFmtId="0" fontId="6" fillId="15" borderId="0" xfId="49" applyNumberFormat="1" applyFont="1" applyFill="1" applyBorder="1" applyAlignment="1">
      <x:alignment horizontal="center" vertical="top" wrapText="1"/>
    </x:xf>
    <x:xf numFmtId="0" fontId="7" fillId="15" borderId="0" xfId="49" applyNumberFormat="1" applyFont="1" applyFill="1" applyBorder="1" applyAlignment="1">
      <x:alignment vertical="top" wrapText="1"/>
    </x:xf>
    <x:xf numFmtId="0" fontId="8" fillId="15" borderId="0" xfId="49" applyNumberFormat="1" applyFont="1" applyFill="1" applyBorder="1" applyAlignment="1">
      <x:alignment vertical="top" wrapText="1"/>
    </x:xf>
    <x:xf numFmtId="0" fontId="4" fillId="15" borderId="0" xfId="49" applyNumberFormat="1" applyFont="1" applyFill="1" applyBorder="1" applyAlignment="1">
      <x:alignment vertical="top" wrapText="1"/>
    </x:xf>
    <x:xf numFmtId="0" fontId="6" fillId="16" borderId="0" xfId="49" applyNumberFormat="1" applyFont="1" applyFill="1" applyBorder="1" applyAlignment="1">
      <x:alignment horizontal="center" vertical="top" wrapText="1"/>
    </x:xf>
    <x:xf numFmtId="0" fontId="7" fillId="16" borderId="0" xfId="49" applyNumberFormat="1" applyFont="1" applyFill="1" applyBorder="1" applyAlignment="1">
      <x:alignment vertical="top" wrapText="1"/>
    </x:xf>
    <x:xf numFmtId="0" fontId="8" fillId="16" borderId="0" xfId="49" applyNumberFormat="1" applyFont="1" applyFill="1" applyBorder="1" applyAlignment="1">
      <x:alignment vertical="top" wrapText="1"/>
    </x:xf>
    <x:xf numFmtId="0" fontId="4" fillId="16" borderId="0" xfId="49" applyNumberFormat="1" applyFont="1" applyFill="1" applyBorder="1" applyAlignment="1">
      <x:alignment vertical="top" wrapText="1"/>
    </x:xf>
    <x:xf numFmtId="0" fontId="6" fillId="17" borderId="0" xfId="49" applyNumberFormat="1" applyFont="1" applyFill="1" applyBorder="1" applyAlignment="1">
      <x:alignment horizontal="center" vertical="top" wrapText="1"/>
    </x:xf>
    <x:xf numFmtId="0" fontId="7" fillId="17" borderId="0" xfId="49" applyNumberFormat="1" applyFont="1" applyFill="1" applyBorder="1" applyAlignment="1">
      <x:alignment vertical="top" wrapText="1"/>
    </x:xf>
    <x:xf numFmtId="0" fontId="8" fillId="17" borderId="0" xfId="49" applyNumberFormat="1" applyFont="1" applyFill="1" applyBorder="1" applyAlignment="1">
      <x:alignment vertical="top" wrapText="1"/>
    </x:xf>
    <x:xf numFmtId="0" fontId="4" fillId="17" borderId="0" xfId="49" applyNumberFormat="1" applyFont="1" applyFill="1" applyBorder="1" applyAlignment="1">
      <x:alignment vertical="top" wrapText="1"/>
    </x:xf>
    <x:xf numFmtId="0" fontId="6" fillId="8" borderId="0" xfId="49" applyNumberFormat="1" applyFont="1" applyFill="1" applyBorder="1" applyAlignment="1">
      <x:alignment horizontal="center" vertical="top" wrapText="1"/>
    </x:xf>
    <x:xf numFmtId="0" fontId="7" fillId="8" borderId="0" xfId="49" applyNumberFormat="1" applyFont="1" applyFill="1" applyBorder="1" applyAlignment="1">
      <x:alignment vertical="top" wrapText="1"/>
    </x:xf>
    <x:xf numFmtId="0" fontId="8" fillId="8" borderId="0" xfId="49" applyNumberFormat="1" applyFont="1" applyFill="1" applyBorder="1" applyAlignment="1">
      <x:alignment vertical="top" wrapText="1"/>
    </x:xf>
    <x:xf numFmtId="0" fontId="4" fillId="8" borderId="0" xfId="49" applyNumberFormat="1" applyFont="1" applyFill="1" applyBorder="1" applyAlignment="1">
      <x:alignment vertical="top" wrapText="1"/>
    </x:xf>
    <x:xf numFmtId="0" fontId="6" fillId="9" borderId="0" xfId="49" applyNumberFormat="1" applyFont="1" applyFill="1" applyBorder="1" applyAlignment="1">
      <x:alignment horizontal="center" vertical="top" wrapText="1"/>
    </x:xf>
    <x:xf numFmtId="0" fontId="7" fillId="9" borderId="0" xfId="49" applyNumberFormat="1" applyFont="1" applyFill="1" applyBorder="1" applyAlignment="1">
      <x:alignment vertical="top" wrapText="1"/>
    </x:xf>
    <x:xf numFmtId="0" fontId="8" fillId="9" borderId="0" xfId="49" applyNumberFormat="1" applyFont="1" applyFill="1" applyBorder="1" applyAlignment="1">
      <x:alignment vertical="top" wrapText="1"/>
    </x:xf>
    <x:xf numFmtId="0" fontId="4" fillId="9" borderId="0" xfId="49" applyNumberFormat="1" applyFont="1" applyFill="1" applyBorder="1" applyAlignment="1">
      <x:alignment vertical="top" wrapText="1"/>
    </x:xf>
    <x:xf numFmtId="0" fontId="4" fillId="9" borderId="0" xfId="49" applyNumberFormat="1" applyFont="1" applyFill="1" applyBorder="1" applyAlignment="1">
      <x:alignment horizontal="center" vertical="center" wrapText="1"/>
    </x:xf>
    <x:xf numFmtId="0" fontId="6" fillId="18" borderId="0" xfId="0" applyNumberFormat="1" applyFont="1" applyFill="1" applyBorder="1" applyAlignment="1">
      <x:alignment horizontal="center" vertical="top" wrapText="1"/>
    </x:xf>
    <x:xf numFmtId="0" fontId="6" fillId="18" borderId="0" xfId="0" applyNumberFormat="1" applyFont="1" applyFill="1" applyBorder="1" applyAlignment="1">
      <x:alignment vertical="top" wrapText="1"/>
    </x:xf>
    <x:xf numFmtId="0" fontId="9" fillId="18" borderId="0" xfId="0" applyNumberFormat="1" applyFont="1" applyFill="1" applyBorder="1" applyAlignment="1">
      <x:alignment horizontal="center" vertical="top" wrapText="1"/>
    </x:xf>
    <x:xf numFmtId="0" fontId="6" fillId="19" borderId="0" xfId="49" applyNumberFormat="1" applyFont="1" applyFill="1" applyBorder="1" applyAlignment="1">
      <x:alignment horizontal="center" vertical="top" wrapText="1"/>
    </x:xf>
    <x:xf numFmtId="0" fontId="7" fillId="19" borderId="0" xfId="49" applyNumberFormat="1" applyFont="1" applyFill="1" applyBorder="1" applyAlignment="1">
      <x:alignment vertical="top" wrapText="1"/>
    </x:xf>
    <x:xf numFmtId="0" fontId="8" fillId="19" borderId="0" xfId="49" applyNumberFormat="1" applyFont="1" applyFill="1" applyBorder="1" applyAlignment="1">
      <x:alignment vertical="top" wrapText="1"/>
    </x:xf>
    <x:xf numFmtId="0" fontId="4" fillId="19" borderId="0" xfId="49" applyNumberFormat="1" applyFont="1" applyFill="1" applyBorder="1" applyAlignment="1">
      <x:alignment vertical="top" wrapText="1"/>
    </x:xf>
    <x:xf numFmtId="0" fontId="6" fillId="20" borderId="0" xfId="49" applyNumberFormat="1" applyFont="1" applyFill="1" applyBorder="1" applyAlignment="1">
      <x:alignment horizontal="center" vertical="top" wrapText="1"/>
    </x:xf>
    <x:xf numFmtId="0" fontId="7" fillId="20" borderId="0" xfId="49" applyNumberFormat="1" applyFont="1" applyFill="1" applyBorder="1" applyAlignment="1">
      <x:alignment vertical="top" wrapText="1"/>
    </x:xf>
    <x:xf numFmtId="0" fontId="8" fillId="20" borderId="0" xfId="49" applyNumberFormat="1" applyFont="1" applyFill="1" applyBorder="1" applyAlignment="1">
      <x:alignment vertical="top" wrapText="1"/>
    </x:xf>
    <x:xf numFmtId="0" fontId="4" fillId="20" borderId="0" xfId="49" applyNumberFormat="1" applyFont="1" applyFill="1" applyBorder="1" applyAlignment="1">
      <x:alignment vertical="top" wrapText="1"/>
    </x:xf>
    <x:xf numFmtId="0" fontId="6" fillId="21" borderId="0" xfId="49" applyNumberFormat="1" applyFont="1" applyFill="1" applyBorder="1" applyAlignment="1">
      <x:alignment horizontal="center" vertical="top" wrapText="1"/>
    </x:xf>
    <x:xf numFmtId="0" fontId="7" fillId="21" borderId="0" xfId="49" applyNumberFormat="1" applyFont="1" applyFill="1" applyBorder="1" applyAlignment="1">
      <x:alignment vertical="top" wrapText="1"/>
    </x:xf>
    <x:xf numFmtId="0" fontId="8" fillId="21" borderId="0" xfId="49" applyNumberFormat="1" applyFont="1" applyFill="1" applyBorder="1" applyAlignment="1">
      <x:alignment vertical="top" wrapText="1"/>
    </x:xf>
    <x:xf numFmtId="0" fontId="4" fillId="21" borderId="0" xfId="49" applyNumberFormat="1" applyFont="1" applyFill="1" applyBorder="1" applyAlignment="1">
      <x:alignment vertical="top" wrapText="1"/>
    </x:xf>
    <x:xf numFmtId="0" fontId="6" fillId="22" borderId="0" xfId="49" applyNumberFormat="1" applyFont="1" applyFill="1" applyBorder="1" applyAlignment="1">
      <x:alignment horizontal="center" vertical="top" wrapText="1"/>
    </x:xf>
    <x:xf numFmtId="0" fontId="7" fillId="22" borderId="0" xfId="49" applyNumberFormat="1" applyFont="1" applyFill="1" applyBorder="1" applyAlignment="1">
      <x:alignment vertical="top" wrapText="1"/>
    </x:xf>
    <x:xf numFmtId="0" fontId="8" fillId="22" borderId="0" xfId="49" applyNumberFormat="1" applyFont="1" applyFill="1" applyBorder="1" applyAlignment="1">
      <x:alignment vertical="top" wrapText="1"/>
    </x:xf>
    <x:xf numFmtId="0" fontId="4" fillId="22" borderId="0" xfId="49" applyNumberFormat="1" applyFont="1" applyFill="1" applyBorder="1" applyAlignment="1">
      <x:alignment vertical="top" wrapText="1"/>
    </x:xf>
    <x:xf numFmtId="0" fontId="4" fillId="22" borderId="0" xfId="49" applyNumberFormat="1" applyFont="1" applyFill="1" applyBorder="1" applyAlignment="1">
      <x:alignment horizontal="center" vertical="center" wrapText="1"/>
    </x:xf>
    <x:xf numFmtId="0" fontId="6" fillId="23" borderId="0" xfId="49" applyNumberFormat="1" applyFont="1" applyFill="1" applyBorder="1" applyAlignment="1">
      <x:alignment horizontal="center" vertical="top" wrapText="1"/>
    </x:xf>
    <x:xf numFmtId="0" fontId="7" fillId="23" borderId="0" xfId="49" applyNumberFormat="1" applyFont="1" applyFill="1" applyBorder="1" applyAlignment="1">
      <x:alignment vertical="top" wrapText="1"/>
    </x:xf>
    <x:xf numFmtId="0" fontId="8" fillId="23" borderId="0" xfId="49" applyNumberFormat="1" applyFont="1" applyFill="1" applyBorder="1" applyAlignment="1">
      <x:alignment vertical="top" wrapText="1"/>
    </x:xf>
    <x:xf numFmtId="0" fontId="4" fillId="23" borderId="0" xfId="49" applyNumberFormat="1" applyFont="1" applyFill="1" applyBorder="1" applyAlignment="1">
      <x:alignment vertical="top" wrapText="1"/>
    </x:xf>
    <x:xf numFmtId="0" fontId="6" fillId="10" borderId="0" xfId="49" applyNumberFormat="1" applyFont="1" applyFill="1" applyBorder="1" applyAlignment="1">
      <x:alignment horizontal="center" vertical="top" wrapText="1"/>
    </x:xf>
    <x:xf numFmtId="0" fontId="7" fillId="10" borderId="0" xfId="49" applyNumberFormat="1" applyFont="1" applyFill="1" applyBorder="1" applyAlignment="1">
      <x:alignment vertical="top" wrapText="1"/>
    </x:xf>
    <x:xf numFmtId="0" fontId="8" fillId="10" borderId="0" xfId="49" applyNumberFormat="1" applyFont="1" applyFill="1" applyBorder="1" applyAlignment="1">
      <x:alignment vertical="top" wrapText="1"/>
    </x:xf>
    <x:xf numFmtId="0" fontId="4" fillId="10" borderId="0" xfId="49" applyNumberFormat="1" applyFont="1" applyFill="1" applyBorder="1" applyAlignment="1">
      <x:alignment vertical="top" wrapText="1"/>
    </x:xf>
    <x:xf numFmtId="0" fontId="4" fillId="10" borderId="0" xfId="49" applyNumberFormat="1" applyFont="1" applyFill="1" applyBorder="1" applyAlignment="1">
      <x:alignment horizontal="center" vertical="center" wrapText="1"/>
    </x:xf>
    <x:xf numFmtId="0" fontId="10" fillId="2" borderId="0" xfId="49" applyNumberFormat="1" applyFont="1" applyFill="1" applyBorder="1" applyAlignment="1">
      <x:alignment horizontal="center" vertical="center"/>
    </x:xf>
    <x:xf numFmtId="0" fontId="11" fillId="24" borderId="0" xfId="49" applyNumberFormat="1" applyFont="1" applyFill="1" applyBorder="1" applyAlignment="1">
      <x:alignment horizontal="center" vertical="center" wrapText="1"/>
    </x:xf>
    <x:xf numFmtId="0" fontId="12" fillId="25" borderId="0" xfId="49" applyNumberFormat="1" applyFont="1" applyFill="1" applyBorder="1" applyAlignment="1">
      <x:alignment horizontal="center" vertical="top" wrapText="1"/>
    </x:xf>
    <x:xf numFmtId="0" fontId="13" fillId="3" borderId="0" xfId="49" applyNumberFormat="1" applyFont="1" applyFill="1" applyBorder="1" applyAlignment="1">
      <x:alignment vertical="top" wrapText="1"/>
    </x:xf>
    <x:xf numFmtId="0" fontId="14" fillId="18" borderId="0" xfId="0" applyNumberFormat="1" applyFont="1" applyFill="1" applyBorder="1" applyAlignment="1">
      <x:alignment horizontal="center" vertical="center" wrapText="1"/>
    </x:xf>
    <x:xf numFmtId="0" fontId="14" fillId="26" borderId="0" xfId="49" applyNumberFormat="1" applyFont="1" applyFill="1" applyBorder="1" applyAlignment="1">
      <x:alignment horizontal="center" vertical="center" wrapText="1"/>
    </x:xf>
    <x:xf numFmtId="0" fontId="15" fillId="27" borderId="0" xfId="49" applyNumberFormat="1" applyFont="1" applyFill="1" applyBorder="1" applyAlignment="1">
      <x:alignment horizontal="center" vertical="center" wrapText="1"/>
    </x:xf>
    <x:xf numFmtId="0" fontId="14" fillId="28" borderId="0" xfId="49" applyNumberFormat="1" applyFont="1" applyFill="1" applyBorder="1" applyAlignment="1">
      <x:alignment horizontal="center" vertical="center" wrapText="1"/>
    </x:xf>
    <x:xf numFmtId="0" fontId="15" fillId="9" borderId="0" xfId="49" applyNumberFormat="1" applyFont="1" applyFill="1" applyBorder="1" applyAlignment="1">
      <x:alignment horizontal="center" vertical="center" wrapText="1"/>
    </x:xf>
    <x:xf numFmtId="0" fontId="14" fillId="29" borderId="0" xfId="49" applyNumberFormat="1" applyFont="1" applyFill="1" applyBorder="1" applyAlignment="1">
      <x:alignment horizontal="center" vertical="center" wrapText="1"/>
    </x:xf>
    <x:xf numFmtId="0" fontId="14" fillId="30" borderId="0" xfId="49" applyNumberFormat="1" applyFont="1" applyFill="1" applyBorder="1" applyAlignment="1">
      <x:alignment horizontal="center" vertical="center" wrapText="1"/>
    </x:xf>
    <x:xf numFmtId="0" fontId="14" fillId="29" borderId="0" xfId="0" applyNumberFormat="1" applyFont="1" applyFill="1" applyBorder="1" applyAlignment="1">
      <x:alignment horizontal="center" vertical="center" wrapText="1"/>
    </x:xf>
    <x:xf numFmtId="0" fontId="14" fillId="31" borderId="0" xfId="49" applyNumberFormat="1" applyFont="1" applyFill="1" applyBorder="1" applyAlignment="1">
      <x:alignment horizontal="center" vertical="center" wrapText="1"/>
    </x:xf>
    <x:xf numFmtId="0" fontId="15" fillId="10" borderId="0" xfId="49" applyNumberFormat="1" applyFont="1" applyFill="1" applyBorder="1" applyAlignment="1">
      <x:alignment horizontal="center" vertical="center" wrapText="1"/>
    </x:xf>
    <x:xf numFmtId="0" fontId="15" fillId="8" borderId="0" xfId="49" applyNumberFormat="1" applyFont="1" applyFill="1" applyBorder="1" applyAlignment="1">
      <x:alignment horizontal="center" vertical="center" wrapText="1"/>
    </x:xf>
    <x:xf numFmtId="0" fontId="14" fillId="9" borderId="0" xfId="49" applyNumberFormat="1" applyFont="1" applyFill="1" applyBorder="1" applyAlignment="1">
      <x:alignment horizontal="center" vertical="center" wrapText="1"/>
    </x:xf>
    <x:xf numFmtId="0" fontId="14" fillId="10" borderId="0" xfId="49" applyNumberFormat="1" applyFont="1" applyFill="1" applyBorder="1" applyAlignment="1">
      <x:alignment horizontal="center" vertical="center" wrapText="1"/>
    </x:xf>
    <x:xf numFmtId="0" fontId="14" fillId="32" borderId="0" xfId="49" applyNumberFormat="1" applyFont="1" applyFill="1" applyBorder="1" applyAlignment="1">
      <x:alignment horizontal="center" vertical="center" wrapText="1"/>
    </x:xf>
    <x:xf numFmtId="0" fontId="14" fillId="8" borderId="0" xfId="49" applyNumberFormat="1" applyFont="1" applyFill="1" applyBorder="1" applyAlignment="1">
      <x:alignment horizontal="center" vertical="center" wrapText="1"/>
    </x:xf>
    <x:xf numFmtId="0" fontId="14" fillId="8" borderId="0" xfId="0" applyNumberFormat="1" applyFont="1" applyFill="1" applyBorder="1" applyAlignment="1">
      <x:alignment horizontal="center" vertical="center" wrapText="1"/>
    </x:xf>
    <x:xf numFmtId="0" fontId="0" fillId="0" borderId="1" xfId="49" applyBorder="1"/>
    <x:xf numFmtId="0" fontId="10" fillId="33" borderId="1" xfId="49" applyNumberFormat="1" applyFont="1" applyFill="1" applyBorder="1" applyAlignment="1">
      <x:alignment horizontal="center" vertical="center"/>
    </x:xf>
    <x:xf numFmtId="0" fontId="16" fillId="34" borderId="1" xfId="49" applyNumberFormat="1" applyFont="1" applyFill="1" applyBorder="1" applyAlignment="1">
      <x:alignment horizontal="center" vertical="center"/>
    </x:xf>
    <x:xf numFmtId="0" fontId="17" fillId="5" borderId="1" xfId="49" applyNumberFormat="1" applyFont="1" applyFill="1" applyBorder="1" applyAlignment="1">
      <x:alignment horizontal="left" vertical="center" wrapText="1"/>
    </x:xf>
    <x:xf numFmtId="0" fontId="5" fillId="4" borderId="1" xfId="49" applyNumberFormat="1" applyFont="1" applyFill="1" applyBorder="1" applyAlignment="1">
      <x:alignment horizontal="center" vertical="center"/>
    </x:xf>
    <x:xf numFmtId="0" fontId="18" fillId="10" borderId="1" xfId="49" applyNumberFormat="1" applyFont="1" applyFill="1" applyBorder="1" applyAlignment="1">
      <x:alignment horizontal="center" vertical="center"/>
    </x:xf>
    <x:xf numFmtId="0" fontId="19" fillId="8" borderId="1" xfId="49" applyNumberFormat="1" applyFont="1" applyFill="1" applyBorder="1" applyAlignment="1">
      <x:alignment horizontal="center" vertical="center"/>
    </x:xf>
    <x:xf numFmtId="0" fontId="20" fillId="9" borderId="1" xfId="49" applyNumberFormat="1" applyFont="1" applyFill="1" applyBorder="1" applyAlignment="1">
      <x:alignment horizontal="center" vertical="center"/>
    </x:xf>
    <x:xf numFmtId="0" fontId="21" fillId="5" borderId="1" xfId="49" applyNumberFormat="1" applyFont="1" applyFill="1" applyBorder="1" applyAlignment="1">
      <x:alignment horizontal="left" vertical="center" wrapText="1"/>
    </x:xf>
    <x:xf numFmtId="0" fontId="22" fillId="35" borderId="1" xfId="49" applyNumberFormat="1" applyFont="1" applyFill="1" applyBorder="1" applyAlignment="1">
      <x:alignment horizontal="center" vertical="center"/>
    </x:xf>
    <x:xf numFmtId="0" fontId="22" fillId="36" borderId="1" xfId="49" applyNumberFormat="1" applyFont="1" applyFill="1" applyBorder="1" applyAlignment="1">
      <x:alignment horizontal="center" vertical="center"/>
    </x:xf>
    <x:xf numFmtId="0" fontId="22" fillId="37" borderId="1" xfId="49" applyNumberFormat="1" applyFont="1" applyFill="1" applyBorder="1" applyAlignment="1">
      <x:alignment horizontal="center" vertical="center"/>
    </x:xf>
    <x:xf numFmtId="0" fontId="22" fillId="38" borderId="1" xfId="49" applyNumberFormat="1" applyFont="1" applyFill="1" applyBorder="1" applyAlignment="1">
      <x:alignment horizontal="center" vertical="center"/>
    </x:xf>
    <x:xf numFmtId="0" fontId="22" fillId="18" borderId="1" xfId="49" applyNumberFormat="1" applyFont="1" applyFill="1" applyBorder="1" applyAlignment="1">
      <x:alignment horizontal="center" vertical="center"/>
    </x:xf>
    <x:xf numFmtId="0" fontId="22" fillId="31" borderId="1" xfId="49" applyNumberFormat="1" applyFont="1" applyFill="1" applyBorder="1" applyAlignment="1">
      <x:alignment horizontal="center" vertical="center"/>
    </x:xf>
    <x:xf numFmtId="0" fontId="23" fillId="4" borderId="0" xfId="0" applyNumberFormat="1" applyFont="1" applyFill="1" applyBorder="1" applyAlignment="1">
      <x:alignment horizontal="center" vertical="center" wrapText="1"/>
    </x:xf>
    <x:xf numFmtId="0" fontId="24" fillId="4" borderId="0" xfId="0" applyNumberFormat="1" applyFont="1" applyFill="1" applyBorder="1" applyAlignment="1">
      <x:alignment horizontal="center" vertical="center" wrapText="1"/>
    </x:xf>
    <x:xf numFmtId="0" fontId="25" fillId="10" borderId="1" xfId="0" applyNumberFormat="1" applyFont="1" applyFill="1" applyBorder="1" applyAlignment="1">
      <x:alignment horizontal="center" vertical="center" wrapText="1"/>
    </x:xf>
    <x:xf numFmtId="0" fontId="22" fillId="10" borderId="1" xfId="0" applyNumberFormat="1" applyFont="1" applyFill="1" applyBorder="1" applyAlignment="1">
      <x:alignment horizontal="center" vertical="center" wrapText="1"/>
    </x:xf>
    <x:xf numFmtId="0" fontId="26" fillId="10" borderId="1" xfId="0" applyNumberFormat="1" applyFont="1" applyFill="1" applyBorder="1" applyAlignment="1">
      <x:alignment horizontal="center" vertical="center" wrapText="1"/>
    </x:xf>
    <x:xf numFmtId="0" fontId="4" fillId="10" borderId="1" xfId="0" applyNumberFormat="1" applyFont="1" applyFill="1" applyBorder="1" applyAlignment="1">
      <x:alignment horizontal="center" vertical="center" wrapText="1"/>
    </x:xf>
    <x:xf numFmtId="0" fontId="25" fillId="8" borderId="1" xfId="0" applyNumberFormat="1" applyFont="1" applyFill="1" applyBorder="1" applyAlignment="1">
      <x:alignment horizontal="center" vertical="center" wrapText="1"/>
    </x:xf>
    <x:xf numFmtId="0" fontId="22" fillId="8" borderId="1" xfId="0" applyNumberFormat="1" applyFont="1" applyFill="1" applyBorder="1" applyAlignment="1">
      <x:alignment horizontal="center" vertical="center" wrapText="1"/>
    </x:xf>
    <x:xf numFmtId="0" fontId="26" fillId="8" borderId="1" xfId="0" applyNumberFormat="1" applyFont="1" applyFill="1" applyBorder="1" applyAlignment="1">
      <x:alignment horizontal="center" vertical="center" wrapText="1"/>
    </x:xf>
    <x:xf numFmtId="0" fontId="4" fillId="8" borderId="1" xfId="0" applyNumberFormat="1" applyFont="1" applyFill="1" applyBorder="1" applyAlignment="1">
      <x:alignment horizontal="center" vertical="center" wrapText="1"/>
    </x:xf>
    <x:xf numFmtId="0" fontId="25" fillId="9" borderId="1" xfId="0" applyNumberFormat="1" applyFont="1" applyFill="1" applyBorder="1" applyAlignment="1">
      <x:alignment horizontal="center" vertical="center" wrapText="1"/>
    </x:xf>
    <x:xf numFmtId="0" fontId="22" fillId="9" borderId="1" xfId="0" applyNumberFormat="1" applyFont="1" applyFill="1" applyBorder="1" applyAlignment="1">
      <x:alignment horizontal="center" vertical="center" wrapText="1"/>
    </x:xf>
    <x:xf numFmtId="0" fontId="26" fillId="9" borderId="1" xfId="0" applyNumberFormat="1" applyFont="1" applyFill="1" applyBorder="1" applyAlignment="1">
      <x:alignment horizontal="center" vertical="center" wrapText="1"/>
    </x:xf>
    <x:xf numFmtId="0" fontId="4" fillId="9" borderId="1" xfId="0" applyNumberFormat="1" applyFont="1" applyFill="1" applyBorder="1" applyAlignment="1">
      <x:alignment horizontal="center" vertical="center" wrapText="1"/>
    </x:xf>
    <x:xf numFmtId="0" fontId="25" fillId="18" borderId="1" xfId="0" applyNumberFormat="1" applyFont="1" applyFill="1" applyBorder="1" applyAlignment="1">
      <x:alignment horizontal="center" vertical="center" wrapText="1"/>
    </x:xf>
    <x:xf numFmtId="0" fontId="22" fillId="18" borderId="1" xfId="0" applyNumberFormat="1" applyFont="1" applyFill="1" applyBorder="1" applyAlignment="1">
      <x:alignment horizontal="center" vertical="center" wrapText="1"/>
    </x:xf>
    <x:xf numFmtId="0" fontId="26" fillId="18" borderId="1" xfId="0" applyNumberFormat="1" applyFont="1" applyFill="1" applyBorder="1" applyAlignment="1">
      <x:alignment horizontal="center" vertical="center" wrapText="1"/>
    </x:xf>
    <x:xf numFmtId="0" fontId="4" fillId="18" borderId="1" xfId="0" applyNumberFormat="1" applyFont="1" applyFill="1" applyBorder="1" applyAlignment="1">
      <x:alignment horizontal="center" vertical="center" wrapText="1"/>
    </x:xf>
    <x:xf numFmtId="0" fontId="22" fillId="18" borderId="1" xfId="0" applyNumberFormat="1" applyFont="1" applyFill="1" applyBorder="1" applyAlignment="1">
      <x:alignment horizontal="center" vertical="center" wrapText="1"/>
    </x:xf>
    <x:xf numFmtId="0" fontId="0" fillId="18" borderId="1" xfId="0" applyNumberFormat="1" applyFont="1" applyFill="1" applyBorder="1" applyAlignment="1">
      <x:alignment horizontal="center" vertical="center" wrapText="1"/>
    </x:xf>
    <x:xf numFmtId="0" fontId="0" fillId="0" borderId="10" xfId="0" applyNumberFormat="1" applyFont="1" applyFill="1" applyBorder="1"/>
    <x:xf numFmtId="0" fontId="1" fillId="2" borderId="10" xfId="0" applyNumberFormat="1" applyFont="1" applyFill="1" applyBorder="1" applyAlignment="1">
      <x:alignment horizontal="center" vertical="center"/>
    </x:xf>
    <x:xf numFmtId="0" fontId="2" fillId="3" borderId="10" xfId="0" applyNumberFormat="1" applyFont="1" applyFill="1" applyBorder="1" applyAlignment="1">
      <x:alignment vertical="center" wrapText="1"/>
    </x:xf>
    <x:xf numFmtId="0" fontId="3" fillId="4" borderId="10" xfId="0" applyNumberFormat="1" applyFont="1" applyFill="1" applyBorder="1" applyAlignment="1">
      <x:alignment horizontal="center"/>
    </x:xf>
    <x:xf numFmtId="0" fontId="4" fillId="5" borderId="10"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5" fillId="4" borderId="10" xfId="0" applyNumberFormat="1" applyFont="1" applyFill="1" applyBorder="1" applyAlignment="1">
      <x:alignment horizontal="center" vertical="center" wrapText="1"/>
    </x:xf>
    <x:xf numFmtId="0" fontId="6" fillId="6" borderId="10" xfId="0" applyNumberFormat="1" applyFont="1" applyFill="1" applyBorder="1" applyAlignment="1">
      <x:alignment horizontal="center" vertical="top" wrapText="1"/>
    </x:xf>
    <x:xf numFmtId="0" fontId="7" fillId="6" borderId="10" xfId="0" applyNumberFormat="1" applyFont="1" applyFill="1" applyBorder="1" applyAlignment="1">
      <x:alignment vertical="top" wrapText="1"/>
    </x:xf>
    <x:xf numFmtId="0" fontId="4" fillId="6" borderId="10" xfId="0" applyNumberFormat="1" applyFont="1" applyFill="1" applyBorder="1" applyAlignment="1">
      <x:alignment horizontal="center" vertical="top" wrapText="1"/>
    </x:xf>
    <x:xf numFmtId="0" fontId="8" fillId="6" borderId="10" xfId="0" applyNumberFormat="1" applyFont="1" applyFill="1" applyBorder="1" applyAlignment="1">
      <x:alignment vertical="top" wrapText="1"/>
    </x:xf>
    <x:xf numFmtId="0" fontId="4" fillId="6" borderId="10" xfId="0" applyNumberFormat="1" applyFont="1" applyFill="1" applyBorder="1" applyAlignment="1">
      <x:alignment vertical="top" wrapText="1"/>
    </x:xf>
    <x:xf numFmtId="0" fontId="4" fillId="7" borderId="10" xfId="0" applyNumberFormat="1" applyFont="1" applyFill="1" applyBorder="1" applyAlignment="1">
      <x:alignment horizontal="center" vertical="top" wrapText="1"/>
    </x:xf>
    <x:xf numFmtId="0" fontId="6" fillId="8" borderId="10" xfId="0" applyNumberFormat="1" applyFont="1" applyFill="1" applyBorder="1" applyAlignment="1">
      <x:alignment vertical="top" wrapText="1"/>
    </x:xf>
    <x:xf numFmtId="0" fontId="6" fillId="9" borderId="10" xfId="0" applyNumberFormat="1" applyFont="1" applyFill="1" applyBorder="1" applyAlignment="1">
      <x:alignment vertical="top" wrapText="1"/>
    </x:xf>
    <x:xf numFmtId="0" fontId="6" fillId="10" borderId="10" xfId="0" applyNumberFormat="1" applyFont="1" applyFill="1" applyBorder="1" applyAlignment="1">
      <x:alignment vertical="top" wrapText="1"/>
    </x:xf>
    <x:xf numFmtId="0" fontId="4" fillId="11" borderId="10" xfId="0" applyNumberFormat="1" applyFont="1" applyFill="1" applyBorder="1" applyAlignment="1">
      <x:alignment horizontal="center" vertical="top" wrapText="1"/>
    </x:xf>
    <x:xf numFmtId="0" fontId="4" fillId="12" borderId="10" xfId="0" applyNumberFormat="1" applyFont="1" applyFill="1" applyBorder="1" applyAlignment="1">
      <x:alignment horizontal="center" vertical="top" wrapText="1"/>
    </x:xf>
    <x:xf numFmtId="0" fontId="4" fillId="13" borderId="10" xfId="0" applyNumberFormat="1" applyFont="1" applyFill="1" applyBorder="1" applyAlignment="1">
      <x:alignment horizontal="center" vertical="top" wrapText="1"/>
    </x:xf>
    <x:xf numFmtId="0" fontId="4" fillId="14" borderId="10" xfId="0" applyNumberFormat="1" applyFont="1" applyFill="1" applyBorder="1" applyAlignment="1">
      <x:alignment horizontal="center" vertical="top" wrapText="1"/>
    </x:xf>
    <x:xf numFmtId="0" fontId="4" fillId="15" borderId="10" xfId="0" applyNumberFormat="1" applyFont="1" applyFill="1" applyBorder="1" applyAlignment="1">
      <x:alignment horizontal="center" vertical="top" wrapText="1"/>
    </x:xf>
    <x:xf numFmtId="0" fontId="4" fillId="16" borderId="10" xfId="0" applyNumberFormat="1" applyFont="1" applyFill="1" applyBorder="1" applyAlignment="1">
      <x:alignment horizontal="center" vertical="top" wrapText="1"/>
    </x:xf>
    <x:xf numFmtId="0" fontId="4" fillId="17" borderId="10" xfId="0" applyNumberFormat="1" applyFont="1" applyFill="1" applyBorder="1" applyAlignment="1">
      <x:alignment horizontal="center" vertical="top" wrapText="1"/>
    </x:xf>
    <x:xf numFmtId="0" fontId="4" fillId="8" borderId="10" xfId="0" applyNumberFormat="1" applyFont="1" applyFill="1" applyBorder="1" applyAlignment="1">
      <x:alignment horizontal="center" vertical="top" wrapText="1"/>
    </x:xf>
    <x:xf numFmtId="0" fontId="6" fillId="7" borderId="10" xfId="0" applyNumberFormat="1" applyFont="1" applyFill="1" applyBorder="1" applyAlignment="1">
      <x:alignment horizontal="center" vertical="top" wrapText="1"/>
    </x:xf>
    <x:xf numFmtId="0" fontId="7" fillId="7" borderId="10"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4" fillId="7" borderId="10" xfId="0" applyNumberFormat="1" applyFont="1" applyFill="1" applyBorder="1" applyAlignment="1">
      <x:alignment vertical="top" wrapText="1"/>
    </x:xf>
    <x:xf numFmtId="0" fontId="4" fillId="9" borderId="10" xfId="0" applyNumberFormat="1" applyFont="1" applyFill="1" applyBorder="1" applyAlignment="1">
      <x:alignment horizontal="center" vertical="top" wrapText="1"/>
    </x:xf>
    <x:xf numFmtId="0" fontId="4" fillId="18" borderId="10" xfId="0" applyNumberFormat="1" applyFont="1" applyFill="1" applyBorder="1" applyAlignment="1">
      <x:alignment horizontal="center" vertical="top" wrapText="1"/>
    </x:xf>
    <x:xf numFmtId="0" fontId="4" fillId="19" borderId="10" xfId="0" applyNumberFormat="1" applyFont="1" applyFill="1" applyBorder="1" applyAlignment="1">
      <x:alignment horizontal="center" vertical="top" wrapText="1"/>
    </x:xf>
    <x:xf numFmtId="0" fontId="4" fillId="20" borderId="10" xfId="0" applyNumberFormat="1" applyFont="1" applyFill="1" applyBorder="1" applyAlignment="1">
      <x:alignment horizontal="center" vertical="top" wrapText="1"/>
    </x:xf>
    <x:xf numFmtId="0" fontId="4" fillId="21" borderId="10" xfId="0" applyNumberFormat="1" applyFont="1" applyFill="1" applyBorder="1" applyAlignment="1">
      <x:alignment horizontal="center" vertical="top" wrapText="1"/>
    </x:xf>
    <x:xf numFmtId="0" fontId="4" fillId="22" borderId="10" xfId="0" applyNumberFormat="1" applyFont="1" applyFill="1" applyBorder="1" applyAlignment="1">
      <x:alignment horizontal="center" vertical="top" wrapText="1"/>
    </x:xf>
    <x:xf numFmtId="0" fontId="4" fillId="23" borderId="10" xfId="0" applyNumberFormat="1" applyFont="1" applyFill="1" applyBorder="1" applyAlignment="1">
      <x:alignment horizontal="center" vertical="top" wrapText="1"/>
    </x:xf>
    <x:xf numFmtId="0" fontId="4" fillId="10" borderId="10" xfId="0" applyNumberFormat="1" applyFont="1" applyFill="1" applyBorder="1" applyAlignment="1">
      <x:alignment horizontal="center" vertical="top" wrapText="1"/>
    </x:xf>
    <x:xf numFmtId="0" fontId="6" fillId="11" borderId="10" xfId="0" applyNumberFormat="1" applyFont="1" applyFill="1" applyBorder="1" applyAlignment="1">
      <x:alignment horizontal="center" vertical="top" wrapText="1"/>
    </x:xf>
    <x:xf numFmtId="0" fontId="7" fillId="11" borderId="10" xfId="0" applyNumberFormat="1" applyFont="1" applyFill="1" applyBorder="1" applyAlignment="1">
      <x:alignment vertical="top" wrapText="1"/>
    </x:xf>
    <x:xf numFmtId="0" fontId="8" fillId="11" borderId="10" xfId="0" applyNumberFormat="1" applyFont="1" applyFill="1" applyBorder="1" applyAlignment="1">
      <x:alignment vertical="top" wrapText="1"/>
    </x:xf>
    <x:xf numFmtId="0" fontId="4" fillId="11" borderId="10" xfId="0" applyNumberFormat="1" applyFont="1" applyFill="1" applyBorder="1" applyAlignment="1">
      <x:alignment vertical="top" wrapText="1"/>
    </x:xf>
    <x:xf numFmtId="0" fontId="6" fillId="12" borderId="10" xfId="0" applyNumberFormat="1" applyFont="1" applyFill="1" applyBorder="1" applyAlignment="1">
      <x:alignment horizontal="center" vertical="top" wrapText="1"/>
    </x:xf>
    <x:xf numFmtId="0" fontId="7" fillId="12" borderId="10" xfId="0" applyNumberFormat="1" applyFont="1" applyFill="1" applyBorder="1" applyAlignment="1">
      <x:alignment vertical="top" wrapText="1"/>
    </x:xf>
    <x:xf numFmtId="0" fontId="8" fillId="12" borderId="10" xfId="0" applyNumberFormat="1" applyFont="1" applyFill="1" applyBorder="1" applyAlignment="1">
      <x:alignment vertical="top" wrapText="1"/>
    </x:xf>
    <x:xf numFmtId="0" fontId="4" fillId="12" borderId="10" xfId="0" applyNumberFormat="1" applyFont="1" applyFill="1" applyBorder="1" applyAlignment="1">
      <x:alignment vertical="top" wrapText="1"/>
    </x:xf>
    <x:xf numFmtId="0" fontId="6" fillId="13" borderId="10" xfId="0" applyNumberFormat="1" applyFont="1" applyFill="1" applyBorder="1" applyAlignment="1">
      <x:alignment horizontal="center" vertical="top" wrapText="1"/>
    </x:xf>
    <x:xf numFmtId="0" fontId="7" fillId="13" borderId="10" xfId="0" applyNumberFormat="1" applyFont="1" applyFill="1" applyBorder="1" applyAlignment="1">
      <x:alignment vertical="top" wrapText="1"/>
    </x:xf>
    <x:xf numFmtId="0" fontId="8" fillId="13" borderId="10" xfId="0" applyNumberFormat="1" applyFont="1" applyFill="1" applyBorder="1" applyAlignment="1">
      <x:alignment vertical="top" wrapText="1"/>
    </x:xf>
    <x:xf numFmtId="0" fontId="4" fillId="13" borderId="10" xfId="0" applyNumberFormat="1" applyFont="1" applyFill="1" applyBorder="1" applyAlignment="1">
      <x:alignment vertical="top" wrapText="1"/>
    </x:xf>
    <x:xf numFmtId="0" fontId="6" fillId="14" borderId="10" xfId="0" applyNumberFormat="1" applyFont="1" applyFill="1" applyBorder="1" applyAlignment="1">
      <x:alignment horizontal="center" vertical="top" wrapText="1"/>
    </x:xf>
    <x:xf numFmtId="0" fontId="7" fillId="14" borderId="10" xfId="0" applyNumberFormat="1" applyFont="1" applyFill="1" applyBorder="1" applyAlignment="1">
      <x:alignment vertical="top" wrapText="1"/>
    </x:xf>
    <x:xf numFmtId="0" fontId="8" fillId="14" borderId="10" xfId="0" applyNumberFormat="1" applyFont="1" applyFill="1" applyBorder="1" applyAlignment="1">
      <x:alignment vertical="top" wrapText="1"/>
    </x:xf>
    <x:xf numFmtId="0" fontId="4" fillId="14" borderId="10" xfId="0" applyNumberFormat="1" applyFont="1" applyFill="1" applyBorder="1" applyAlignment="1">
      <x:alignment vertical="top" wrapText="1"/>
    </x:xf>
    <x:xf numFmtId="0" fontId="4" fillId="14" borderId="10" xfId="0" applyNumberFormat="1" applyFont="1" applyFill="1" applyBorder="1" applyAlignment="1">
      <x:alignment horizontal="center" vertical="center" wrapText="1"/>
    </x:xf>
    <x:xf numFmtId="0" fontId="6" fillId="15" borderId="10" xfId="0" applyNumberFormat="1" applyFont="1" applyFill="1" applyBorder="1" applyAlignment="1">
      <x:alignment horizontal="center" vertical="top" wrapText="1"/>
    </x:xf>
    <x:xf numFmtId="0" fontId="7" fillId="15" borderId="10" xfId="0" applyNumberFormat="1" applyFont="1" applyFill="1" applyBorder="1" applyAlignment="1">
      <x:alignment vertical="top" wrapText="1"/>
    </x:xf>
    <x:xf numFmtId="0" fontId="8" fillId="15" borderId="10" xfId="0" applyNumberFormat="1" applyFont="1" applyFill="1" applyBorder="1" applyAlignment="1">
      <x:alignment vertical="top" wrapText="1"/>
    </x:xf>
    <x:xf numFmtId="0" fontId="4" fillId="15" borderId="10" xfId="0" applyNumberFormat="1" applyFont="1" applyFill="1" applyBorder="1" applyAlignment="1">
      <x:alignment vertical="top" wrapText="1"/>
    </x:xf>
    <x:xf numFmtId="0" fontId="6" fillId="16" borderId="10" xfId="0" applyNumberFormat="1" applyFont="1" applyFill="1" applyBorder="1" applyAlignment="1">
      <x:alignment horizontal="center" vertical="top" wrapText="1"/>
    </x:xf>
    <x:xf numFmtId="0" fontId="7" fillId="16" borderId="10" xfId="0" applyNumberFormat="1" applyFont="1" applyFill="1" applyBorder="1" applyAlignment="1">
      <x:alignment vertical="top" wrapText="1"/>
    </x:xf>
    <x:xf numFmtId="0" fontId="8" fillId="16" borderId="10" xfId="0" applyNumberFormat="1" applyFont="1" applyFill="1" applyBorder="1" applyAlignment="1">
      <x:alignment vertical="top" wrapText="1"/>
    </x:xf>
    <x:xf numFmtId="0" fontId="4" fillId="16" borderId="10" xfId="0" applyNumberFormat="1" applyFont="1" applyFill="1" applyBorder="1" applyAlignment="1">
      <x:alignment vertical="top" wrapText="1"/>
    </x:xf>
    <x:xf numFmtId="0" fontId="6" fillId="17" borderId="10" xfId="0" applyNumberFormat="1" applyFont="1" applyFill="1" applyBorder="1" applyAlignment="1">
      <x:alignment horizontal="center" vertical="top" wrapText="1"/>
    </x:xf>
    <x:xf numFmtId="0" fontId="7" fillId="17" borderId="10" xfId="0" applyNumberFormat="1" applyFont="1" applyFill="1" applyBorder="1" applyAlignment="1">
      <x:alignment vertical="top" wrapText="1"/>
    </x:xf>
    <x:xf numFmtId="0" fontId="8" fillId="17" borderId="10" xfId="0" applyNumberFormat="1" applyFont="1" applyFill="1" applyBorder="1" applyAlignment="1">
      <x:alignment vertical="top" wrapText="1"/>
    </x:xf>
    <x:xf numFmtId="0" fontId="4" fillId="17" borderId="10" xfId="0" applyNumberFormat="1" applyFont="1" applyFill="1" applyBorder="1" applyAlignment="1">
      <x:alignment vertical="top" wrapText="1"/>
    </x:xf>
    <x:xf numFmtId="0" fontId="6" fillId="8" borderId="10" xfId="0" applyNumberFormat="1" applyFont="1" applyFill="1" applyBorder="1" applyAlignment="1">
      <x:alignment horizontal="center" vertical="top" wrapText="1"/>
    </x:xf>
    <x:xf numFmtId="0" fontId="7" fillId="8" borderId="10"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4" fillId="8" borderId="10" xfId="0" applyNumberFormat="1" applyFont="1" applyFill="1" applyBorder="1" applyAlignment="1">
      <x:alignment vertical="top" wrapText="1"/>
    </x:xf>
    <x:xf numFmtId="0" fontId="6" fillId="9" borderId="10" xfId="0" applyNumberFormat="1" applyFont="1" applyFill="1" applyBorder="1" applyAlignment="1">
      <x:alignment horizontal="center" vertical="top" wrapText="1"/>
    </x:xf>
    <x:xf numFmtId="0" fontId="7" fillId="9" borderId="10"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4" fillId="9" borderId="10" xfId="0" applyNumberFormat="1" applyFont="1" applyFill="1" applyBorder="1" applyAlignment="1">
      <x:alignment vertical="top" wrapText="1"/>
    </x:xf>
    <x:xf numFmtId="0" fontId="4" fillId="9" borderId="10" xfId="0" applyNumberFormat="1" applyFont="1" applyFill="1" applyBorder="1" applyAlignment="1">
      <x:alignment horizontal="center" vertical="center" wrapText="1"/>
    </x:xf>
    <x:xf numFmtId="0" fontId="6" fillId="18" borderId="10" xfId="0" applyNumberFormat="1" applyFont="1" applyFill="1" applyBorder="1" applyAlignment="1">
      <x:alignment horizontal="center" vertical="top" wrapText="1"/>
    </x:xf>
    <x:xf numFmtId="0" fontId="6" fillId="18" borderId="10" xfId="0" applyNumberFormat="1" applyFont="1" applyFill="1" applyBorder="1" applyAlignment="1">
      <x:alignment vertical="top" wrapText="1"/>
    </x:xf>
    <x:xf numFmtId="0" fontId="9" fillId="18" borderId="10" xfId="0" applyNumberFormat="1" applyFont="1" applyFill="1" applyBorder="1" applyAlignment="1">
      <x:alignment horizontal="center" vertical="top" wrapText="1"/>
    </x:xf>
    <x:xf numFmtId="0" fontId="6" fillId="19" borderId="10" xfId="0" applyNumberFormat="1" applyFont="1" applyFill="1" applyBorder="1" applyAlignment="1">
      <x:alignment horizontal="center" vertical="top" wrapText="1"/>
    </x:xf>
    <x:xf numFmtId="0" fontId="7" fillId="19" borderId="10" xfId="0" applyNumberFormat="1" applyFont="1" applyFill="1" applyBorder="1" applyAlignment="1">
      <x:alignment vertical="top" wrapText="1"/>
    </x:xf>
    <x:xf numFmtId="0" fontId="8" fillId="19" borderId="10" xfId="0" applyNumberFormat="1" applyFont="1" applyFill="1" applyBorder="1" applyAlignment="1">
      <x:alignment vertical="top" wrapText="1"/>
    </x:xf>
    <x:xf numFmtId="0" fontId="4" fillId="19" borderId="10" xfId="0" applyNumberFormat="1" applyFont="1" applyFill="1" applyBorder="1" applyAlignment="1">
      <x:alignment vertical="top" wrapText="1"/>
    </x:xf>
    <x:xf numFmtId="0" fontId="6" fillId="20" borderId="10" xfId="0" applyNumberFormat="1" applyFont="1" applyFill="1" applyBorder="1" applyAlignment="1">
      <x:alignment horizontal="center" vertical="top" wrapText="1"/>
    </x:xf>
    <x:xf numFmtId="0" fontId="7" fillId="20" borderId="10" xfId="0" applyNumberFormat="1" applyFont="1" applyFill="1" applyBorder="1" applyAlignment="1">
      <x:alignment vertical="top" wrapText="1"/>
    </x:xf>
    <x:xf numFmtId="0" fontId="8" fillId="20" borderId="10" xfId="0" applyNumberFormat="1" applyFont="1" applyFill="1" applyBorder="1" applyAlignment="1">
      <x:alignment vertical="top" wrapText="1"/>
    </x:xf>
    <x:xf numFmtId="0" fontId="4" fillId="20" borderId="10" xfId="0" applyNumberFormat="1" applyFont="1" applyFill="1" applyBorder="1" applyAlignment="1">
      <x:alignment vertical="top" wrapText="1"/>
    </x:xf>
    <x:xf numFmtId="0" fontId="6" fillId="21" borderId="10" xfId="0" applyNumberFormat="1" applyFont="1" applyFill="1" applyBorder="1" applyAlignment="1">
      <x:alignment horizontal="center" vertical="top" wrapText="1"/>
    </x:xf>
    <x:xf numFmtId="0" fontId="7" fillId="21" borderId="10" xfId="0" applyNumberFormat="1" applyFont="1" applyFill="1" applyBorder="1" applyAlignment="1">
      <x:alignment vertical="top" wrapText="1"/>
    </x:xf>
    <x:xf numFmtId="0" fontId="8" fillId="21" borderId="10" xfId="0" applyNumberFormat="1" applyFont="1" applyFill="1" applyBorder="1" applyAlignment="1">
      <x:alignment vertical="top" wrapText="1"/>
    </x:xf>
    <x:xf numFmtId="0" fontId="4" fillId="21" borderId="10" xfId="0" applyNumberFormat="1" applyFont="1" applyFill="1" applyBorder="1" applyAlignment="1">
      <x:alignment vertical="top" wrapText="1"/>
    </x:xf>
    <x:xf numFmtId="0" fontId="6" fillId="22" borderId="10" xfId="0" applyNumberFormat="1" applyFont="1" applyFill="1" applyBorder="1" applyAlignment="1">
      <x:alignment horizontal="center" vertical="top" wrapText="1"/>
    </x:xf>
    <x:xf numFmtId="0" fontId="7" fillId="22" borderId="10" xfId="0" applyNumberFormat="1" applyFont="1" applyFill="1" applyBorder="1" applyAlignment="1">
      <x:alignment vertical="top" wrapText="1"/>
    </x:xf>
    <x:xf numFmtId="0" fontId="8" fillId="22" borderId="10" xfId="0" applyNumberFormat="1" applyFont="1" applyFill="1" applyBorder="1" applyAlignment="1">
      <x:alignment vertical="top" wrapText="1"/>
    </x:xf>
    <x:xf numFmtId="0" fontId="4" fillId="22" borderId="10" xfId="0" applyNumberFormat="1" applyFont="1" applyFill="1" applyBorder="1" applyAlignment="1">
      <x:alignment vertical="top" wrapText="1"/>
    </x:xf>
    <x:xf numFmtId="0" fontId="4" fillId="22" borderId="10" xfId="0" applyNumberFormat="1" applyFont="1" applyFill="1" applyBorder="1" applyAlignment="1">
      <x:alignment horizontal="center" vertical="center" wrapText="1"/>
    </x:xf>
    <x:xf numFmtId="0" fontId="6" fillId="23" borderId="10" xfId="0" applyNumberFormat="1" applyFont="1" applyFill="1" applyBorder="1" applyAlignment="1">
      <x:alignment horizontal="center" vertical="top" wrapText="1"/>
    </x:xf>
    <x:xf numFmtId="0" fontId="7" fillId="23" borderId="10" xfId="0" applyNumberFormat="1" applyFont="1" applyFill="1" applyBorder="1" applyAlignment="1">
      <x:alignment vertical="top" wrapText="1"/>
    </x:xf>
    <x:xf numFmtId="0" fontId="8" fillId="23" borderId="10" xfId="0" applyNumberFormat="1" applyFont="1" applyFill="1" applyBorder="1" applyAlignment="1">
      <x:alignment vertical="top" wrapText="1"/>
    </x:xf>
    <x:xf numFmtId="0" fontId="4" fillId="23" borderId="10" xfId="0" applyNumberFormat="1" applyFont="1" applyFill="1" applyBorder="1" applyAlignment="1">
      <x:alignment vertical="top" wrapText="1"/>
    </x:xf>
    <x:xf numFmtId="0" fontId="6" fillId="10" borderId="10" xfId="0" applyNumberFormat="1" applyFont="1" applyFill="1" applyBorder="1" applyAlignment="1">
      <x:alignment horizontal="center" vertical="top" wrapText="1"/>
    </x:xf>
    <x:xf numFmtId="0" fontId="7" fillId="10" borderId="10" xfId="0" applyNumberFormat="1" applyFont="1" applyFill="1" applyBorder="1" applyAlignment="1">
      <x:alignment vertical="top" wrapText="1"/>
    </x:xf>
    <x:xf numFmtId="0" fontId="8" fillId="10" borderId="10" xfId="0" applyNumberFormat="1" applyFont="1" applyFill="1" applyBorder="1" applyAlignment="1">
      <x:alignment vertical="top" wrapText="1"/>
    </x:xf>
    <x:xf numFmtId="0" fontId="4" fillId="10" borderId="10" xfId="0" applyNumberFormat="1" applyFont="1" applyFill="1" applyBorder="1" applyAlignment="1">
      <x:alignment vertical="top" wrapText="1"/>
    </x:xf>
    <x:xf numFmtId="0" fontId="4" fillId="10" borderId="10" xfId="0" applyNumberFormat="1" applyFont="1" applyFill="1" applyBorder="1" applyAlignment="1">
      <x:alignment horizontal="center" vertical="center" wrapText="1"/>
    </x:xf>
    <x:xf numFmtId="0" fontId="10" fillId="2" borderId="10" xfId="0" applyNumberFormat="1" applyFont="1" applyFill="1" applyBorder="1" applyAlignment="1">
      <x:alignment horizontal="center" vertical="center"/>
    </x:xf>
    <x:xf numFmtId="0" fontId="11" fillId="24" borderId="10" xfId="0" applyNumberFormat="1" applyFont="1" applyFill="1" applyBorder="1" applyAlignment="1">
      <x:alignment horizontal="center" vertical="center" wrapText="1"/>
    </x:xf>
    <x:xf numFmtId="0" fontId="12" fillId="25" borderId="10" xfId="0" applyNumberFormat="1" applyFont="1" applyFill="1" applyBorder="1" applyAlignment="1">
      <x:alignment horizontal="center" vertical="top" wrapText="1"/>
    </x:xf>
    <x:xf numFmtId="0" fontId="13" fillId="3" borderId="10" xfId="0" applyNumberFormat="1" applyFont="1" applyFill="1" applyBorder="1" applyAlignment="1">
      <x:alignment vertical="top" wrapText="1"/>
    </x:xf>
    <x:xf numFmtId="0" fontId="14" fillId="18" borderId="10" xfId="0" applyNumberFormat="1" applyFont="1" applyFill="1" applyBorder="1" applyAlignment="1">
      <x:alignment horizontal="center" vertical="center" wrapText="1"/>
    </x:xf>
    <x:xf numFmtId="0" fontId="14" fillId="26" borderId="10" xfId="0" applyNumberFormat="1" applyFont="1" applyFill="1" applyBorder="1" applyAlignment="1">
      <x:alignment horizontal="center" vertical="center" wrapText="1"/>
    </x:xf>
    <x:xf numFmtId="0" fontId="15" fillId="27" borderId="10" xfId="0" applyNumberFormat="1" applyFont="1" applyFill="1" applyBorder="1" applyAlignment="1">
      <x:alignment horizontal="center" vertical="center" wrapText="1"/>
    </x:xf>
    <x:xf numFmtId="0" fontId="14" fillId="28" borderId="10" xfId="0" applyNumberFormat="1" applyFont="1" applyFill="1" applyBorder="1" applyAlignment="1">
      <x:alignment horizontal="center" vertical="center" wrapText="1"/>
    </x:xf>
    <x:xf numFmtId="0" fontId="15" fillId="9" borderId="10" xfId="0" applyNumberFormat="1" applyFont="1" applyFill="1" applyBorder="1" applyAlignment="1">
      <x:alignment horizontal="center" vertical="center" wrapText="1"/>
    </x:xf>
    <x:xf numFmtId="0" fontId="14" fillId="29" borderId="10" xfId="0" applyNumberFormat="1" applyFont="1" applyFill="1" applyBorder="1" applyAlignment="1">
      <x:alignment horizontal="center" vertical="center" wrapText="1"/>
    </x:xf>
    <x:xf numFmtId="0" fontId="14" fillId="30" borderId="10" xfId="0" applyNumberFormat="1" applyFont="1" applyFill="1" applyBorder="1" applyAlignment="1">
      <x:alignment horizontal="center" vertical="center" wrapText="1"/>
    </x:xf>
    <x:xf numFmtId="0" fontId="14" fillId="31" borderId="10" xfId="0" applyNumberFormat="1" applyFont="1" applyFill="1" applyBorder="1" applyAlignment="1">
      <x:alignment horizontal="center" vertical="center" wrapText="1"/>
    </x:xf>
    <x:xf numFmtId="0" fontId="15" fillId="10" borderId="10" xfId="0" applyNumberFormat="1" applyFont="1" applyFill="1" applyBorder="1" applyAlignment="1">
      <x:alignment horizontal="center" vertical="center" wrapText="1"/>
    </x:xf>
    <x:xf numFmtId="0" fontId="15" fillId="8" borderId="10" xfId="0" applyNumberFormat="1" applyFont="1" applyFill="1" applyBorder="1" applyAlignment="1">
      <x:alignment horizontal="center" vertical="center" wrapText="1"/>
    </x:xf>
    <x:xf numFmtId="0" fontId="14" fillId="9" borderId="10" xfId="0" applyNumberFormat="1" applyFont="1" applyFill="1" applyBorder="1" applyAlignment="1">
      <x:alignment horizontal="center" vertical="center" wrapText="1"/>
    </x:xf>
    <x:xf numFmtId="0" fontId="14" fillId="10" borderId="10" xfId="0" applyNumberFormat="1" applyFont="1" applyFill="1" applyBorder="1" applyAlignment="1">
      <x:alignment horizontal="center" vertical="center" wrapText="1"/>
    </x:xf>
    <x:xf numFmtId="0" fontId="14" fillId="32" borderId="10" xfId="0" applyNumberFormat="1" applyFont="1" applyFill="1" applyBorder="1" applyAlignment="1">
      <x:alignment horizontal="center" vertical="center" wrapText="1"/>
    </x:xf>
    <x:xf numFmtId="0" fontId="14" fillId="8" borderId="10" xfId="0" applyNumberFormat="1" applyFont="1" applyFill="1" applyBorder="1" applyAlignment="1">
      <x:alignment horizontal="center" vertical="center" wrapText="1"/>
    </x:xf>
    <x:xf numFmtId="0" fontId="0" fillId="0" borderId="11" xfId="0" applyNumberFormat="1" applyFont="1" applyFill="1" applyBorder="1"/>
    <x:xf numFmtId="0" fontId="10" fillId="33" borderId="11" xfId="0" applyNumberFormat="1" applyFont="1" applyFill="1" applyBorder="1" applyAlignment="1">
      <x:alignment horizontal="center" vertical="center"/>
    </x:xf>
    <x:xf numFmtId="0" fontId="16" fillId="34" borderId="11" xfId="0" applyNumberFormat="1" applyFont="1" applyFill="1" applyBorder="1" applyAlignment="1">
      <x:alignment horizontal="center" vertical="center"/>
    </x:xf>
    <x:xf numFmtId="0" fontId="17" fillId="5" borderId="11" xfId="0" applyNumberFormat="1" applyFont="1" applyFill="1" applyBorder="1" applyAlignment="1">
      <x:alignment horizontal="left" vertical="center" wrapText="1"/>
    </x:xf>
    <x:xf numFmtId="0" fontId="5" fillId="4" borderId="11" xfId="0" applyNumberFormat="1" applyFont="1" applyFill="1" applyBorder="1" applyAlignment="1">
      <x:alignment horizontal="center" vertical="center"/>
    </x:xf>
    <x:xf numFmtId="0" fontId="18" fillId="10" borderId="11" xfId="0" applyNumberFormat="1" applyFont="1" applyFill="1" applyBorder="1" applyAlignment="1">
      <x:alignment horizontal="center" vertical="center"/>
    </x:xf>
    <x:xf numFmtId="0" fontId="19" fillId="8" borderId="11" xfId="0" applyNumberFormat="1" applyFont="1" applyFill="1" applyBorder="1" applyAlignment="1">
      <x:alignment horizontal="center" vertical="center"/>
    </x:xf>
    <x:xf numFmtId="0" fontId="20" fillId="9" borderId="11" xfId="0" applyNumberFormat="1" applyFont="1" applyFill="1" applyBorder="1" applyAlignment="1">
      <x:alignment horizontal="center" vertical="center"/>
    </x:xf>
    <x:xf numFmtId="0" fontId="21" fillId="5" borderId="11" xfId="0" applyNumberFormat="1" applyFont="1" applyFill="1" applyBorder="1" applyAlignment="1">
      <x:alignment horizontal="left" vertical="center" wrapText="1"/>
    </x:xf>
    <x:xf numFmtId="0" fontId="22" fillId="35" borderId="11" xfId="0" applyNumberFormat="1" applyFont="1" applyFill="1" applyBorder="1" applyAlignment="1">
      <x:alignment horizontal="center" vertical="center"/>
    </x:xf>
    <x:xf numFmtId="0" fontId="22" fillId="36" borderId="11" xfId="0" applyNumberFormat="1" applyFont="1" applyFill="1" applyBorder="1" applyAlignment="1">
      <x:alignment horizontal="center" vertical="center"/>
    </x:xf>
    <x:xf numFmtId="0" fontId="22" fillId="37" borderId="11" xfId="0" applyNumberFormat="1" applyFont="1" applyFill="1" applyBorder="1" applyAlignment="1">
      <x:alignment horizontal="center" vertical="center"/>
    </x:xf>
    <x:xf numFmtId="0" fontId="22" fillId="38" borderId="11" xfId="0" applyNumberFormat="1" applyFont="1" applyFill="1" applyBorder="1" applyAlignment="1">
      <x:alignment horizontal="center" vertical="center"/>
    </x:xf>
    <x:xf numFmtId="0" fontId="22" fillId="18" borderId="11" xfId="0" applyNumberFormat="1" applyFont="1" applyFill="1" applyBorder="1" applyAlignment="1">
      <x:alignment horizontal="center" vertical="center"/>
    </x:xf>
    <x:xf numFmtId="0" fontId="22" fillId="31" borderId="11" xfId="0" applyNumberFormat="1" applyFont="1" applyFill="1" applyBorder="1" applyAlignment="1">
      <x:alignment horizontal="center" vertical="center"/>
    </x:xf>
    <x:xf numFmtId="0" fontId="23" fillId="4" borderId="10" xfId="0" applyNumberFormat="1" applyFont="1" applyFill="1" applyBorder="1" applyAlignment="1">
      <x:alignment horizontal="center" vertical="center" wrapText="1"/>
    </x:xf>
    <x:xf numFmtId="0" fontId="24" fillId="4" borderId="10" xfId="0" applyNumberFormat="1" applyFont="1" applyFill="1" applyBorder="1" applyAlignment="1">
      <x:alignment horizontal="center" vertical="center" wrapText="1"/>
    </x:xf>
    <x:xf numFmtId="0" fontId="25" fillId="10" borderId="11" xfId="0" applyNumberFormat="1" applyFont="1" applyFill="1" applyBorder="1" applyAlignment="1">
      <x:alignment horizontal="center" vertical="center" wrapText="1"/>
    </x:xf>
    <x:xf numFmtId="0" fontId="22" fillId="10" borderId="11" xfId="0" applyNumberFormat="1" applyFont="1" applyFill="1" applyBorder="1" applyAlignment="1">
      <x:alignment horizontal="center" vertical="center" wrapText="1"/>
    </x:xf>
    <x:xf numFmtId="0" fontId="26" fillId="10" borderId="11" xfId="0" applyNumberFormat="1" applyFont="1" applyFill="1" applyBorder="1" applyAlignment="1">
      <x:alignment horizontal="center" vertical="center" wrapText="1"/>
    </x:xf>
    <x:xf numFmtId="0" fontId="4" fillId="10" borderId="11" xfId="0" applyNumberFormat="1" applyFont="1" applyFill="1" applyBorder="1" applyAlignment="1">
      <x:alignment horizontal="center" vertical="center" wrapText="1"/>
    </x:xf>
    <x:xf numFmtId="0" fontId="25" fillId="8" borderId="11" xfId="0" applyNumberFormat="1" applyFont="1" applyFill="1" applyBorder="1" applyAlignment="1">
      <x:alignment horizontal="center" vertical="center" wrapText="1"/>
    </x:xf>
    <x:xf numFmtId="0" fontId="22" fillId="8" borderId="11" xfId="0" applyNumberFormat="1" applyFont="1" applyFill="1" applyBorder="1" applyAlignment="1">
      <x:alignment horizontal="center" vertical="center" wrapText="1"/>
    </x:xf>
    <x:xf numFmtId="0" fontId="26" fillId="8" borderId="11" xfId="0" applyNumberFormat="1" applyFont="1" applyFill="1" applyBorder="1" applyAlignment="1">
      <x:alignment horizontal="center" vertical="center" wrapText="1"/>
    </x:xf>
    <x:xf numFmtId="0" fontId="4" fillId="8" borderId="11" xfId="0" applyNumberFormat="1" applyFont="1" applyFill="1" applyBorder="1" applyAlignment="1">
      <x:alignment horizontal="center" vertical="center" wrapText="1"/>
    </x:xf>
    <x:xf numFmtId="0" fontId="25" fillId="9" borderId="11" xfId="0" applyNumberFormat="1" applyFont="1" applyFill="1" applyBorder="1" applyAlignment="1">
      <x:alignment horizontal="center" vertical="center" wrapText="1"/>
    </x:xf>
    <x:xf numFmtId="0" fontId="22" fillId="9" borderId="11" xfId="0" applyNumberFormat="1" applyFont="1" applyFill="1" applyBorder="1" applyAlignment="1">
      <x:alignment horizontal="center" vertical="center" wrapText="1"/>
    </x:xf>
    <x:xf numFmtId="0" fontId="26" fillId="9" borderId="11" xfId="0" applyNumberFormat="1" applyFont="1" applyFill="1" applyBorder="1" applyAlignment="1">
      <x:alignment horizontal="center" vertical="center" wrapText="1"/>
    </x:xf>
    <x:xf numFmtId="0" fontId="4" fillId="9" borderId="11" xfId="0" applyNumberFormat="1" applyFont="1" applyFill="1" applyBorder="1" applyAlignment="1">
      <x:alignment horizontal="center" vertical="center" wrapText="1"/>
    </x:xf>
    <x:xf numFmtId="0" fontId="25" fillId="18" borderId="11" xfId="0" applyNumberFormat="1" applyFont="1" applyFill="1" applyBorder="1" applyAlignment="1">
      <x:alignment horizontal="center" vertical="center" wrapText="1"/>
    </x:xf>
    <x:xf numFmtId="0" fontId="22" fillId="18" borderId="11" xfId="0" applyNumberFormat="1" applyFont="1" applyFill="1" applyBorder="1" applyAlignment="1">
      <x:alignment horizontal="center" vertical="center" wrapText="1"/>
    </x:xf>
    <x:xf numFmtId="0" fontId="26" fillId="18" borderId="11" xfId="0" applyNumberFormat="1" applyFont="1" applyFill="1" applyBorder="1" applyAlignment="1">
      <x:alignment horizontal="center" vertical="center" wrapText="1"/>
    </x:xf>
    <x:xf numFmtId="0" fontId="4" fillId="18" borderId="11" xfId="0" applyNumberFormat="1" applyFont="1" applyFill="1" applyBorder="1" applyAlignment="1">
      <x:alignment horizontal="center" vertical="center" wrapText="1"/>
    </x:xf>
    <x:xf numFmtId="0" fontId="0" fillId="18" borderId="11" xfId="0" applyNumberFormat="1" applyFont="1" applyFill="1" applyBorder="1" applyAlignment="1">
      <x:alignment horizontal="center" vertical="center" wrapText="1"/>
    </x:xf>
    <x:xf numFmtId="0" fontId="5" fillId="70" borderId="0" xfId="0" applyNumberFormat="1" applyFont="1" applyFill="1" applyBorder="1" applyAlignment="1">
      <x:alignment horizontal="center" vertical="center" wrapText="1"/>
    </x:xf>
    <x:xf numFmtId="0" fontId="0" fillId="70" borderId="0" xfId="0" applyNumberFormat="1" applyFont="1" applyFill="1" applyBorder="1"/>
    <x:xf numFmtId="0" fontId="3" fillId="70" borderId="0" xfId="0" applyNumberFormat="1" applyFont="1" applyFill="1" applyBorder="1"/>
    <x:xf numFmtId="0" fontId="3" fillId="70" borderId="0" xfId="0" applyNumberFormat="1" applyFont="1" applyFill="1" applyBorder="1" applyAlignment="1">
      <x:alignment wrapText="1"/>
    </x:xf>
    <x:xf numFmtId="0" fontId="3" fillId="70" borderId="0" xfId="0" applyNumberFormat="1" applyFont="1" applyFill="1" applyBorder="1" applyAlignment="1">
      <x:alignment horizontal="center" wrapText="1"/>
    </x:xf>
    <x:xf numFmtId="0" fontId="3" fillId="70" borderId="0" xfId="0" applyNumberFormat="1" applyFont="1" applyFill="1" applyBorder="1" applyAlignment="1">
      <x:alignment horizontal="center" vertical="center" wrapText="1"/>
    </x:xf>
    <x:xf numFmtId="0" fontId="5" fillId="70" borderId="10" xfId="0" applyNumberFormat="1" applyFont="1" applyFill="1" applyBorder="1" applyAlignment="1">
      <x:alignment horizontal="center" vertical="center" wrapText="1"/>
    </x:xf>
    <x:xf numFmtId="0" fontId="0" fillId="70" borderId="10" xfId="0" applyNumberFormat="1" applyFont="1" applyFill="1" applyBorder="1"/>
    <x:xf numFmtId="0" fontId="3" fillId="70" borderId="10" xfId="0" applyNumberFormat="1" applyFont="1" applyFill="1" applyBorder="1"/>
    <x:xf numFmtId="0" fontId="3" fillId="70" borderId="10" xfId="0" applyNumberFormat="1" applyFont="1" applyFill="1" applyBorder="1" applyAlignment="1">
      <x:alignment wrapText="1"/>
    </x:xf>
    <x:xf numFmtId="0" fontId="3" fillId="70" borderId="10" xfId="0" applyNumberFormat="1" applyFont="1" applyFill="1" applyBorder="1" applyAlignment="1">
      <x:alignment horizontal="center" wrapText="1"/>
    </x:xf>
    <x:xf numFmtId="0" fontId="3" fillId="70" borderId="10" xfId="0" applyNumberFormat="1" applyFont="1" applyFill="1" applyBorder="1" applyAlignment="1">
      <x:alignment horizontal="center" vertical="center" wrapText="1"/>
    </x:xf>
    <x:xf numFmtId="0" fontId="46" fillId="19" borderId="0" xfId="0" applyNumberFormat="1" applyFont="1" applyFill="1" applyBorder="1" applyAlignment="1">
      <x:alignment horizontal="center" vertical="top" wrapText="1"/>
    </x:xf>
    <x:xf numFmtId="0" fontId="46" fillId="19" borderId="0" xfId="0" applyNumberFormat="1" applyFont="1" applyFill="1" applyBorder="1" applyAlignment="1">
      <x:alignment vertical="top" wrapText="1"/>
    </x:xf>
    <x:xf numFmtId="0" fontId="47" fillId="19" borderId="0" xfId="0" applyNumberFormat="1" applyFont="1" applyFill="1" applyBorder="1" applyAlignment="1">
      <x:alignment horizontal="center" vertical="top" wrapText="1"/>
    </x:xf>
    <x:xf numFmtId="0" fontId="47" fillId="19" borderId="0" xfId="0" applyNumberFormat="1" applyFont="1" applyFill="1" applyBorder="1" applyAlignment="1">
      <x:alignment vertical="top" wrapText="1"/>
    </x:xf>
    <x:xf numFmtId="0" fontId="46" fillId="0" borderId="0" xfId="0" applyNumberFormat="1" applyFont="1" applyFill="1" applyBorder="1"/>
    <x:xf numFmtId="0" fontId="46" fillId="20" borderId="0" xfId="0" applyNumberFormat="1" applyFont="1" applyFill="1" applyBorder="1" applyAlignment="1">
      <x:alignment horizontal="center" vertical="top" wrapText="1"/>
    </x:xf>
    <x:xf numFmtId="0" fontId="46" fillId="20" borderId="0" xfId="0" applyNumberFormat="1" applyFont="1" applyFill="1" applyBorder="1" applyAlignment="1">
      <x:alignment vertical="top" wrapText="1"/>
    </x:xf>
    <x:xf numFmtId="0" fontId="47" fillId="20" borderId="0" xfId="0" applyNumberFormat="1" applyFont="1" applyFill="1" applyBorder="1" applyAlignment="1">
      <x:alignment horizontal="center" vertical="top" wrapText="1"/>
    </x:xf>
    <x:xf numFmtId="0" fontId="47" fillId="20" borderId="0" xfId="0" applyNumberFormat="1" applyFont="1" applyFill="1" applyBorder="1" applyAlignment="1">
      <x:alignment vertical="top" wrapText="1"/>
    </x:xf>
    <x:xf numFmtId="0" fontId="46" fillId="21" borderId="0" xfId="0" applyNumberFormat="1" applyFont="1" applyFill="1" applyBorder="1" applyAlignment="1">
      <x:alignment horizontal="center" vertical="top" wrapText="1"/>
    </x:xf>
    <x:xf numFmtId="0" fontId="46" fillId="21" borderId="0" xfId="0" applyNumberFormat="1" applyFont="1" applyFill="1" applyBorder="1" applyAlignment="1">
      <x:alignment vertical="top" wrapText="1"/>
    </x:xf>
    <x:xf numFmtId="0" fontId="47" fillId="21" borderId="0" xfId="0" applyNumberFormat="1" applyFont="1" applyFill="1" applyBorder="1" applyAlignment="1">
      <x:alignment horizontal="center" vertical="top" wrapText="1"/>
    </x:xf>
    <x:xf numFmtId="0" fontId="47" fillId="21" borderId="0" xfId="0" applyNumberFormat="1" applyFont="1" applyFill="1" applyBorder="1" applyAlignment="1">
      <x:alignment vertical="top" wrapText="1"/>
    </x:xf>
    <x:xf numFmtId="0" fontId="46" fillId="22" borderId="0" xfId="0" applyNumberFormat="1" applyFont="1" applyFill="1" applyBorder="1" applyAlignment="1">
      <x:alignment horizontal="center" vertical="top" wrapText="1"/>
    </x:xf>
    <x:xf numFmtId="0" fontId="46" fillId="22" borderId="0" xfId="0" applyNumberFormat="1" applyFont="1" applyFill="1" applyBorder="1" applyAlignment="1">
      <x:alignment vertical="top" wrapText="1"/>
    </x:xf>
    <x:xf numFmtId="0" fontId="47" fillId="22" borderId="0" xfId="0" applyNumberFormat="1" applyFont="1" applyFill="1" applyBorder="1" applyAlignment="1">
      <x:alignment horizontal="center" vertical="top" wrapText="1"/>
    </x:xf>
    <x:xf numFmtId="0" fontId="47" fillId="22" borderId="0" xfId="0" applyNumberFormat="1" applyFont="1" applyFill="1" applyBorder="1" applyAlignment="1">
      <x:alignment vertical="top" wrapText="1"/>
    </x:xf>
    <x:xf numFmtId="0" fontId="47" fillId="22" borderId="0" xfId="0" applyNumberFormat="1" applyFont="1" applyFill="1" applyBorder="1" applyAlignment="1">
      <x:alignment horizontal="center" vertical="center" wrapText="1"/>
    </x:xf>
    <x:xf numFmtId="0" fontId="46" fillId="23" borderId="0" xfId="0" applyNumberFormat="1" applyFont="1" applyFill="1" applyBorder="1" applyAlignment="1">
      <x:alignment horizontal="center" vertical="top" wrapText="1"/>
    </x:xf>
    <x:xf numFmtId="0" fontId="46" fillId="23" borderId="0" xfId="0" applyNumberFormat="1" applyFont="1" applyFill="1" applyBorder="1" applyAlignment="1">
      <x:alignment vertical="top" wrapText="1"/>
    </x:xf>
    <x:xf numFmtId="0" fontId="47" fillId="23" borderId="0" xfId="0" applyNumberFormat="1" applyFont="1" applyFill="1" applyBorder="1" applyAlignment="1">
      <x:alignment horizontal="center" vertical="top" wrapText="1"/>
    </x:xf>
    <x:xf numFmtId="0" fontId="47" fillId="23" borderId="0" xfId="0" applyNumberFormat="1" applyFont="1" applyFill="1" applyBorder="1" applyAlignment="1">
      <x:alignment vertical="top" wrapText="1"/>
    </x:xf>
    <x:xf numFmtId="0" fontId="46" fillId="10" borderId="0" xfId="0" applyNumberFormat="1" applyFont="1" applyFill="1" applyBorder="1" applyAlignment="1">
      <x:alignment horizontal="center" vertical="top" wrapText="1"/>
    </x:xf>
    <x:xf numFmtId="0" fontId="46" fillId="10" borderId="0" xfId="0" applyNumberFormat="1" applyFont="1" applyFill="1" applyBorder="1" applyAlignment="1">
      <x:alignment vertical="top" wrapText="1"/>
    </x:xf>
    <x:xf numFmtId="0" fontId="47" fillId="10" borderId="0" xfId="0" applyNumberFormat="1" applyFont="1" applyFill="1" applyBorder="1" applyAlignment="1">
      <x:alignment horizontal="center" vertical="top" wrapText="1"/>
    </x:xf>
    <x:xf numFmtId="0" fontId="47" fillId="10" borderId="0" xfId="0" applyNumberFormat="1" applyFont="1" applyFill="1" applyBorder="1" applyAlignment="1">
      <x:alignment vertical="top" wrapText="1"/>
    </x:xf>
    <x:xf numFmtId="0" fontId="47" fillId="10" borderId="0" xfId="0" applyNumberFormat="1" applyFont="1" applyFill="1" applyBorder="1" applyAlignment="1">
      <x:alignment horizontal="center" vertical="center" wrapText="1"/>
    </x:xf>
    <x:xf numFmtId="0" fontId="46" fillId="0" borderId="0" xfId="0" applyNumberFormat="1" applyFont="1" applyFill="1" applyBorder="1" applyAlignment="1">
      <x:alignment wrapText="1"/>
    </x:xf>
    <x:xf numFmtId="0" fontId="46" fillId="0" borderId="0" xfId="0" applyNumberFormat="1" applyFont="1" applyFill="1" applyBorder="1" applyAlignment="1">
      <x:alignment vertical="top" wrapText="1"/>
    </x:xf>
    <x:xf numFmtId="0" fontId="46" fillId="19" borderId="10" xfId="0" applyNumberFormat="1" applyFont="1" applyFill="1" applyBorder="1" applyAlignment="1">
      <x:alignment horizontal="center" vertical="top" wrapText="1"/>
    </x:xf>
    <x:xf numFmtId="0" fontId="46" fillId="19" borderId="10" xfId="0" applyNumberFormat="1" applyFont="1" applyFill="1" applyBorder="1" applyAlignment="1">
      <x:alignment vertical="top" wrapText="1"/>
    </x:xf>
    <x:xf numFmtId="0" fontId="47" fillId="19" borderId="10" xfId="0" applyNumberFormat="1" applyFont="1" applyFill="1" applyBorder="1" applyAlignment="1">
      <x:alignment horizontal="center" vertical="top" wrapText="1"/>
    </x:xf>
    <x:xf numFmtId="0" fontId="47" fillId="19" borderId="10" xfId="0" applyNumberFormat="1" applyFont="1" applyFill="1" applyBorder="1" applyAlignment="1">
      <x:alignment vertical="top" wrapText="1"/>
    </x:xf>
    <x:xf numFmtId="0" fontId="46" fillId="0" borderId="10" xfId="0" applyNumberFormat="1" applyFont="1" applyFill="1" applyBorder="1"/>
    <x:xf numFmtId="0" fontId="46" fillId="20" borderId="10" xfId="0" applyNumberFormat="1" applyFont="1" applyFill="1" applyBorder="1" applyAlignment="1">
      <x:alignment horizontal="center" vertical="top" wrapText="1"/>
    </x:xf>
    <x:xf numFmtId="0" fontId="46" fillId="20" borderId="10" xfId="0" applyNumberFormat="1" applyFont="1" applyFill="1" applyBorder="1" applyAlignment="1">
      <x:alignment vertical="top" wrapText="1"/>
    </x:xf>
    <x:xf numFmtId="0" fontId="47" fillId="20" borderId="10" xfId="0" applyNumberFormat="1" applyFont="1" applyFill="1" applyBorder="1" applyAlignment="1">
      <x:alignment horizontal="center" vertical="top" wrapText="1"/>
    </x:xf>
    <x:xf numFmtId="0" fontId="47" fillId="20" borderId="10" xfId="0" applyNumberFormat="1" applyFont="1" applyFill="1" applyBorder="1" applyAlignment="1">
      <x:alignment vertical="top" wrapText="1"/>
    </x:xf>
    <x:xf numFmtId="0" fontId="46" fillId="21" borderId="10" xfId="0" applyNumberFormat="1" applyFont="1" applyFill="1" applyBorder="1" applyAlignment="1">
      <x:alignment horizontal="center" vertical="top" wrapText="1"/>
    </x:xf>
    <x:xf numFmtId="0" fontId="46" fillId="21" borderId="10" xfId="0" applyNumberFormat="1" applyFont="1" applyFill="1" applyBorder="1" applyAlignment="1">
      <x:alignment vertical="top" wrapText="1"/>
    </x:xf>
    <x:xf numFmtId="0" fontId="47" fillId="21" borderId="10" xfId="0" applyNumberFormat="1" applyFont="1" applyFill="1" applyBorder="1" applyAlignment="1">
      <x:alignment horizontal="center" vertical="top" wrapText="1"/>
    </x:xf>
    <x:xf numFmtId="0" fontId="47" fillId="21" borderId="10" xfId="0" applyNumberFormat="1" applyFont="1" applyFill="1" applyBorder="1" applyAlignment="1">
      <x:alignment vertical="top" wrapText="1"/>
    </x:xf>
    <x:xf numFmtId="0" fontId="46" fillId="22" borderId="10" xfId="0" applyNumberFormat="1" applyFont="1" applyFill="1" applyBorder="1" applyAlignment="1">
      <x:alignment horizontal="center" vertical="top" wrapText="1"/>
    </x:xf>
    <x:xf numFmtId="0" fontId="46" fillId="22" borderId="10" xfId="0" applyNumberFormat="1" applyFont="1" applyFill="1" applyBorder="1" applyAlignment="1">
      <x:alignment vertical="top" wrapText="1"/>
    </x:xf>
    <x:xf numFmtId="0" fontId="47" fillId="22" borderId="10" xfId="0" applyNumberFormat="1" applyFont="1" applyFill="1" applyBorder="1" applyAlignment="1">
      <x:alignment horizontal="center" vertical="top" wrapText="1"/>
    </x:xf>
    <x:xf numFmtId="0" fontId="47" fillId="22" borderId="10" xfId="0" applyNumberFormat="1" applyFont="1" applyFill="1" applyBorder="1" applyAlignment="1">
      <x:alignment vertical="top" wrapText="1"/>
    </x:xf>
    <x:xf numFmtId="0" fontId="47" fillId="22" borderId="10" xfId="0" applyNumberFormat="1" applyFont="1" applyFill="1" applyBorder="1" applyAlignment="1">
      <x:alignment horizontal="center" vertical="center" wrapText="1"/>
    </x:xf>
    <x:xf numFmtId="0" fontId="46" fillId="23" borderId="10" xfId="0" applyNumberFormat="1" applyFont="1" applyFill="1" applyBorder="1" applyAlignment="1">
      <x:alignment horizontal="center" vertical="top" wrapText="1"/>
    </x:xf>
    <x:xf numFmtId="0" fontId="46" fillId="23" borderId="10" xfId="0" applyNumberFormat="1" applyFont="1" applyFill="1" applyBorder="1" applyAlignment="1">
      <x:alignment vertical="top" wrapText="1"/>
    </x:xf>
    <x:xf numFmtId="0" fontId="47" fillId="23" borderId="10" xfId="0" applyNumberFormat="1" applyFont="1" applyFill="1" applyBorder="1" applyAlignment="1">
      <x:alignment horizontal="center" vertical="top" wrapText="1"/>
    </x:xf>
    <x:xf numFmtId="0" fontId="47" fillId="23" borderId="10" xfId="0" applyNumberFormat="1" applyFont="1" applyFill="1" applyBorder="1" applyAlignment="1">
      <x:alignment vertical="top" wrapText="1"/>
    </x:xf>
    <x:xf numFmtId="0" fontId="46" fillId="10" borderId="10" xfId="0" applyNumberFormat="1" applyFont="1" applyFill="1" applyBorder="1" applyAlignment="1">
      <x:alignment horizontal="center" vertical="top" wrapText="1"/>
    </x:xf>
    <x:xf numFmtId="0" fontId="46" fillId="10" borderId="10" xfId="0" applyNumberFormat="1" applyFont="1" applyFill="1" applyBorder="1" applyAlignment="1">
      <x:alignment vertical="top" wrapText="1"/>
    </x:xf>
    <x:xf numFmtId="0" fontId="47" fillId="10" borderId="10" xfId="0" applyNumberFormat="1" applyFont="1" applyFill="1" applyBorder="1" applyAlignment="1">
      <x:alignment horizontal="center" vertical="top" wrapText="1"/>
    </x:xf>
    <x:xf numFmtId="0" fontId="47" fillId="10" borderId="10" xfId="0" applyNumberFormat="1" applyFont="1" applyFill="1" applyBorder="1" applyAlignment="1">
      <x:alignment vertical="top" wrapText="1"/>
    </x:xf>
    <x:xf numFmtId="0" fontId="47" fillId="10" borderId="10" xfId="0" applyNumberFormat="1" applyFont="1" applyFill="1" applyBorder="1" applyAlignment="1">
      <x:alignment horizontal="center" vertical="center" wrapText="1"/>
    </x:xf>
    <x:xf numFmtId="0" fontId="46" fillId="0" borderId="10" xfId="0" applyNumberFormat="1" applyFont="1" applyFill="1" applyBorder="1" applyAlignment="1">
      <x:alignment wrapText="1"/>
    </x:xf>
    <x:xf numFmtId="0" fontId="46" fillId="0" borderId="10" xfId="0" applyNumberFormat="1" applyFont="1" applyFill="1" applyBorder="1" applyAlignment="1">
      <x:alignment vertical="top" wrapText="1"/>
    </x:xf>
    <x:xf numFmtId="0" fontId="46" fillId="71" borderId="0" xfId="0" applyNumberFormat="1" applyFont="1" applyFill="1" applyBorder="1" applyAlignment="1">
      <x:alignment horizontal="center" vertical="top" wrapText="1"/>
    </x:xf>
    <x:xf numFmtId="0" fontId="46" fillId="71" borderId="0" xfId="0" applyNumberFormat="1" applyFont="1" applyFill="1" applyBorder="1" applyAlignment="1">
      <x:alignment vertical="top" wrapText="1"/>
    </x:xf>
    <x:xf numFmtId="0" fontId="47" fillId="71" borderId="0" xfId="0" applyNumberFormat="1" applyFont="1" applyFill="1" applyBorder="1" applyAlignment="1">
      <x:alignment horizontal="center" vertical="top" wrapText="1"/>
    </x:xf>
    <x:xf numFmtId="0" fontId="47" fillId="71" borderId="0" xfId="0" applyNumberFormat="1" applyFont="1" applyFill="1" applyBorder="1" applyAlignment="1">
      <x:alignment vertical="top" wrapText="1"/>
    </x:xf>
    <x:xf numFmtId="0" fontId="46" fillId="71" borderId="10" xfId="0" applyNumberFormat="1" applyFont="1" applyFill="1" applyBorder="1" applyAlignment="1">
      <x:alignment horizontal="center" vertical="top" wrapText="1"/>
    </x:xf>
    <x:xf numFmtId="0" fontId="46" fillId="71" borderId="10" xfId="0" applyNumberFormat="1" applyFont="1" applyFill="1" applyBorder="1" applyAlignment="1">
      <x:alignment vertical="top" wrapText="1"/>
    </x:xf>
    <x:xf numFmtId="0" fontId="47" fillId="71" borderId="10" xfId="0" applyNumberFormat="1" applyFont="1" applyFill="1" applyBorder="1" applyAlignment="1">
      <x:alignment horizontal="center" vertical="top" wrapText="1"/>
    </x:xf>
    <x:xf numFmtId="0" fontId="47" fillId="71" borderId="10" xfId="0" applyNumberFormat="1" applyFont="1" applyFill="1" applyBorder="1" applyAlignment="1">
      <x:alignment vertical="top" wrapText="1"/>
    </x:xf>
    <x:xf numFmtId="0" fontId="46" fillId="72" borderId="0" xfId="0" applyNumberFormat="1" applyFont="1" applyFill="1" applyBorder="1" applyAlignment="1">
      <x:alignment horizontal="center" vertical="top" wrapText="1"/>
    </x:xf>
    <x:xf numFmtId="0" fontId="46" fillId="72" borderId="0" xfId="0" applyNumberFormat="1" applyFont="1" applyFill="1" applyBorder="1" applyAlignment="1">
      <x:alignment vertical="top" wrapText="1"/>
    </x:xf>
    <x:xf numFmtId="0" fontId="47" fillId="72" borderId="0" xfId="0" applyNumberFormat="1" applyFont="1" applyFill="1" applyBorder="1" applyAlignment="1">
      <x:alignment horizontal="center" vertical="top" wrapText="1"/>
    </x:xf>
    <x:xf numFmtId="0" fontId="47" fillId="72" borderId="0" xfId="0" applyNumberFormat="1" applyFont="1" applyFill="1" applyBorder="1" applyAlignment="1">
      <x:alignment vertical="top" wrapText="1"/>
    </x:xf>
    <x:xf numFmtId="0" fontId="46" fillId="72" borderId="10" xfId="0" applyNumberFormat="1" applyFont="1" applyFill="1" applyBorder="1" applyAlignment="1">
      <x:alignment horizontal="center" vertical="top" wrapText="1"/>
    </x:xf>
    <x:xf numFmtId="0" fontId="46" fillId="72" borderId="10" xfId="0" applyNumberFormat="1" applyFont="1" applyFill="1" applyBorder="1" applyAlignment="1">
      <x:alignment vertical="top" wrapText="1"/>
    </x:xf>
    <x:xf numFmtId="0" fontId="47" fillId="72" borderId="10" xfId="0" applyNumberFormat="1" applyFont="1" applyFill="1" applyBorder="1" applyAlignment="1">
      <x:alignment horizontal="center" vertical="top" wrapText="1"/>
    </x:xf>
    <x:xf numFmtId="0" fontId="47" fillId="72" borderId="10" xfId="0" applyNumberFormat="1" applyFont="1" applyFill="1" applyBorder="1" applyAlignment="1">
      <x:alignment vertical="top" wrapText="1"/>
    </x:xf>
    <x:xf numFmtId="0" fontId="46" fillId="73" borderId="0" xfId="0" applyNumberFormat="1" applyFont="1" applyFill="1" applyBorder="1" applyAlignment="1">
      <x:alignment horizontal="center" vertical="top" wrapText="1"/>
    </x:xf>
    <x:xf numFmtId="0" fontId="46" fillId="73" borderId="0" xfId="0" applyNumberFormat="1" applyFont="1" applyFill="1" applyBorder="1" applyAlignment="1">
      <x:alignment vertical="top" wrapText="1"/>
    </x:xf>
    <x:xf numFmtId="0" fontId="47" fillId="73" borderId="0" xfId="0" applyNumberFormat="1" applyFont="1" applyFill="1" applyBorder="1" applyAlignment="1">
      <x:alignment horizontal="center" vertical="top" wrapText="1"/>
    </x:xf>
    <x:xf numFmtId="0" fontId="47" fillId="73" borderId="0" xfId="0" applyNumberFormat="1" applyFont="1" applyFill="1" applyBorder="1" applyAlignment="1">
      <x:alignment vertical="top" wrapText="1"/>
    </x:xf>
    <x:xf numFmtId="0" fontId="46" fillId="73" borderId="10" xfId="0" applyNumberFormat="1" applyFont="1" applyFill="1" applyBorder="1" applyAlignment="1">
      <x:alignment horizontal="center" vertical="top" wrapText="1"/>
    </x:xf>
    <x:xf numFmtId="0" fontId="46" fillId="73" borderId="10" xfId="0" applyNumberFormat="1" applyFont="1" applyFill="1" applyBorder="1" applyAlignment="1">
      <x:alignment vertical="top" wrapText="1"/>
    </x:xf>
    <x:xf numFmtId="0" fontId="47" fillId="73" borderId="10" xfId="0" applyNumberFormat="1" applyFont="1" applyFill="1" applyBorder="1" applyAlignment="1">
      <x:alignment horizontal="center" vertical="top" wrapText="1"/>
    </x:xf>
    <x:xf numFmtId="0" fontId="47" fillId="73" borderId="10" xfId="0" applyNumberFormat="1" applyFont="1" applyFill="1" applyBorder="1" applyAlignment="1">
      <x:alignment vertical="top" wrapText="1"/>
    </x:xf>
    <x:xf numFmtId="0" fontId="46" fillId="74" borderId="0" xfId="0" applyNumberFormat="1" applyFont="1" applyFill="1" applyBorder="1" applyAlignment="1">
      <x:alignment horizontal="center" vertical="top" wrapText="1"/>
    </x:xf>
    <x:xf numFmtId="0" fontId="46" fillId="74" borderId="0" xfId="0" applyNumberFormat="1" applyFont="1" applyFill="1" applyBorder="1" applyAlignment="1">
      <x:alignment vertical="top" wrapText="1"/>
    </x:xf>
    <x:xf numFmtId="0" fontId="47" fillId="74" borderId="0" xfId="0" applyNumberFormat="1" applyFont="1" applyFill="1" applyBorder="1" applyAlignment="1">
      <x:alignment horizontal="center" vertical="top" wrapText="1"/>
    </x:xf>
    <x:xf numFmtId="0" fontId="47" fillId="74" borderId="0" xfId="0" applyNumberFormat="1" applyFont="1" applyFill="1" applyBorder="1" applyAlignment="1">
      <x:alignment vertical="top" wrapText="1"/>
    </x:xf>
    <x:xf numFmtId="0" fontId="46" fillId="74" borderId="10" xfId="0" applyNumberFormat="1" applyFont="1" applyFill="1" applyBorder="1" applyAlignment="1">
      <x:alignment horizontal="center" vertical="top" wrapText="1"/>
    </x:xf>
    <x:xf numFmtId="0" fontId="46" fillId="74" borderId="10" xfId="0" applyNumberFormat="1" applyFont="1" applyFill="1" applyBorder="1" applyAlignment="1">
      <x:alignment vertical="top" wrapText="1"/>
    </x:xf>
    <x:xf numFmtId="0" fontId="47" fillId="74" borderId="10" xfId="0" applyNumberFormat="1" applyFont="1" applyFill="1" applyBorder="1" applyAlignment="1">
      <x:alignment horizontal="center" vertical="top" wrapText="1"/>
    </x:xf>
    <x:xf numFmtId="0" fontId="47" fillId="74" borderId="10" xfId="0" applyNumberFormat="1" applyFont="1" applyFill="1" applyBorder="1" applyAlignment="1">
      <x:alignment vertical="top" wrapText="1"/>
    </x:xf>
    <x:xf numFmtId="0" fontId="46" fillId="75" borderId="0" xfId="0" applyNumberFormat="1" applyFont="1" applyFill="1" applyBorder="1" applyAlignment="1">
      <x:alignment horizontal="center" vertical="top" wrapText="1"/>
    </x:xf>
    <x:xf numFmtId="0" fontId="46" fillId="75" borderId="0" xfId="0" applyNumberFormat="1" applyFont="1" applyFill="1" applyBorder="1" applyAlignment="1">
      <x:alignment vertical="top" wrapText="1"/>
    </x:xf>
    <x:xf numFmtId="0" fontId="47" fillId="75" borderId="0" xfId="0" applyNumberFormat="1" applyFont="1" applyFill="1" applyBorder="1" applyAlignment="1">
      <x:alignment horizontal="center" vertical="top" wrapText="1"/>
    </x:xf>
    <x:xf numFmtId="0" fontId="47" fillId="75" borderId="0" xfId="0" applyNumberFormat="1" applyFont="1" applyFill="1" applyBorder="1" applyAlignment="1">
      <x:alignment vertical="top" wrapText="1"/>
    </x:xf>
    <x:xf numFmtId="0" fontId="46" fillId="75" borderId="10" xfId="0" applyNumberFormat="1" applyFont="1" applyFill="1" applyBorder="1" applyAlignment="1">
      <x:alignment horizontal="center" vertical="top" wrapText="1"/>
    </x:xf>
    <x:xf numFmtId="0" fontId="46" fillId="75" borderId="10" xfId="0" applyNumberFormat="1" applyFont="1" applyFill="1" applyBorder="1" applyAlignment="1">
      <x:alignment vertical="top" wrapText="1"/>
    </x:xf>
    <x:xf numFmtId="0" fontId="47" fillId="75" borderId="10" xfId="0" applyNumberFormat="1" applyFont="1" applyFill="1" applyBorder="1" applyAlignment="1">
      <x:alignment horizontal="center" vertical="top" wrapText="1"/>
    </x:xf>
    <x:xf numFmtId="0" fontId="47" fillId="75" borderId="10" xfId="0" applyNumberFormat="1" applyFont="1" applyFill="1" applyBorder="1" applyAlignment="1">
      <x:alignment vertical="top" wrapText="1"/>
    </x:xf>
    <x:xf numFmtId="0" fontId="46" fillId="76" borderId="0" xfId="0" applyNumberFormat="1" applyFont="1" applyFill="1" applyBorder="1" applyAlignment="1">
      <x:alignment vertical="top" wrapText="1"/>
    </x:xf>
    <x:xf numFmtId="0" fontId="46" fillId="76" borderId="10"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1" fillId="2" borderId="10" xfId="0" applyNumberFormat="1" applyFont="1" applyFill="1" applyBorder="1" applyAlignment="1">
      <x:alignment horizontal="center" vertical="center" wrapText="1"/>
    </x:xf>
    <x:xf numFmtId="0" fontId="3" fillId="77" borderId="0" xfId="0" applyNumberFormat="1" applyFont="1" applyFill="1" applyBorder="1" applyAlignment="1">
      <x:alignment horizontal="center"/>
    </x:xf>
    <x:xf numFmtId="0" fontId="4" fillId="77" borderId="0" xfId="0" applyNumberFormat="1" applyFont="1" applyFill="1" applyBorder="1" applyAlignment="1">
      <x:alignment horizontal="center" vertical="center"/>
    </x:xf>
    <x:xf numFmtId="0" fontId="48" fillId="77" borderId="0" xfId="0" applyNumberFormat="1" applyFont="1" applyFill="1" applyBorder="1" applyAlignment="1">
      <x:alignment horizontal="center"/>
    </x:xf>
    <x:xf numFmtId="0" fontId="49" fillId="77" borderId="0" xfId="0" applyNumberFormat="1" applyFont="1" applyFill="1" applyBorder="1" applyAlignment="1">
      <x:alignment horizontal="center" vertical="center"/>
    </x:xf>
    <x:xf numFmtId="0" fontId="48" fillId="77" borderId="0" xfId="0" applyNumberFormat="1" applyFont="1" applyFill="1" applyBorder="1" applyAlignment="1">
      <x:alignment horizontal="center" vertical="center"/>
    </x:xf>
    <x:xf numFmtId="0" fontId="3" fillId="77" borderId="10" xfId="0" applyNumberFormat="1" applyFont="1" applyFill="1" applyBorder="1" applyAlignment="1">
      <x:alignment horizontal="center"/>
    </x:xf>
    <x:xf numFmtId="0" fontId="4" fillId="77" borderId="10" xfId="0" applyNumberFormat="1" applyFont="1" applyFill="1" applyBorder="1" applyAlignment="1">
      <x:alignment horizontal="center" vertical="center"/>
    </x:xf>
    <x:xf numFmtId="0" fontId="48" fillId="77" borderId="10" xfId="0" applyNumberFormat="1" applyFont="1" applyFill="1" applyBorder="1" applyAlignment="1">
      <x:alignment horizontal="center"/>
    </x:xf>
    <x:xf numFmtId="0" fontId="49" fillId="77" borderId="10" xfId="0" applyNumberFormat="1" applyFont="1" applyFill="1" applyBorder="1" applyAlignment="1">
      <x:alignment horizontal="center" vertical="center"/>
    </x:xf>
    <x:xf numFmtId="0" fontId="48" fillId="77" borderId="1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10" xfId="0" applyNumberFormat="1" applyFont="1" applyFill="1" applyBorder="1" applyAlignment="1">
      <x:alignment wrapText="1"/>
    </x:xf>
    <x:xf numFmtId="0" fontId="4" fillId="6" borderId="0" xfId="0" applyNumberFormat="1" applyFont="1" applyFill="1" applyBorder="1" applyAlignment="1">
      <x:alignment horizontal="center" vertical="top" wrapText="1"/>
    </x:xf>
    <x:xf numFmtId="0" fontId="4" fillId="7" borderId="0" xfId="0" applyNumberFormat="1" applyFont="1" applyFill="1" applyBorder="1" applyAlignment="1">
      <x:alignment horizontal="center" vertical="top" wrapText="1"/>
    </x:xf>
    <x:xf numFmtId="0" fontId="6" fillId="8"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4" fillId="11" borderId="0" xfId="0" applyNumberFormat="1" applyFont="1" applyFill="1" applyBorder="1" applyAlignment="1">
      <x:alignment horizontal="center" vertical="top" wrapText="1"/>
    </x:xf>
    <x:xf numFmtId="0" fontId="4" fillId="12" borderId="0" xfId="0" applyNumberFormat="1" applyFont="1" applyFill="1" applyBorder="1" applyAlignment="1">
      <x:alignment horizontal="center" vertical="top" wrapText="1"/>
    </x:xf>
    <x:xf numFmtId="0" fontId="4" fillId="13" borderId="0" xfId="0" applyNumberFormat="1" applyFont="1" applyFill="1" applyBorder="1" applyAlignment="1">
      <x:alignment horizontal="center" vertical="top" wrapText="1"/>
    </x:xf>
    <x:xf numFmtId="0" fontId="4" fillId="14" borderId="0" xfId="0" applyNumberFormat="1" applyFont="1" applyFill="1" applyBorder="1" applyAlignment="1">
      <x:alignment horizontal="center" vertical="top" wrapText="1"/>
    </x:xf>
    <x:xf numFmtId="0" fontId="4" fillId="15" borderId="0" xfId="0" applyNumberFormat="1" applyFont="1" applyFill="1" applyBorder="1" applyAlignment="1">
      <x:alignment horizontal="center" vertical="top" wrapText="1"/>
    </x:xf>
    <x:xf numFmtId="0" fontId="4" fillId="16" borderId="0" xfId="0" applyNumberFormat="1" applyFont="1" applyFill="1" applyBorder="1" applyAlignment="1">
      <x:alignment horizontal="center" vertical="top" wrapText="1"/>
    </x:xf>
    <x:xf numFmtId="0" fontId="4" fillId="17" borderId="0" xfId="0" applyNumberFormat="1" applyFont="1" applyFill="1" applyBorder="1" applyAlignment="1">
      <x:alignment horizontal="center" vertical="top" wrapText="1"/>
    </x:xf>
    <x:xf numFmtId="0" fontId="4" fillId="8" borderId="0" xfId="0" applyNumberFormat="1" applyFont="1" applyFill="1" applyBorder="1" applyAlignment="1">
      <x:alignment horizontal="center" vertical="top" wrapText="1"/>
    </x:xf>
    <x:xf numFmtId="0" fontId="4" fillId="9" borderId="0" xfId="0" applyNumberFormat="1" applyFont="1" applyFill="1" applyBorder="1" applyAlignment="1">
      <x:alignment horizontal="center" vertical="top" wrapText="1"/>
    </x:xf>
    <x:xf numFmtId="0" fontId="4" fillId="18" borderId="0" xfId="0" applyNumberFormat="1" applyFont="1" applyFill="1" applyBorder="1" applyAlignment="1">
      <x:alignment horizontal="center" vertical="top" wrapText="1"/>
    </x:xf>
    <x:xf numFmtId="0" fontId="4" fillId="19" borderId="0" xfId="0" applyNumberFormat="1" applyFont="1" applyFill="1" applyBorder="1" applyAlignment="1">
      <x:alignment horizontal="center" vertical="top" wrapText="1"/>
    </x:xf>
    <x:xf numFmtId="0" fontId="4" fillId="20" borderId="0" xfId="0" applyNumberFormat="1" applyFont="1" applyFill="1" applyBorder="1" applyAlignment="1">
      <x:alignment horizontal="center" vertical="top" wrapText="1"/>
    </x:xf>
    <x:xf numFmtId="0" fontId="4" fillId="21" borderId="0" xfId="0" applyNumberFormat="1" applyFont="1" applyFill="1" applyBorder="1" applyAlignment="1">
      <x:alignment horizontal="center" vertical="top" wrapText="1"/>
    </x:xf>
    <x:xf numFmtId="0" fontId="4" fillId="22" borderId="0" xfId="0" applyNumberFormat="1" applyFont="1" applyFill="1" applyBorder="1" applyAlignment="1">
      <x:alignment horizontal="center" vertical="top" wrapText="1"/>
    </x:xf>
    <x:xf numFmtId="0" fontId="4" fillId="23" borderId="0" xfId="0" applyNumberFormat="1" applyFont="1" applyFill="1" applyBorder="1" applyAlignment="1">
      <x:alignment horizontal="center" vertical="top" wrapText="1"/>
    </x:xf>
    <x:xf numFmtId="0" fontId="4" fillId="10" borderId="0" xfId="0" applyNumberFormat="1" applyFont="1" applyFill="1" applyBorder="1" applyAlignment="1">
      <x:alignment horizontal="center" vertical="top" wrapText="1"/>
    </x:xf>
    <x:xf numFmtId="0" fontId="0" fillId="78" borderId="0" xfId="0" applyNumberFormat="1" applyFont="1" applyFill="1" applyBorder="1"/>
    <x:xf numFmtId="0" fontId="50" fillId="78" borderId="0" xfId="0" applyNumberFormat="1" applyFont="1" applyFill="1" applyBorder="1"/>
    <x:xf numFmtId="0" fontId="50" fillId="78" borderId="5" xfId="0" applyNumberFormat="1" applyFont="1" applyFill="1" applyBorder="1"/>
    <x:xf numFmtId="0" fontId="50" fillId="78" borderId="5" xfId="0" applyNumberFormat="1" applyFont="1" applyFill="1" applyBorder="1" applyAlignment="1">
      <x:alignment wrapText="1"/>
    </x:xf>
    <x:xf numFmtId="0" fontId="50" fillId="78" borderId="5" xfId="0" applyNumberFormat="1" applyFont="1" applyFill="1" applyBorder="1" applyAlignment="1">
      <x:alignment horizontal="center" wrapText="1"/>
    </x:xf>
    <x:xf numFmtId="0" fontId="50" fillId="78" borderId="5" xfId="0" applyNumberFormat="1" applyFont="1" applyFill="1" applyBorder="1" applyAlignment="1">
      <x:alignment horizontal="center" vertical="center" wrapText="1"/>
    </x:xf>
    <x:xf numFmtId="0" fontId="51" fillId="78" borderId="5" xfId="0" applyNumberFormat="1" applyFont="1" applyFill="1" applyBorder="1" applyAlignment="1">
      <x:alignment horizontal="center" vertical="center" wrapText="1"/>
    </x:xf>
    <x:xf numFmtId="0" fontId="52" fillId="78" borderId="5" xfId="0" applyNumberFormat="1" applyFont="1" applyFill="1" applyBorder="1" applyAlignment="1">
      <x:alignment horizontal="center" vertical="center" wrapText="1"/>
    </x:xf>
    <x:xf numFmtId="200" fontId="50" fillId="78" borderId="5" xfId="0" applyNumberFormat="1" applyFont="1" applyFill="1" applyBorder="1" applyAlignment="1">
      <x:alignment horizontal="center" vertical="center" wrapText="1"/>
    </x:xf>
    <x:xf numFmtId="0" fontId="53" fillId="78" borderId="5" xfId="0" applyNumberFormat="1" applyFont="1" applyFill="1" applyBorder="1" applyAlignment="1">
      <x:alignment horizontal="center" vertical="center" wrapText="1"/>
    </x:xf>
    <x:xf numFmtId="0" fontId="15" fillId="79" borderId="0" xfId="0" applyNumberFormat="1" applyFont="1" applyFill="1" applyBorder="1" applyAlignment="1">
      <x:alignment horizontal="center" vertical="center" wrapText="1"/>
    </x:xf>
    <x:xf numFmtId="0" fontId="54" fillId="79" borderId="0" xfId="0" applyNumberFormat="1" applyFont="1" applyFill="1" applyBorder="1" applyAlignment="1">
      <x:alignment horizontal="center" vertical="center" wrapText="1"/>
    </x:xf>
    <x:xf numFmtId="0" fontId="0" fillId="0" borderId="0" xfId="0" applyNumberFormat="1" applyFont="1" applyFill="1" applyBorder="1"/>
    <x:xf numFmtId="0" fontId="1" fillId="2" borderId="0"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wrapText="1"/>
    </x:xf>
    <x:xf numFmtId="0" fontId="6" fillId="6" borderId="0" xfId="0" applyNumberFormat="1" applyFont="1" applyFill="1" applyBorder="1" applyAlignment="1">
      <x:alignment horizontal="center" vertical="top" wrapText="1"/>
    </x:xf>
    <x:xf numFmtId="0" fontId="7"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6" fillId="11" borderId="0" xfId="0" applyNumberFormat="1" applyFont="1" applyFill="1" applyBorder="1" applyAlignment="1">
      <x:alignment horizontal="center" vertical="top" wrapText="1"/>
    </x:xf>
    <x:xf numFmtId="0" fontId="7" fillId="11" borderId="0"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6" fillId="12" borderId="0" xfId="0" applyNumberFormat="1" applyFont="1" applyFill="1" applyBorder="1" applyAlignment="1">
      <x:alignment horizontal="center" vertical="top" wrapText="1"/>
    </x:xf>
    <x:xf numFmtId="0" fontId="7" fillId="12"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6" fillId="13" borderId="0" xfId="0" applyNumberFormat="1" applyFont="1" applyFill="1" applyBorder="1" applyAlignment="1">
      <x:alignment horizontal="center" vertical="top" wrapText="1"/>
    </x:xf>
    <x:xf numFmtId="0" fontId="7" fillId="13" borderId="0"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6" fillId="14" borderId="0" xfId="0" applyNumberFormat="1" applyFont="1" applyFill="1" applyBorder="1" applyAlignment="1">
      <x:alignment horizontal="center" vertical="top" wrapText="1"/>
    </x:xf>
    <x:xf numFmtId="0" fontId="7" fillId="14" borderId="0" xfId="0" applyNumberFormat="1" applyFont="1" applyFill="1" applyBorder="1" applyAlignment="1">
      <x:alignment vertical="top" wrapText="1"/>
    </x:xf>
    <x:xf numFmtId="0" fontId="8" fillId="14"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0" xfId="0" applyNumberFormat="1" applyFont="1" applyFill="1" applyBorder="1" applyAlignment="1">
      <x:alignment horizontal="center" vertical="center" wrapText="1"/>
    </x:xf>
    <x:xf numFmtId="0" fontId="6" fillId="15" borderId="0" xfId="0" applyNumberFormat="1" applyFont="1" applyFill="1" applyBorder="1" applyAlignment="1">
      <x:alignment horizontal="center" vertical="top" wrapText="1"/>
    </x:xf>
    <x:xf numFmtId="0" fontId="7"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4" fillId="15" borderId="0" xfId="0" applyNumberFormat="1" applyFont="1" applyFill="1" applyBorder="1" applyAlignment="1">
      <x:alignment vertical="top" wrapText="1"/>
    </x:xf>
    <x:xf numFmtId="0" fontId="6" fillId="16" borderId="0" xfId="0" applyNumberFormat="1" applyFont="1" applyFill="1" applyBorder="1" applyAlignment="1">
      <x:alignment horizontal="center" vertical="top" wrapText="1"/>
    </x:xf>
    <x:xf numFmtId="0" fontId="7" fillId="16" borderId="0" xfId="0" applyNumberFormat="1" applyFont="1" applyFill="1" applyBorder="1" applyAlignment="1">
      <x:alignment vertical="top" wrapText="1"/>
    </x:xf>
    <x:xf numFmtId="0" fontId="8" fillId="16"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0" fontId="6" fillId="17" borderId="0" xfId="0" applyNumberFormat="1" applyFont="1" applyFill="1" applyBorder="1" applyAlignment="1">
      <x:alignment horizontal="center" vertical="top" wrapText="1"/>
    </x:xf>
    <x:xf numFmtId="0" fontId="7"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4" fillId="17" borderId="0" xfId="0" applyNumberFormat="1" applyFont="1" applyFill="1" applyBorder="1" applyAlignment="1">
      <x:alignment vertical="top" wrapText="1"/>
    </x:xf>
    <x:xf numFmtId="0" fontId="6" fillId="8" borderId="0" xfId="0" applyNumberFormat="1" applyFont="1" applyFill="1" applyBorder="1" applyAlignment="1">
      <x:alignment horizontal="center" vertical="top" wrapText="1"/>
    </x:xf>
    <x:xf numFmtId="0" fontId="7"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6" fillId="9" borderId="0" xfId="0" applyNumberFormat="1" applyFont="1" applyFill="1" applyBorder="1" applyAlignment="1">
      <x:alignment horizontal="center" vertical="top" wrapText="1"/>
    </x:xf>
    <x:xf numFmtId="0" fontId="7" fillId="9" borderId="0"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0" xfId="0" applyNumberFormat="1" applyFont="1" applyFill="1" applyBorder="1" applyAlignment="1">
      <x:alignment horizontal="center" vertical="center" wrapText="1"/>
    </x:xf>
    <x:xf numFmtId="0" fontId="6" fillId="19" borderId="0" xfId="0" applyNumberFormat="1" applyFont="1" applyFill="1" applyBorder="1" applyAlignment="1">
      <x:alignment horizontal="center" vertical="top" wrapText="1"/>
    </x:xf>
    <x:xf numFmtId="0" fontId="7" fillId="19" borderId="0" xfId="0" applyNumberFormat="1" applyFont="1" applyFill="1" applyBorder="1" applyAlignment="1">
      <x:alignment vertical="top" wrapText="1"/>
    </x:xf>
    <x:xf numFmtId="0" fontId="8" fillId="19" borderId="0" xfId="0" applyNumberFormat="1" applyFont="1" applyFill="1" applyBorder="1" applyAlignment="1">
      <x:alignment vertical="top" wrapText="1"/>
    </x:xf>
    <x:xf numFmtId="0" fontId="4" fillId="19" borderId="0" xfId="0" applyNumberFormat="1" applyFont="1" applyFill="1" applyBorder="1" applyAlignment="1">
      <x:alignment vertical="top" wrapText="1"/>
    </x:xf>
    <x:xf numFmtId="0" fontId="6" fillId="20" borderId="0" xfId="0" applyNumberFormat="1" applyFont="1" applyFill="1" applyBorder="1" applyAlignment="1">
      <x:alignment horizontal="center" vertical="top" wrapText="1"/>
    </x:xf>
    <x:xf numFmtId="0" fontId="7" fillId="20" borderId="0" xfId="0" applyNumberFormat="1" applyFont="1" applyFill="1" applyBorder="1" applyAlignment="1">
      <x:alignment vertical="top" wrapText="1"/>
    </x:xf>
    <x:xf numFmtId="0" fontId="8" fillId="20" borderId="0" xfId="0" applyNumberFormat="1" applyFont="1" applyFill="1" applyBorder="1" applyAlignment="1">
      <x:alignment vertical="top" wrapText="1"/>
    </x:xf>
    <x:xf numFmtId="0" fontId="4" fillId="20" borderId="0" xfId="0" applyNumberFormat="1" applyFont="1" applyFill="1" applyBorder="1" applyAlignment="1">
      <x:alignment vertical="top" wrapText="1"/>
    </x:xf>
    <x:xf numFmtId="0" fontId="6" fillId="21" borderId="0" xfId="0" applyNumberFormat="1" applyFont="1" applyFill="1" applyBorder="1" applyAlignment="1">
      <x:alignment horizontal="center" vertical="top" wrapText="1"/>
    </x:xf>
    <x:xf numFmtId="0" fontId="7" fillId="21" borderId="0" xfId="0" applyNumberFormat="1" applyFont="1" applyFill="1" applyBorder="1" applyAlignment="1">
      <x:alignment vertical="top" wrapText="1"/>
    </x:xf>
    <x:xf numFmtId="0" fontId="8" fillId="21" borderId="0" xfId="0" applyNumberFormat="1" applyFont="1" applyFill="1" applyBorder="1" applyAlignment="1">
      <x:alignment vertical="top" wrapText="1"/>
    </x:xf>
    <x:xf numFmtId="0" fontId="4" fillId="21" borderId="0" xfId="0" applyNumberFormat="1" applyFont="1" applyFill="1" applyBorder="1" applyAlignment="1">
      <x:alignment vertical="top" wrapText="1"/>
    </x:xf>
    <x:xf numFmtId="0" fontId="6" fillId="22" borderId="0" xfId="0" applyNumberFormat="1" applyFont="1" applyFill="1" applyBorder="1" applyAlignment="1">
      <x:alignment horizontal="center" vertical="top" wrapText="1"/>
    </x:xf>
    <x:xf numFmtId="0" fontId="7" fillId="22" borderId="0" xfId="0" applyNumberFormat="1" applyFont="1" applyFill="1" applyBorder="1" applyAlignment="1">
      <x:alignment vertical="top" wrapText="1"/>
    </x:xf>
    <x:xf numFmtId="0" fontId="8" fillId="22" borderId="0" xfId="0" applyNumberFormat="1" applyFont="1" applyFill="1" applyBorder="1" applyAlignment="1">
      <x:alignment vertical="top" wrapText="1"/>
    </x:xf>
    <x:xf numFmtId="0" fontId="4" fillId="22" borderId="0" xfId="0" applyNumberFormat="1" applyFont="1" applyFill="1" applyBorder="1" applyAlignment="1">
      <x:alignment vertical="top" wrapText="1"/>
    </x:xf>
    <x:xf numFmtId="0" fontId="4" fillId="22" borderId="0" xfId="0" applyNumberFormat="1" applyFont="1" applyFill="1" applyBorder="1" applyAlignment="1">
      <x:alignment horizontal="center" vertical="center" wrapText="1"/>
    </x:xf>
    <x:xf numFmtId="0" fontId="6" fillId="23" borderId="0" xfId="0" applyNumberFormat="1" applyFont="1" applyFill="1" applyBorder="1" applyAlignment="1">
      <x:alignment horizontal="center" vertical="top" wrapText="1"/>
    </x:xf>
    <x:xf numFmtId="0" fontId="7" fillId="23" borderId="0" xfId="0" applyNumberFormat="1" applyFont="1" applyFill="1" applyBorder="1" applyAlignment="1">
      <x:alignment vertical="top" wrapText="1"/>
    </x:xf>
    <x:xf numFmtId="0" fontId="8" fillId="23" borderId="0"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6" fillId="10" borderId="0" xfId="0" applyNumberFormat="1" applyFont="1" applyFill="1" applyBorder="1" applyAlignment="1">
      <x:alignment horizontal="center" vertical="top" wrapText="1"/>
    </x:xf>
    <x:xf numFmtId="0" fontId="7"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0" borderId="0" xfId="0" applyNumberFormat="1" applyFont="1" applyFill="1" applyBorder="1" applyAlignment="1">
      <x:alignment horizontal="center" vertical="center" wrapText="1"/>
    </x:xf>
    <x:xf numFmtId="0" fontId="10" fillId="2" borderId="0" xfId="0" applyNumberFormat="1" applyFont="1" applyFill="1" applyBorder="1" applyAlignment="1">
      <x:alignment horizontal="center" vertical="center"/>
    </x:xf>
    <x:xf numFmtId="0" fontId="11" fillId="24" borderId="0" xfId="0" applyNumberFormat="1" applyFont="1" applyFill="1" applyBorder="1" applyAlignment="1">
      <x:alignment horizontal="center" vertical="center" wrapText="1"/>
    </x:xf>
    <x:xf numFmtId="0" fontId="12" fillId="25" borderId="0" xfId="0" applyNumberFormat="1" applyFont="1" applyFill="1" applyBorder="1" applyAlignment="1">
      <x:alignment horizontal="center" vertical="top" wrapText="1"/>
    </x:xf>
    <x:xf numFmtId="0" fontId="13" fillId="3" borderId="0" xfId="0" applyNumberFormat="1" applyFont="1" applyFill="1" applyBorder="1" applyAlignment="1">
      <x:alignment vertical="top" wrapText="1"/>
    </x:xf>
    <x:xf numFmtId="0" fontId="14" fillId="26" borderId="0" xfId="0" applyNumberFormat="1" applyFont="1" applyFill="1" applyBorder="1" applyAlignment="1">
      <x:alignment horizontal="center" vertical="center" wrapText="1"/>
    </x:xf>
    <x:xf numFmtId="0" fontId="15" fillId="27" borderId="0" xfId="0" applyNumberFormat="1" applyFont="1" applyFill="1" applyBorder="1" applyAlignment="1">
      <x:alignment horizontal="center" vertical="center" wrapText="1"/>
    </x:xf>
    <x:xf numFmtId="0" fontId="14" fillId="28" borderId="0" xfId="0" applyNumberFormat="1" applyFont="1" applyFill="1" applyBorder="1" applyAlignment="1">
      <x:alignment horizontal="center" vertical="center" wrapText="1"/>
    </x:xf>
    <x:xf numFmtId="0" fontId="15" fillId="9" borderId="0" xfId="0" applyNumberFormat="1" applyFont="1" applyFill="1" applyBorder="1" applyAlignment="1">
      <x:alignment horizontal="center" vertical="center" wrapText="1"/>
    </x:xf>
    <x:xf numFmtId="0" fontId="14" fillId="30" borderId="0" xfId="0" applyNumberFormat="1" applyFont="1" applyFill="1" applyBorder="1" applyAlignment="1">
      <x:alignment horizontal="center" vertical="center" wrapText="1"/>
    </x:xf>
    <x:xf numFmtId="0" fontId="14" fillId="31" borderId="0" xfId="0" applyNumberFormat="1" applyFont="1" applyFill="1" applyBorder="1" applyAlignment="1">
      <x:alignment horizontal="center" vertical="center" wrapText="1"/>
    </x:xf>
    <x:xf numFmtId="0" fontId="15" fillId="10" borderId="0" xfId="0" applyNumberFormat="1" applyFont="1" applyFill="1" applyBorder="1" applyAlignment="1">
      <x:alignment horizontal="center" vertical="center" wrapText="1"/>
    </x:xf>
    <x:xf numFmtId="0" fontId="15" fillId="8" borderId="0" xfId="0" applyNumberFormat="1" applyFont="1" applyFill="1" applyBorder="1" applyAlignment="1">
      <x:alignment horizontal="center" vertical="center" wrapText="1"/>
    </x:xf>
    <x:xf numFmtId="0" fontId="14" fillId="9" borderId="0" xfId="0" applyNumberFormat="1" applyFont="1" applyFill="1" applyBorder="1" applyAlignment="1">
      <x:alignment horizontal="center" vertical="center" wrapText="1"/>
    </x:xf>
    <x:xf numFmtId="0" fontId="14" fillId="10" borderId="0" xfId="0" applyNumberFormat="1" applyFont="1" applyFill="1" applyBorder="1" applyAlignment="1">
      <x:alignment horizontal="center" vertical="center" wrapText="1"/>
    </x:xf>
    <x:xf numFmtId="0" fontId="14" fillId="32" borderId="0" xfId="0" applyNumberFormat="1" applyFont="1" applyFill="1" applyBorder="1" applyAlignment="1">
      <x:alignment horizontal="center" vertical="center" wrapText="1"/>
    </x:xf>
    <x:xf numFmtId="0" fontId="0" fillId="0" borderId="1" xfId="0" applyNumberFormat="1" applyFont="1" applyFill="1" applyBorder="1"/>
    <x:xf numFmtId="0" fontId="10" fillId="33" borderId="1" xfId="0" applyNumberFormat="1" applyFont="1" applyFill="1" applyBorder="1" applyAlignment="1">
      <x:alignment horizontal="center" vertical="center"/>
    </x:xf>
    <x:xf numFmtId="0" fontId="16" fillId="34" borderId="1" xfId="0" applyNumberFormat="1" applyFont="1" applyFill="1" applyBorder="1" applyAlignment="1">
      <x:alignment horizontal="center" vertical="center"/>
    </x:xf>
    <x:xf numFmtId="0" fontId="17" fillId="5" borderId="1" xfId="0" applyNumberFormat="1" applyFont="1" applyFill="1" applyBorder="1" applyAlignment="1">
      <x:alignment horizontal="left" vertical="center" wrapText="1"/>
    </x:xf>
    <x:xf numFmtId="0" fontId="5" fillId="4" borderId="1" xfId="0" applyNumberFormat="1" applyFont="1" applyFill="1" applyBorder="1" applyAlignment="1">
      <x:alignment horizontal="center" vertical="center"/>
    </x:xf>
    <x:xf numFmtId="0" fontId="18" fillId="10" borderId="1" xfId="0" applyNumberFormat="1" applyFont="1" applyFill="1" applyBorder="1" applyAlignment="1">
      <x:alignment horizontal="center" vertical="center"/>
    </x:xf>
    <x:xf numFmtId="0" fontId="19" fillId="8" borderId="1" xfId="0" applyNumberFormat="1" applyFont="1" applyFill="1" applyBorder="1" applyAlignment="1">
      <x:alignment horizontal="center" vertical="center"/>
    </x:xf>
    <x:xf numFmtId="0" fontId="20" fillId="9" borderId="1" xfId="0" applyNumberFormat="1" applyFont="1" applyFill="1" applyBorder="1" applyAlignment="1">
      <x:alignment horizontal="center" vertical="center"/>
    </x:xf>
    <x:xf numFmtId="0" fontId="21" fillId="5" borderId="1" xfId="0" applyNumberFormat="1" applyFont="1" applyFill="1" applyBorder="1" applyAlignment="1">
      <x:alignment horizontal="left" vertical="center" wrapText="1"/>
    </x:xf>
    <x:xf numFmtId="0" fontId="22" fillId="35" borderId="1" xfId="0" applyNumberFormat="1" applyFont="1" applyFill="1" applyBorder="1" applyAlignment="1">
      <x:alignment horizontal="center" vertical="center"/>
    </x:xf>
    <x:xf numFmtId="0" fontId="22" fillId="36" borderId="1" xfId="0" applyNumberFormat="1" applyFont="1" applyFill="1" applyBorder="1" applyAlignment="1">
      <x:alignment horizontal="center" vertical="center"/>
    </x:xf>
    <x:xf numFmtId="0" fontId="22" fillId="37" borderId="1" xfId="0" applyNumberFormat="1" applyFont="1" applyFill="1" applyBorder="1" applyAlignment="1">
      <x:alignment horizontal="center" vertical="center"/>
    </x:xf>
    <x:xf numFmtId="0" fontId="22" fillId="38" borderId="1" xfId="0" applyNumberFormat="1" applyFont="1" applyFill="1" applyBorder="1" applyAlignment="1">
      <x:alignment horizontal="center" vertical="center"/>
    </x:xf>
    <x:xf numFmtId="0" fontId="22" fillId="18" borderId="1" xfId="0" applyNumberFormat="1" applyFont="1" applyFill="1" applyBorder="1" applyAlignment="1">
      <x:alignment horizontal="center" vertical="center"/>
    </x:xf>
    <x:xf numFmtId="0" fontId="22" fillId="31" borderId="1" xfId="0" applyNumberFormat="1" applyFont="1" applyFill="1" applyBorder="1" applyAlignment="1">
      <x:alignment horizontal="center" vertical="center"/>
    </x:xf>
    <x:xf numFmtId="0" fontId="5" fillId="2" borderId="0" xfId="0" applyNumberFormat="1" applyFont="1" applyFill="1" applyBorder="1" applyAlignment="1">
      <x:alignment horizontal="center" vertical="center"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9" borderId="0" xfId="0" applyNumberFormat="1" applyFont="1" applyFill="1" applyBorder="1"/>
    <x:xf numFmtId="0" fontId="50" fillId="9" borderId="0" xfId="0" applyNumberFormat="1" applyFont="1" applyFill="1" applyBorder="1"/>
    <x:xf numFmtId="0" fontId="50" fillId="9" borderId="5" xfId="0" applyNumberFormat="1" applyFont="1" applyFill="1" applyBorder="1"/>
    <x:xf numFmtId="0" fontId="50" fillId="9" borderId="5" xfId="0" applyNumberFormat="1" applyFont="1" applyFill="1" applyBorder="1" applyAlignment="1">
      <x:alignment wrapText="1"/>
    </x:xf>
    <x:xf numFmtId="0" fontId="50" fillId="9" borderId="5" xfId="0" applyNumberFormat="1" applyFont="1" applyFill="1" applyBorder="1" applyAlignment="1">
      <x:alignment horizontal="center" wrapText="1"/>
    </x:xf>
    <x:xf numFmtId="0" fontId="50" fillId="9" borderId="5" xfId="0" applyNumberFormat="1" applyFont="1" applyFill="1" applyBorder="1" applyAlignment="1">
      <x:alignment horizontal="center" vertical="center" wrapText="1"/>
    </x:xf>
    <x:xf numFmtId="0" fontId="51" fillId="9" borderId="5" xfId="0" applyNumberFormat="1" applyFont="1" applyFill="1" applyBorder="1" applyAlignment="1">
      <x:alignment horizontal="center" vertical="center" wrapText="1"/>
    </x:xf>
    <x:xf numFmtId="0" fontId="52" fillId="9" borderId="5" xfId="0" applyNumberFormat="1" applyFont="1" applyFill="1" applyBorder="1" applyAlignment="1">
      <x:alignment horizontal="center" vertical="center" wrapText="1"/>
    </x:xf>
    <x:xf numFmtId="200" fontId="50" fillId="9" borderId="5" xfId="0" applyNumberFormat="1" applyFont="1" applyFill="1" applyBorder="1" applyAlignment="1">
      <x:alignment horizontal="center" vertical="center" wrapText="1"/>
    </x:xf>
    <x:xf numFmtId="0" fontId="53" fillId="9" borderId="5" xfId="0" applyNumberFormat="1" applyFont="1" applyFill="1" applyBorder="1" applyAlignment="1">
      <x:alignment horizontal="center" vertical="center" wrapText="1"/>
    </x:xf>
    <x:xf numFmtId="0" fontId="15" fillId="29" borderId="0" xfId="0" applyNumberFormat="1" applyFont="1" applyFill="1" applyBorder="1" applyAlignment="1">
      <x:alignment horizontal="center" vertical="center" wrapText="1"/>
    </x:xf>
    <x:xf numFmtId="0" fontId="54" fillId="29" borderId="0" xfId="0" applyNumberFormat="1" applyFont="1" applyFill="1" applyBorder="1" applyAlignment="1">
      <x:alignment horizontal="center" vertical="center" wrapText="1"/>
    </x:xf>
    <x:xf numFmtId="0" fontId="25" fillId="80" borderId="1" xfId="0" applyNumberFormat="1" applyFont="1" applyFill="1" applyBorder="1" applyAlignment="1">
      <x:alignment horizontal="center" vertical="center" wrapText="1"/>
    </x:xf>
    <x:xf numFmtId="0" fontId="22" fillId="80" borderId="1" xfId="0" applyNumberFormat="1" applyFont="1" applyFill="1" applyBorder="1" applyAlignment="1">
      <x:alignment horizontal="center" vertical="center" wrapText="1"/>
    </x:xf>
    <x:xf numFmtId="0" fontId="26" fillId="80" borderId="1" xfId="0" applyNumberFormat="1" applyFont="1" applyFill="1" applyBorder="1" applyAlignment="1">
      <x:alignment horizontal="center" vertical="center" wrapText="1"/>
    </x:xf>
    <x:xf numFmtId="0" fontId="4" fillId="80" borderId="1" xfId="0" applyNumberFormat="1" applyFont="1" applyFill="1" applyBorder="1" applyAlignment="1">
      <x:alignment horizontal="center" vertical="center" wrapText="1"/>
    </x:xf>
    <x:xf numFmtId="0" fontId="0" fillId="80" borderId="0" xfId="0" applyNumberFormat="1" applyFont="1" applyFill="1" applyBorder="1"/>
    <x:xf numFmtId="0" fontId="0" fillId="81" borderId="0" xfId="0" applyNumberFormat="1" applyFont="1" applyFill="1" applyBorder="1"/>
    <x:xf numFmtId="0" fontId="0" fillId="82" borderId="0" xfId="0" applyNumberFormat="1" applyFont="1" applyFill="1" applyBorder="1"/>
    <x:xf numFmtId="0" fontId="0" fillId="80" borderId="0" xfId="0" applyNumberFormat="1" applyFont="1" applyFill="1" applyBorder="1" applyAlignment="1">
      <x:alignment wrapText="1"/>
    </x:xf>
    <x:xf numFmtId="0" fontId="0" fillId="81" borderId="0" xfId="0" applyNumberFormat="1" applyFont="1" applyFill="1" applyBorder="1" applyAlignment="1">
      <x:alignment wrapText="1"/>
    </x:xf>
    <x:xf numFmtId="0" fontId="0" fillId="82" borderId="0" xfId="0" applyNumberFormat="1" applyFont="1" applyFill="1" applyBorder="1" applyAlignment="1">
      <x:alignment wrapText="1"/>
    </x:xf>
    <x:xf numFmtId="0" fontId="12" fillId="25" borderId="0" xfId="0" applyNumberFormat="1" applyFont="1" applyFill="1" applyBorder="1" applyAlignment="1">
      <x:alignment horizontal="center" vertical="center" wrapText="1"/>
    </x:xf>
    <x:xf numFmtId="0" fontId="25" fillId="71" borderId="1" xfId="0" applyNumberFormat="1" applyFont="1" applyFill="1" applyBorder="1" applyAlignment="1">
      <x:alignment horizontal="center" vertical="center" wrapText="1"/>
    </x:xf>
    <x:xf numFmtId="0" fontId="22" fillId="71" borderId="1" xfId="0" applyNumberFormat="1" applyFont="1" applyFill="1" applyBorder="1" applyAlignment="1">
      <x:alignment horizontal="center" vertical="center" wrapText="1"/>
    </x:xf>
    <x:xf numFmtId="0" fontId="26" fillId="71" borderId="1" xfId="0" applyNumberFormat="1" applyFont="1" applyFill="1" applyBorder="1" applyAlignment="1">
      <x:alignment horizontal="center" vertical="center" wrapText="1"/>
    </x:xf>
    <x:xf numFmtId="0" fontId="4" fillId="71" borderId="1" xfId="0" applyNumberFormat="1" applyFont="1" applyFill="1" applyBorder="1" applyAlignment="1">
      <x:alignment horizontal="center" vertical="center" wrapText="1"/>
    </x:xf>
    <x:xf numFmtId="0" fontId="0" fillId="71" borderId="0" xfId="0" applyNumberFormat="1" applyFont="1" applyFill="1" applyBorder="1"/>
    <x:xf numFmtId="0" fontId="0" fillId="76" borderId="0" xfId="0" applyNumberFormat="1" applyFont="1" applyFill="1" applyBorder="1"/>
    <x:xf numFmtId="0" fontId="0" fillId="71" borderId="0" xfId="0" applyNumberFormat="1" applyFont="1" applyFill="1" applyBorder="1" applyAlignment="1">
      <x:alignment wrapText="1"/>
    </x:xf>
    <x:xf numFmtId="0" fontId="0" fillId="76" borderId="0" xfId="0" applyNumberFormat="1" applyFont="1" applyFill="1" applyBorder="1" applyAlignment="1">
      <x:alignment wrapText="1"/>
    </x:xf>
    <x:xf numFmtId="0" fontId="0" fillId="83" borderId="0" xfId="0" applyNumberFormat="1" applyFont="1" applyFill="1" applyBorder="1"/>
    <x:xf numFmtId="0" fontId="0" fillId="84" borderId="0" xfId="0" applyNumberFormat="1" applyFont="1" applyFill="1" applyBorder="1"/>
    <x:xf numFmtId="0" fontId="0" fillId="85" borderId="0" xfId="0" applyNumberFormat="1" applyFont="1" applyFill="1" applyBorder="1"/>
    <x:xf numFmtId="0" fontId="0" fillId="83" borderId="0" xfId="0" applyNumberFormat="1" applyFont="1" applyFill="1" applyBorder="1" applyAlignment="1">
      <x:alignment wrapText="1"/>
    </x:xf>
    <x:xf numFmtId="0" fontId="0" fillId="84" borderId="0" xfId="0" applyNumberFormat="1" applyFont="1" applyFill="1" applyBorder="1" applyAlignment="1">
      <x:alignment wrapText="1"/>
    </x:xf>
    <x:xf numFmtId="0" fontId="0" fillId="85" borderId="0" xfId="0" applyNumberFormat="1" applyFont="1" applyFill="1" applyBorder="1" applyAlignment="1">
      <x:alignment wrapText="1"/>
    </x:xf>
    <x:xf numFmtId="0" fontId="0" fillId="75" borderId="0" xfId="0" applyNumberFormat="1" applyFont="1" applyFill="1" applyBorder="1"/>
    <x:xf numFmtId="0" fontId="0" fillId="73" borderId="0" xfId="0" applyNumberFormat="1" applyFont="1" applyFill="1" applyBorder="1"/>
    <x:xf numFmtId="0" fontId="0" fillId="75" borderId="0" xfId="0" applyNumberFormat="1" applyFont="1" applyFill="1" applyBorder="1" applyAlignment="1">
      <x:alignment wrapText="1"/>
    </x:xf>
    <x:xf numFmtId="0" fontId="0" fillId="73" borderId="0" xfId="0" applyNumberFormat="1" applyFont="1" applyFill="1" applyBorder="1" applyAlignment="1">
      <x:alignment wrapText="1"/>
    </x:xf>
    <x:xf numFmtId="0" fontId="0" fillId="86" borderId="0" xfId="0" applyNumberFormat="1" applyFont="1" applyFill="1" applyBorder="1"/>
    <x:xf numFmtId="0" fontId="0" fillId="86" borderId="0" xfId="0" applyNumberFormat="1" applyFont="1" applyFill="1" applyBorder="1" applyAlignment="1">
      <x:alignment wrapText="1"/>
    </x:xf>
    <x:xf numFmtId="0" fontId="0" fillId="87" borderId="0" xfId="0" applyNumberFormat="1" applyFont="1" applyFill="1" applyBorder="1"/>
    <x:xf numFmtId="0" fontId="10" fillId="87" borderId="0" xfId="0" applyNumberFormat="1" applyFont="1" applyFill="1" applyBorder="1"/>
    <x:xf numFmtId="0" fontId="10" fillId="87" borderId="0" xfId="0" applyNumberFormat="1" applyFont="1" applyFill="1" applyBorder="1" applyAlignment="1">
      <x:alignment horizontal="center"/>
    </x:xf>
    <x:xf numFmtId="0" fontId="10" fillId="87" borderId="0" xfId="0" applyNumberFormat="1" applyFont="1" applyFill="1" applyBorder="1" applyAlignment="1">
      <x:alignment horizontal="center" vertical="center"/>
    </x:xf>
    <x:xf numFmtId="0" fontId="0" fillId="88" borderId="0" xfId="0" applyNumberFormat="1" applyFont="1" applyFill="1" applyBorder="1"/>
    <x:xf numFmtId="0" fontId="55" fillId="88" borderId="0" xfId="0" applyNumberFormat="1" applyFont="1" applyFill="1" applyBorder="1"/>
    <x:xf numFmtId="0" fontId="55" fillId="88" borderId="0" xfId="0" applyNumberFormat="1" applyFont="1" applyFill="1" applyBorder="1" applyAlignment="1">
      <x:alignment wrapText="1"/>
    </x:xf>
    <x:xf numFmtId="0" fontId="55" fillId="88" borderId="0" xfId="0" applyNumberFormat="1" applyFont="1" applyFill="1" applyBorder="1" applyAlignment="1">
      <x:alignment horizontal="center" wrapText="1"/>
    </x:xf>
    <x:xf numFmtId="0" fontId="55" fillId="88" borderId="0" xfId="0" applyNumberFormat="1" applyFont="1" applyFill="1" applyBorder="1" applyAlignment="1">
      <x:alignment horizontal="center" vertical="center" wrapText="1"/>
    </x:xf>
    <x:xf numFmtId="0" fontId="0" fillId="89" borderId="0" xfId="0" applyNumberFormat="1" applyFont="1" applyFill="1" applyBorder="1"/>
    <x:xf numFmtId="0" fontId="3" fillId="89" borderId="0" xfId="0" applyNumberFormat="1" applyFont="1" applyFill="1" applyBorder="1"/>
    <x:xf numFmtId="0" fontId="3" fillId="89" xfId="0" applyNumberFormat="1" applyFont="1" applyFill="1" applyBorder="0"/>
    <x:xf numFmtId="0" fontId="3" fillId="89" xfId="0" applyNumberFormat="1" applyFont="1" applyFill="1" applyBorder="0" applyAlignment="1">
      <x:alignment wrapText="1"/>
    </x:xf>
    <x:xf numFmtId="0" fontId="3" fillId="89" xfId="0" applyNumberFormat="1" applyFont="1" applyFill="1" applyBorder="0" applyAlignment="1">
      <x:alignment horizontal="center" wrapText="1"/>
    </x:xf>
    <x:xf numFmtId="0" fontId="3" fillId="89" xfId="0" applyNumberFormat="1" applyFont="1" applyFill="1" applyBorder="0" applyAlignment="1">
      <x:alignment horizontal="center" vertical="center" wrapText="1"/>
    </x:xf>
    <x:xf numFmtId="0" fontId="0" fillId="0" xfId="0" applyNumberFormat="1" applyFont="1" applyFill="1" applyBorder="0"/>
    <x:xf numFmtId="0" fontId="0" fillId="0" xfId="0" applyNumberFormat="1" applyFont="1" applyFill="1" applyBorder="0" applyAlignment="1">
      <x:alignment wrapText="1"/>
    </x:xf>
    <x:xf numFmtId="0" fontId="0" fillId="0" xfId="0" applyNumberFormat="1" applyFont="1" applyFill="1" applyBorder="0" applyAlignment="1">
      <x:alignment vertical="top" wrapText="1"/>
    </x:xf>
    <x:xf numFmtId="0" fontId="0" fillId="90" borderId="0" xfId="0" applyNumberFormat="1" applyFont="1" applyFill="1" applyBorder="1"/>
    <x:xf numFmtId="0" fontId="56" fillId="90" borderId="0" xfId="0" applyNumberFormat="1" applyFont="1" applyFill="1" applyBorder="1"/>
    <x:xf numFmtId="0" fontId="56" fillId="90" xfId="0" applyNumberFormat="1" applyFont="1" applyFill="1" applyBorder="0"/>
    <x:xf numFmtId="0" fontId="56" fillId="90" xfId="0" applyNumberFormat="1" applyFont="1" applyFill="1" applyBorder="0" applyAlignment="1">
      <x:alignment wrapText="1"/>
    </x:xf>
    <x:xf numFmtId="0" fontId="56" fillId="90" xfId="0" applyNumberFormat="1" applyFont="1" applyFill="1" applyBorder="0" applyAlignment="1">
      <x:alignment horizontal="center" wrapText="1"/>
    </x:xf>
    <x:xf numFmtId="0" fontId="56" fillId="90" xfId="0" applyNumberFormat="1" applyFont="1" applyFill="1" applyBorder="0" applyAlignment="1">
      <x:alignment horizontal="center" vertical="center" wrapText="1"/>
    </x:xf>
    <x:xf numFmtId="0" fontId="0" fillId="0" xfId="0" applyNumberFormat="1" applyFont="1" applyFill="1" applyBorder="0" applyAlignment="1">
      <x:alignment horizontal="center" wrapText="1"/>
    </x:xf>
    <x:xf numFmtId="0" fontId="0" fillId="0" xfId="0" applyNumberFormat="1" applyFont="1" applyFill="1" applyBorder="0" applyAlignment="1">
      <x:alignment horizontal="center" vertical="center" wrapText="1"/>
    </x:xf>
    <x:xf numFmtId="0" fontId="0" fillId="89" xfId="0" applyNumberFormat="1" applyFont="1" applyFill="1" applyBorder="0" applyAlignment="1">
      <x:alignment horizontal="center" vertical="center" wrapText="1"/>
    </x:xf>
    <x:xf numFmtId="0" fontId="0" fillId="88" xfId="0" applyNumberFormat="1" applyFont="1" applyFill="1" applyBorder="0" applyAlignment="1">
      <x:alignment horizontal="center" vertical="center" wrapText="1"/>
    </x:xf>
    <x:xf numFmtId="0" fontId="57" fillId="88" xfId="0" applyNumberFormat="1" applyFont="1" applyFill="1" applyBorder="0" applyAlignment="1">
      <x:alignment horizontal="center" vertical="center" wrapText="1"/>
    </x:xf>
    <x:xf numFmtId="0" fontId="58" fillId="87" borderId="0" xfId="0" applyNumberFormat="1" applyFont="1" applyFill="1" applyBorder="1"/>
    <x:xf numFmtId="0" fontId="58" fillId="87" borderId="0" xfId="0" applyNumberFormat="1" applyFont="1" applyFill="1" applyBorder="1" applyAlignment="1">
      <x:alignment horizontal="center"/>
    </x:xf>
    <x:xf numFmtId="0" fontId="58" fillId="87" borderId="0" xfId="0" applyNumberFormat="1" applyFont="1" applyFill="1" applyBorder="1" applyAlignment="1">
      <x:alignment horizontal="center" vertical="center"/>
    </x:xf>
    <x:xf numFmtId="0" fontId="0" fillId="91" borderId="0" xfId="0" applyNumberFormat="1" applyFont="1" applyFill="1" applyBorder="1"/>
    <x:xf numFmtId="0" fontId="59" fillId="91" borderId="0" xfId="0" applyNumberFormat="1" applyFont="1" applyFill="1" applyBorder="1"/>
    <x:xf numFmtId="0" fontId="59" fillId="91" borderId="0" xfId="0" applyNumberFormat="1" applyFont="1" applyFill="1" applyBorder="1" applyAlignment="1">
      <x:alignment wrapText="1"/>
    </x:xf>
    <x:xf numFmtId="0" fontId="59" fillId="91" borderId="0" xfId="0" applyNumberFormat="1" applyFont="1" applyFill="1" applyBorder="1" applyAlignment="1">
      <x:alignment horizontal="center" wrapText="1"/>
    </x:xf>
    <x:xf numFmtId="0" fontId="59" fillId="91" borderId="0" xfId="0" applyNumberFormat="1" applyFont="1" applyFill="1" applyBorder="1" applyAlignment="1">
      <x:alignment horizontal="center" vertical="center" wrapText="1"/>
    </x:xf>
    <x:xf numFmtId="0" fontId="0" fillId="86" xfId="0" applyNumberFormat="1" applyFont="1" applyFill="1" applyBorder="0" applyAlignment="1">
      <x:alignment horizontal="center" vertical="center" wrapText="1"/>
    </x:xf>
    <x:xf numFmtId="0" fontId="60" fillId="86" xfId="0" applyNumberFormat="1" applyFont="1" applyFill="1" applyBorder="0" applyAlignment="1">
      <x:alignment horizontal="center" vertical="center" wrapText="1"/>
    </x:xf>
    <x:xf numFmtId="0" fontId="10" fillId="2" borderId="0" xfId="0" applyNumberFormat="1" applyFont="1" applyFill="1" applyBorder="1"/>
    <x:xf numFmtId="0" fontId="10" fillId="2" borderId="0" xfId="0" applyNumberFormat="1" applyFont="1" applyFill="1" applyBorder="1" applyAlignment="1">
      <x:alignment horizontal="center"/>
    </x:xf>
    <x:xf numFmtId="0" fontId="0" fillId="77" borderId="0" xfId="0" applyNumberFormat="1" applyFont="1" applyFill="1" applyBorder="1"/>
    <x:xf numFmtId="0" fontId="55" fillId="77" borderId="0" xfId="0" applyNumberFormat="1" applyFont="1" applyFill="1" applyBorder="1"/>
    <x:xf numFmtId="0" fontId="55" fillId="77" borderId="0" xfId="0" applyNumberFormat="1" applyFont="1" applyFill="1" applyBorder="1" applyAlignment="1">
      <x:alignment wrapText="1"/>
    </x:xf>
    <x:xf numFmtId="0" fontId="55" fillId="77" borderId="0" xfId="0" applyNumberFormat="1" applyFont="1" applyFill="1" applyBorder="1" applyAlignment="1">
      <x:alignment horizontal="center" wrapText="1"/>
    </x:xf>
    <x:xf numFmtId="0" fontId="55" fillId="77" borderId="0" xfId="0" applyNumberFormat="1" applyFont="1" applyFill="1" applyBorder="1" applyAlignment="1">
      <x:alignment horizontal="center" vertical="center" wrapText="1"/>
    </x:xf>
    <x:xf numFmtId="0" fontId="0" fillId="77" xfId="0" applyNumberFormat="1" applyFont="1" applyFill="1" applyBorder="0" applyAlignment="1">
      <x:alignment horizontal="center" vertical="center" wrapText="1"/>
    </x:xf>
    <x:xf numFmtId="0" fontId="57" fillId="77" xfId="0" applyNumberFormat="1" applyFont="1" applyFill="1" applyBorder="0" applyAlignment="1">
      <x:alignment horizontal="center" vertical="center" wrapText="1"/>
    </x:xf>
    <x:xf numFmtId="0" fontId="58" fillId="2" borderId="0" xfId="0" applyNumberFormat="1" applyFont="1" applyFill="1" applyBorder="1"/>
    <x:xf numFmtId="0" fontId="58" fillId="2" borderId="0" xfId="0" applyNumberFormat="1" applyFont="1" applyFill="1" applyBorder="1" applyAlignment="1">
      <x:alignment horizontal="center"/>
    </x:xf>
    <x:xf numFmtId="0" fontId="58" fillId="2" borderId="0" xfId="0" applyNumberFormat="1" applyFont="1" applyFill="1" applyBorder="1" applyAlignment="1">
      <x:alignment horizontal="center" vertical="center"/>
    </x:xf>
    <x:xf numFmtId="0" fontId="0" fillId="92" borderId="0" xfId="0" applyNumberFormat="1" applyFont="1" applyFill="1" applyBorder="1"/>
    <x:xf numFmtId="0" fontId="61" fillId="92" borderId="0" xfId="0" applyNumberFormat="1" applyFont="1" applyFill="1" applyBorder="1"/>
    <x:xf numFmtId="0" fontId="61" fillId="92" borderId="0" xfId="0" applyNumberFormat="1" applyFont="1" applyFill="1" applyBorder="1" applyAlignment="1">
      <x:alignment horizontal="center"/>
    </x:xf>
    <x:xf numFmtId="0" fontId="61" fillId="92" borderId="0" xfId="0" applyNumberFormat="1" applyFont="1" applyFill="1" applyBorder="1" applyAlignment="1">
      <x:alignment horizontal="center" vertical="center"/>
    </x:xf>
    <x:xf numFmtId="0" fontId="0" fillId="93" borderId="0" xfId="0" applyNumberFormat="1" applyFont="1" applyFill="1" applyBorder="1"/>
    <x:xf numFmtId="0" fontId="3" fillId="93" borderId="0" xfId="0" applyNumberFormat="1" applyFont="1" applyFill="1" applyBorder="1"/>
    <x:xf numFmtId="0" fontId="3" fillId="93" xfId="0" applyNumberFormat="1" applyFont="1" applyFill="1" applyBorder="0"/>
    <x:xf numFmtId="0" fontId="3" fillId="93" xfId="0" applyNumberFormat="1" applyFont="1" applyFill="1" applyBorder="0" applyAlignment="1">
      <x:alignment horizontal="center"/>
    </x:xf>
    <x:xf numFmtId="0" fontId="3" fillId="93" xfId="0" applyNumberFormat="1" applyFont="1" applyFill="1" applyBorder="0" applyAlignment="1">
      <x:alignment horizontal="center" vertical="center"/>
    </x:xf>
    <x:xf numFmtId="0" fontId="61" fillId="2" borderId="0" xfId="0" applyNumberFormat="1" applyFont="1" applyFill="1" applyBorder="1"/>
    <x:xf numFmtId="0" fontId="61" fillId="2" borderId="0" xfId="0" applyNumberFormat="1" applyFont="1" applyFill="1" applyBorder="1" applyAlignment="1">
      <x:alignment horizontal="center"/>
    </x:xf>
    <x:xf numFmtId="0" fontId="61" fillId="2" borderId="0" xfId="0" applyNumberFormat="1" applyFont="1" applyFill="1" applyBorder="1" applyAlignment="1">
      <x:alignment horizontal="center" vertical="center"/>
    </x:xf>
    <x:xf numFmtId="0" fontId="3" fillId="89" xfId="0" applyNumberFormat="1" applyFont="1" applyFill="1" applyBorder="0" applyAlignment="1">
      <x:alignment horizontal="center"/>
    </x:xf>
    <x:xf numFmtId="0" fontId="3" fillId="89" xfId="0" applyNumberFormat="1" applyFont="1" applyFill="1" applyBorder="0" applyAlignment="1">
      <x:alignment horizontal="center" vertical="center"/>
    </x:xf>
    <x:xf numFmtId="0" fontId="10" fillId="94" borderId="0" xfId="0" applyNumberFormat="1" applyFont="1" applyFill="1" applyBorder="1" applyAlignment="1">
      <x:alignment horizontal="center" vertical="center"/>
    </x:xf>
    <x:xf numFmtId="0" fontId="0" fillId="94" borderId="0" xfId="0" applyNumberFormat="1" applyFont="1" applyFill="1" applyBorder="1"/>
    <x:xf numFmtId="0" fontId="10" fillId="94" borderId="0" xfId="0" applyNumberFormat="1" applyFont="1" applyFill="1" applyBorder="1"/>
    <x:xf numFmtId="0" fontId="10" fillId="94" borderId="0" xfId="0" applyNumberFormat="1" applyFont="1" applyFill="1" applyBorder="1" applyAlignment="1">
      <x:alignment horizontal="center"/>
    </x:xf>
    <x:xf numFmtId="0" fontId="2" fillId="95" borderId="0" xfId="0" applyNumberFormat="1" applyFont="1" applyFill="1" applyBorder="1" applyAlignment="1">
      <x:alignment vertical="center" wrapText="1"/>
    </x:xf>
    <x:xf numFmtId="0" fontId="0" fillId="95" borderId="0" xfId="0" applyNumberFormat="1" applyFont="1" applyFill="1" applyBorder="1"/>
    <x:xf numFmtId="0" fontId="62" fillId="95" borderId="0" xfId="0" applyNumberFormat="1" applyFont="1" applyFill="1" applyBorder="1" applyAlignment="1">
      <x:alignment vertical="center" wrapText="1"/>
    </x:xf>
    <x:xf numFmtId="0" fontId="62" fillId="95" borderId="0" xfId="0" applyNumberFormat="1" applyFont="1" applyFill="1" applyBorder="1"/>
    <x:xf numFmtId="0" fontId="62" fillId="95" borderId="0" xfId="0" applyNumberFormat="1" applyFont="1" applyFill="1" applyBorder="1" applyAlignment="1">
      <x:alignment wrapText="1"/>
    </x:xf>
    <x:xf numFmtId="0" fontId="62" fillId="95" borderId="0" xfId="0" applyNumberFormat="1" applyFont="1" applyFill="1" applyBorder="1" applyAlignment="1">
      <x:alignment horizontal="center" vertical="center" wrapText="1"/>
    </x:xf>
    <x:xf numFmtId="0" fontId="62" fillId="95" borderId="0" xfId="0" applyNumberFormat="1" applyFont="1" applyFill="1" applyBorder="1" applyAlignment="1">
      <x:alignment horizontal="center" wrapText="1"/>
    </x:xf>
    <x:xf numFmtId="0" fontId="11" fillId="96" borderId="0" xfId="0" applyNumberFormat="1" applyFont="1" applyFill="1" applyBorder="1" applyAlignment="1">
      <x:alignment horizontal="center" vertical="center" wrapText="1"/>
    </x:xf>
    <x:xf numFmtId="0" fontId="3" fillId="96" borderId="0" xfId="0" applyNumberFormat="1" applyFont="1" applyFill="1" applyBorder="1" applyAlignment="1">
      <x:alignment horizontal="center"/>
    </x:xf>
    <x:xf numFmtId="0" fontId="0" fillId="96" borderId="0" xfId="0" applyNumberFormat="1" applyFont="1" applyFill="1" applyBorder="1"/>
    <x:xf numFmtId="0" fontId="23" fillId="96" borderId="0" xfId="0" applyNumberFormat="1" applyFont="1" applyFill="1" applyBorder="1" applyAlignment="1">
      <x:alignment horizontal="center" vertical="center" wrapText="1"/>
    </x:xf>
    <x:xf numFmtId="0" fontId="23" fillId="96" borderId="0" xfId="0" applyNumberFormat="1" applyFont="1" applyFill="1" applyBorder="1" applyAlignment="1">
      <x:alignment horizontal="center"/>
    </x:xf>
    <x:xf numFmtId="0" fontId="23" fillId="96" borderId="0" xfId="0" applyNumberFormat="1" applyFont="1" applyFill="1" applyBorder="1"/>
    <x:xf numFmtId="0" fontId="23" fillId="96" xfId="0" applyNumberFormat="1" applyFont="1" applyFill="1" applyBorder="0" applyAlignment="1">
      <x:alignment horizontal="center" vertical="center" wrapText="1"/>
    </x:xf>
    <x:xf numFmtId="0" fontId="23" fillId="96" xfId="0" applyNumberFormat="1" applyFont="1" applyFill="1" applyBorder="0" applyAlignment="1">
      <x:alignment horizontal="center"/>
    </x:xf>
    <x:xf numFmtId="0" fontId="23" fillId="96" xfId="0" applyNumberFormat="1" applyFont="1" applyFill="1" applyBorder="0"/>
    <x:xf numFmtId="0" fontId="23" fillId="96" xfId="0" applyNumberFormat="1" applyFont="1" applyFill="1" applyBorder="0" applyAlignment="1">
      <x:alignment horizontal="center" wrapText="1"/>
    </x:xf>
    <x:xf numFmtId="0" fontId="23" fillId="96" xfId="0" applyNumberFormat="1" applyFont="1" applyFill="1" applyBorder="0" applyAlignment="1">
      <x:alignment wrapText="1"/>
    </x:xf>
    <x:xf numFmtId="0" fontId="0" fillId="97" borderId="0" xfId="0" applyNumberFormat="1" applyFont="1" applyFill="1" applyBorder="1"/>
    <x:xf numFmtId="0" fontId="3" fillId="97" borderId="0" xfId="0" applyNumberFormat="1" applyFont="1" applyFill="1" applyBorder="1"/>
    <x:xf numFmtId="0" fontId="3" fillId="97" xfId="0" applyNumberFormat="1" applyFont="1" applyFill="1" applyBorder="0"/>
    <x:xf numFmtId="0" fontId="3" fillId="97" xfId="0" applyNumberFormat="1" applyFont="1" applyFill="1" applyBorder="0" applyAlignment="1">
      <x:alignment horizontal="center"/>
    </x:xf>
    <x:xf numFmtId="0" fontId="3" fillId="97" xfId="0" applyNumberFormat="1" applyFont="1" applyFill="1" applyBorder="0" applyAlignment="1">
      <x:alignment horizontal="center" vertical="center"/>
    </x:xf>
    <x:xf numFmtId="0" fontId="11" fillId="98" borderId="0" xfId="0" applyNumberFormat="1" applyFont="1" applyFill="1" applyBorder="1" applyAlignment="1">
      <x:alignment horizontal="center" vertical="center" wrapText="1"/>
    </x:xf>
    <x:xf numFmtId="0" fontId="63" fillId="98" borderId="0" xfId="0" applyNumberFormat="1" applyFont="1" applyFill="1" applyBorder="1" applyAlignment="1">
      <x:alignment horizontal="center" vertical="center" wrapText="1"/>
    </x:xf>
    <x:xf numFmtId="0" fontId="63" fillId="98" xfId="0" applyNumberFormat="1" applyFont="1" applyFill="1" applyBorder="0" applyAlignment="1">
      <x:alignment horizontal="center" vertical="center" wrapText="1"/>
    </x:xf>
    <x:xf numFmtId="0" fontId="12" fillId="99" borderId="0" xfId="0" applyNumberFormat="1" applyFont="1" applyFill="1" applyBorder="1" applyAlignment="1">
      <x:alignment horizontal="center" vertical="top" wrapText="1"/>
    </x:xf>
    <x:xf numFmtId="0" fontId="13" fillId="99" borderId="0" xfId="0" applyNumberFormat="1" applyFont="1" applyFill="1" applyBorder="1" applyAlignment="1">
      <x:alignment vertical="top" wrapText="1"/>
    </x:xf>
    <x:xf numFmtId="0" fontId="0" fillId="99" borderId="0" xfId="0" applyNumberFormat="1" applyFont="1" applyFill="1" applyBorder="1"/>
    <x:xf numFmtId="0" fontId="12" fillId="99" borderId="0" xfId="0" applyNumberFormat="1" applyFont="1" applyFill="1" applyBorder="1" applyAlignment="1">
      <x:alignment horizontal="center" vertical="center" wrapText="1"/>
    </x:xf>
    <x:xf numFmtId="0" fontId="14" fillId="99" borderId="0" xfId="0" applyNumberFormat="1" applyFont="1" applyFill="1" applyBorder="1" applyAlignment="1">
      <x:alignment horizontal="center" vertical="center" wrapText="1"/>
    </x:xf>
    <x:xf numFmtId="0" fontId="15" fillId="99" borderId="0" xfId="0" applyNumberFormat="1" applyFont="1" applyFill="1" applyBorder="1" applyAlignment="1">
      <x:alignment horizontal="center" vertical="center" wrapText="1"/>
    </x:xf>
    <x:xf numFmtId="0" fontId="54" fillId="99" borderId="0" xfId="0" applyNumberFormat="1" applyFont="1" applyFill="1" applyBorder="1" applyAlignment="1">
      <x:alignment horizontal="center" vertical="center" wrapText="1"/>
    </x:xf>
    <x:xf numFmtId="0" fontId="64" fillId="99" borderId="0" xfId="0" applyNumberFormat="1" applyFont="1" applyFill="1" applyBorder="1" applyAlignment="1">
      <x:alignment horizontal="center" vertical="top" wrapText="1"/>
    </x:xf>
    <x:xf numFmtId="0" fontId="64" fillId="99" borderId="0" xfId="0" applyNumberFormat="1" applyFont="1" applyFill="1" applyBorder="1" applyAlignment="1">
      <x:alignment vertical="top" wrapText="1"/>
    </x:xf>
    <x:xf numFmtId="0" fontId="64" fillId="99" borderId="0" xfId="0" applyNumberFormat="1" applyFont="1" applyFill="1" applyBorder="1"/>
    <x:xf numFmtId="0" fontId="64" fillId="99" borderId="0" xfId="0" applyNumberFormat="1" applyFont="1" applyFill="1" applyBorder="1" applyAlignment="1">
      <x:alignment horizontal="center" vertical="center" wrapText="1"/>
    </x:xf>
    <x:xf numFmtId="0" fontId="65" fillId="99" borderId="0" xfId="0" applyNumberFormat="1" applyFont="1" applyFill="1" applyBorder="1" applyAlignment="1">
      <x:alignment horizontal="center" vertical="center" wrapText="1"/>
    </x:xf>
    <x:xf numFmtId="0" fontId="64" fillId="99" xfId="0" applyNumberFormat="1" applyFont="1" applyFill="1" applyBorder="0" applyAlignment="1">
      <x:alignment horizontal="center" vertical="top" wrapText="1"/>
    </x:xf>
    <x:xf numFmtId="0" fontId="64" fillId="99" xfId="0" applyNumberFormat="1" applyFont="1" applyFill="1" applyBorder="0" applyAlignment="1">
      <x:alignment vertical="top" wrapText="1"/>
    </x:xf>
    <x:xf numFmtId="0" fontId="64" fillId="99" xfId="0" applyNumberFormat="1" applyFont="1" applyFill="1" applyBorder="0"/>
    <x:xf numFmtId="0" fontId="64" fillId="99" xfId="0" applyNumberFormat="1" applyFont="1" applyFill="1" applyBorder="0" applyAlignment="1">
      <x:alignment horizontal="center" vertical="center" wrapText="1"/>
    </x:xf>
    <x:xf numFmtId="0" fontId="65" fillId="99" xfId="0" applyNumberFormat="1" applyFont="1" applyFill="1" applyBorder="0" applyAlignment="1">
      <x:alignment horizontal="center" vertical="center" wrapText="1"/>
    </x:xf>
    <x:xf numFmtId="0" fontId="64" fillId="99" xfId="0" applyNumberFormat="1" applyFont="1" applyFill="1" applyBorder="0" applyAlignment="1">
      <x:alignment wrapText="1"/>
    </x:xf>
    <x:xf numFmtId="0" fontId="64" fillId="99" xfId="0" applyNumberFormat="1" applyFont="1" applyFill="1" applyBorder="0" applyAlignment="1">
      <x:alignment horizontal="left" vertical="top" wrapText="1"/>
    </x:xf>
    <x:xf numFmtId="0" fontId="64" fillId="99" xfId="0" applyNumberFormat="1" applyFont="1" applyFill="1" applyBorder="0" applyAlignment="1">
      <x:alignment horizontal="left" wrapText="1"/>
    </x:xf>
    <x:xf numFmtId="0" fontId="64" fillId="99" xfId="0" applyNumberFormat="1" applyFont="1" applyFill="1" applyBorder="0" applyAlignment="1">
      <x:alignment horizontal="left" vertical="center" wrapText="1"/>
    </x:xf>
    <x:xf numFmtId="0" fontId="65" fillId="99" xfId="0" applyNumberFormat="1" applyFont="1" applyFill="1" applyBorder="0" applyAlignment="1">
      <x:alignment horizontal="left" vertical="center" wrapText="1"/>
    </x:xf>
    <x:xf numFmtId="0" fontId="65" fillId="99" xfId="0" applyNumberFormat="1" applyFont="1" applyFill="1" applyBorder="0" applyAlignment="1">
      <x:alignment horizontal="left" vertical="top" wrapText="1"/>
    </x:xf>
    <x:xf numFmtId="0" fontId="0" fillId="100" borderId="0" xfId="0" applyNumberFormat="1" applyFont="1" applyFill="1" applyBorder="1"/>
    <x:xf numFmtId="0" fontId="66" fillId="100" borderId="0" xfId="0" applyNumberFormat="1" applyFont="1" applyFill="1" applyBorder="1"/>
    <x:xf numFmtId="0" fontId="66" fillId="100" xfId="0" applyNumberFormat="1" applyFont="1" applyFill="1" applyBorder="0"/>
    <x:xf numFmtId="0" fontId="66" fillId="100" xfId="0" applyNumberFormat="1" applyFont="1" applyFill="1" applyBorder="0" applyAlignment="1">
      <x:alignment wrapText="1"/>
    </x:xf>
    <x:xf numFmtId="0" fontId="66" fillId="100" xfId="0" applyNumberFormat="1" applyFont="1" applyFill="1" applyBorder="0" applyAlignment="1">
      <x:alignment horizontal="left" wrapText="1"/>
    </x:xf>
    <x:xf numFmtId="0" fontId="66" fillId="100" xfId="0" applyNumberFormat="1" applyFont="1" applyFill="1" applyBorder="0" applyAlignment="1">
      <x:alignment horizontal="left" vertical="top" wrapText="1"/>
    </x:xf>
    <x:xf numFmtId="0" fontId="64" fillId="101" xfId="0" applyNumberFormat="1" applyFont="1" applyFill="1" applyBorder="0" applyAlignment="1">
      <x:alignment horizontal="left" vertical="top" wrapText="1"/>
    </x:xf>
    <x:xf numFmtId="0" fontId="67" fillId="101" xfId="0" applyNumberFormat="1" applyFont="1" applyFill="1" applyBorder="0" applyAlignment="1">
      <x:alignment horizontal="left" vertical="top" wrapText="1"/>
    </x:xf>
    <x:xf numFmtId="0" fontId="64" fillId="102" xfId="0" applyNumberFormat="1" applyFont="1" applyFill="1" applyBorder="0" applyAlignment="1">
      <x:alignment horizontal="left" vertical="top" wrapText="1"/>
    </x:xf>
    <x:xf numFmtId="0" fontId="67" fillId="102" xfId="0" applyNumberFormat="1" applyFont="1" applyFill="1" applyBorder="0" applyAlignment="1">
      <x:alignment horizontal="left" vertical="top" wrapText="1"/>
    </x:xf>
    <x:xf numFmtId="0" fontId="64" fillId="103" xfId="0" applyNumberFormat="1" applyFont="1" applyFill="1" applyBorder="0" applyAlignment="1">
      <x:alignment horizontal="left" vertical="top" wrapText="1"/>
    </x:xf>
    <x:xf numFmtId="0" fontId="67" fillId="103" xfId="0" applyNumberFormat="1" applyFont="1" applyFill="1" applyBorder="0" applyAlignment="1">
      <x:alignment horizontal="left" vertical="top" wrapText="1"/>
    </x:xf>
    <x:xf numFmtId="0" fontId="64" fillId="104" xfId="0" applyNumberFormat="1" applyFont="1" applyFill="1" applyBorder="0" applyAlignment="1">
      <x:alignment horizontal="left" vertical="top" wrapText="1"/>
    </x:xf>
    <x:xf numFmtId="0" fontId="67" fillId="104" xfId="0" applyNumberFormat="1" applyFont="1" applyFill="1" applyBorder="0" applyAlignment="1">
      <x:alignment horizontal="left" vertical="top" wrapText="1"/>
    </x:xf>
    <x:xf numFmtId="0" fontId="64" fillId="105" xfId="0" applyNumberFormat="1" applyFont="1" applyFill="1" applyBorder="0" applyAlignment="1">
      <x:alignment horizontal="left" vertical="top" wrapText="1"/>
    </x:xf>
    <x:xf numFmtId="0" fontId="67" fillId="105" xfId="0" applyNumberFormat="1" applyFont="1" applyFill="1" applyBorder="0" applyAlignment="1">
      <x:alignment horizontal="left" vertical="top" wrapText="1"/>
    </x:xf>
    <x:xf numFmtId="0" fontId="65" fillId="104" xfId="0" applyNumberFormat="1" applyFont="1" applyFill="1" applyBorder="0" applyAlignment="1">
      <x:alignment horizontal="left" vertical="top" wrapText="1"/>
    </x:xf>
    <x:xf numFmtId="0" fontId="64" fillId="86" xfId="0" applyNumberFormat="1" applyFont="1" applyFill="1" applyBorder="0" applyAlignment="1">
      <x:alignment horizontal="left" vertical="top" wrapText="1"/>
    </x:xf>
    <x:xf numFmtId="0" fontId="67" fillId="86" xfId="0" applyNumberFormat="1" applyFont="1" applyFill="1" applyBorder="0" applyAlignment="1">
      <x:alignment horizontal="left" vertical="top" wrapText="1"/>
    </x:xf>
    <x:xf numFmtId="0" fontId="10" fillId="106" borderId="0" xfId="0" applyNumberFormat="1" applyFont="1" applyFill="1" applyBorder="1" applyAlignment="1">
      <x:alignment horizontal="center" vertical="center"/>
    </x:xf>
    <x:xf numFmtId="0" fontId="62" fillId="107" borderId="0" xfId="0" applyNumberFormat="1" applyFont="1" applyFill="1" applyBorder="1" applyAlignment="1">
      <x:alignment horizontal="center" vertical="center" wrapText="1"/>
    </x:xf>
    <x:xf numFmtId="0" fontId="68" fillId="107" borderId="0" xfId="0" applyNumberFormat="1" applyFont="1" applyFill="1" applyBorder="1" applyAlignment="1">
      <x:alignment horizontal="center" vertical="center" wrapText="1"/>
    </x:xf>
    <x:xf numFmtId="0" fontId="23" fillId="108" xfId="0" applyNumberFormat="1" applyFont="1" applyFill="1" applyBorder="0" applyAlignment="1">
      <x:alignment horizontal="center" vertical="center" wrapText="1"/>
    </x:xf>
    <x:xf numFmtId="0" fontId="69" fillId="108" xfId="0" applyNumberFormat="1" applyFont="1" applyFill="1" applyBorder="0" applyAlignment="1">
      <x:alignment horizontal="center" vertical="center" wrapText="1"/>
    </x:xf>
    <x:xf numFmtId="0" fontId="3" fillId="109" xfId="0" applyNumberFormat="1" applyFont="1" applyFill="1" applyBorder="0" applyAlignment="1">
      <x:alignment horizontal="center" vertical="center"/>
    </x:xf>
    <x:xf numFmtId="0" fontId="63" fillId="110" xfId="0" applyNumberFormat="1" applyFont="1" applyFill="1" applyBorder="0" applyAlignment="1">
      <x:alignment horizontal="center" vertical="center" wrapText="1"/>
    </x:xf>
    <x:xf numFmtId="0" fontId="70" fillId="110" xfId="0" applyNumberFormat="1" applyFont="1" applyFill="1" applyBorder="0" applyAlignment="1">
      <x:alignment horizontal="center" vertical="center" wrapText="1"/>
    </x:xf>
    <x:xf numFmtId="0" fontId="64" fillId="111" xfId="0" applyNumberFormat="1" applyFont="1" applyFill="1" applyBorder="0" applyAlignment="1">
      <x:alignment horizontal="left" vertical="top" wrapText="1"/>
    </x:xf>
    <x:xf numFmtId="0" fontId="65" fillId="111" xfId="0" applyNumberFormat="1" applyFont="1" applyFill="1" applyBorder="0" applyAlignment="1">
      <x:alignment horizontal="left" vertical="top" wrapText="1"/>
    </x:xf>
    <x:xf numFmtId="0" fontId="67" fillId="111" xfId="0" applyNumberFormat="1" applyFont="1" applyFill="1" applyBorder="0" applyAlignment="1">
      <x:alignment horizontal="left" vertical="top" wrapText="1"/>
    </x:xf>
    <x:xf numFmtId="0" fontId="71" fillId="111" xfId="0" applyNumberFormat="1" applyFont="1" applyFill="1" applyBorder="0" applyAlignment="1">
      <x:alignment horizontal="left" vertical="top" wrapText="1"/>
    </x:xf>
    <x:xf numFmtId="0" fontId="72" fillId="111" xfId="0" applyNumberFormat="1" applyFont="1" applyFill="1" applyBorder="0" applyAlignment="1">
      <x:alignment horizontal="left" vertical="top" wrapText="1"/>
    </x:xf>
    <x:xf numFmtId="0" fontId="66" fillId="112" xfId="0" applyNumberFormat="1" applyFont="1" applyFill="1" applyBorder="0" applyAlignment="1">
      <x:alignment horizontal="left" vertical="top" wrapText="1"/>
    </x:xf>
    <x:xf numFmtId="0" fontId="73" fillId="112" xfId="0" applyNumberFormat="1" applyFont="1" applyFill="1" applyBorder="0" applyAlignment="1">
      <x:alignment horizontal="left" vertical="top" wrapText="1"/>
    </x:xf>
    <x:xf numFmtId="0" fontId="72" fillId="113" xfId="0" applyNumberFormat="1" applyFont="1" applyFill="1" applyBorder="0" applyAlignment="1">
      <x:alignment horizontal="left" vertical="top" wrapText="1"/>
    </x:xf>
    <x:xf numFmtId="0" fontId="72" fillId="113" borderId="12" xfId="0" applyNumberFormat="1" applyFont="1" applyFill="1" applyBorder="1" applyAlignment="1">
      <x:alignment horizontal="left" vertical="top" wrapText="1"/>
    </x:xf>
    <x:xf numFmtId="0" fontId="72" fillId="113" borderId="13" xfId="0" applyNumberFormat="1" applyFont="1" applyFill="1" applyBorder="1" applyAlignment="1">
      <x:alignment horizontal="left" vertical="top" wrapText="1"/>
    </x:xf>
    <x:xf numFmtId="0" fontId="72" fillId="113" borderId="14" xfId="0" applyNumberFormat="1" applyFont="1" applyFill="1" applyBorder="1" applyAlignment="1">
      <x:alignment horizontal="left" vertical="top" wrapText="1"/>
    </x:xf>
    <x:xf numFmtId="0" fontId="72" fillId="113" borderId="15" xfId="0" applyNumberFormat="1" applyFont="1" applyFill="1" applyBorder="1" applyAlignment="1">
      <x:alignment horizontal="left" vertical="top" wrapText="1"/>
    </x:xf>
    <x:xf numFmtId="0" fontId="72" fillId="113" borderId="16" xfId="0" applyNumberFormat="1" applyFont="1" applyFill="1" applyBorder="1" applyAlignment="1">
      <x:alignment horizontal="left" vertical="top" wrapText="1"/>
    </x:xf>
    <x:xf numFmtId="0" fontId="72" fillId="113" borderId="17" xfId="0" applyNumberFormat="1" applyFont="1" applyFill="1" applyBorder="1" applyAlignment="1">
      <x:alignment horizontal="left" vertical="top" wrapText="1"/>
    </x:xf>
    <x:xf numFmtId="0" fontId="72" fillId="113" borderId="18" xfId="0" applyNumberFormat="1" applyFont="1" applyFill="1" applyBorder="1" applyAlignment="1">
      <x:alignment horizontal="left" vertical="top" wrapText="1"/>
    </x:xf>
    <x:xf numFmtId="0" fontId="72" fillId="113" borderId="19" xfId="0" applyNumberFormat="1" applyFont="1" applyFill="1" applyBorder="1" applyAlignment="1">
      <x:alignment horizontal="left" vertical="top" wrapText="1"/>
    </x:xf>
    <x:xf numFmtId="0" fontId="71" fillId="114" xfId="0" applyNumberFormat="1" applyFont="1" applyFill="1" applyBorder="0" applyAlignment="1">
      <x:alignment horizontal="left" vertical="top" wrapText="1"/>
    </x:xf>
    <x:xf numFmtId="0" fontId="72" fillId="114" xfId="0" applyNumberFormat="1" applyFont="1" applyFill="1" applyBorder="0" applyAlignment="1">
      <x:alignment horizontal="left" vertical="top" wrapText="1"/>
    </x:xf>
    <x:xf numFmtId="0" fontId="71" fillId="114" borderId="20" xfId="0" applyNumberFormat="1" applyFont="1" applyFill="1" applyBorder="1" applyAlignment="1">
      <x:alignment horizontal="left" vertical="top" wrapText="1"/>
    </x:xf>
    <x:xf numFmtId="0" fontId="71" fillId="114" borderId="21" xfId="0" applyNumberFormat="1" applyFont="1" applyFill="1" applyBorder="1" applyAlignment="1">
      <x:alignment horizontal="left" vertical="top" wrapText="1"/>
    </x:xf>
    <x:xf numFmtId="0" fontId="71" fillId="114" borderId="22" xfId="0" applyNumberFormat="1" applyFont="1" applyFill="1" applyBorder="1" applyAlignment="1">
      <x:alignment horizontal="left" vertical="top" wrapText="1"/>
    </x:xf>
    <x:xf numFmtId="0" fontId="71" fillId="114" borderId="23" xfId="0" applyNumberFormat="1" applyFont="1" applyFill="1" applyBorder="1" applyAlignment="1">
      <x:alignment horizontal="left" vertical="top" wrapText="1"/>
    </x:xf>
    <x:xf numFmtId="0" fontId="71" fillId="114" borderId="24" xfId="0" applyNumberFormat="1" applyFont="1" applyFill="1" applyBorder="1" applyAlignment="1">
      <x:alignment horizontal="left" vertical="top" wrapText="1"/>
    </x:xf>
    <x:xf numFmtId="0" fontId="71" fillId="114" borderId="25" xfId="0" applyNumberFormat="1" applyFont="1" applyFill="1" applyBorder="1" applyAlignment="1">
      <x:alignment horizontal="left" vertical="top" wrapText="1"/>
    </x:xf>
    <x:xf numFmtId="0" fontId="71" fillId="114" borderId="26" xfId="0" applyNumberFormat="1" applyFont="1" applyFill="1" applyBorder="1" applyAlignment="1">
      <x:alignment horizontal="left" vertical="top" wrapText="1"/>
    </x:xf>
    <x:xf numFmtId="0" fontId="71" fillId="114" borderId="27" xfId="0" applyNumberFormat="1" applyFont="1" applyFill="1" applyBorder="1" applyAlignment="1">
      <x:alignment horizontal="left" vertical="top" wrapText="1"/>
    </x:xf>
    <x:xf numFmtId="0" fontId="71" fillId="115" xfId="0" applyNumberFormat="1" applyFont="1" applyFill="1" applyBorder="0" applyAlignment="1">
      <x:alignment horizontal="left" vertical="top" wrapText="1"/>
    </x:xf>
    <x:xf numFmtId="0" fontId="72" fillId="115" xfId="0" applyNumberFormat="1" applyFont="1" applyFill="1" applyBorder="0" applyAlignment="1">
      <x:alignment horizontal="left" vertical="top" wrapText="1"/>
    </x:xf>
    <x:xf numFmtId="0" fontId="71" fillId="115" borderId="28" xfId="0" applyNumberFormat="1" applyFont="1" applyFill="1" applyBorder="1" applyAlignment="1">
      <x:alignment horizontal="left" vertical="top" wrapText="1"/>
    </x:xf>
    <x:xf numFmtId="0" fontId="72" fillId="115" borderId="28" xfId="0" applyNumberFormat="1" applyFont="1" applyFill="1" applyBorder="1" applyAlignment="1">
      <x:alignment horizontal="left" vertical="top" wrapText="1"/>
    </x:xf>
    <x:xf numFmtId="0" fontId="72" fillId="115" borderId="29" xfId="0" applyNumberFormat="1" applyFont="1" applyFill="1" applyBorder="1" applyAlignment="1">
      <x:alignment horizontal="left" vertical="top" wrapText="1"/>
    </x:xf>
    <x:xf numFmtId="0" fontId="71" fillId="115" borderId="29" xfId="0" applyNumberFormat="1" applyFont="1" applyFill="1" applyBorder="1" applyAlignment="1">
      <x:alignment horizontal="left" vertical="top" wrapText="1"/>
    </x:xf>
    <x:xf numFmtId="0" fontId="71" fillId="115" borderId="30" xfId="0" applyNumberFormat="1" applyFont="1" applyFill="1" applyBorder="1" applyAlignment="1">
      <x:alignment horizontal="left" vertical="top" wrapText="1"/>
    </x:xf>
    <x:xf numFmtId="0" fontId="72" fillId="115" borderId="31" xfId="0" applyNumberFormat="1" applyFont="1" applyFill="1" applyBorder="1" applyAlignment="1">
      <x:alignment horizontal="left" vertical="top" wrapText="1"/>
    </x:xf>
    <x:xf numFmtId="0" fontId="72" fillId="115" borderId="32" xfId="0" applyNumberFormat="1" applyFont="1" applyFill="1" applyBorder="1" applyAlignment="1">
      <x:alignment horizontal="left" vertical="top" wrapText="1"/>
    </x:xf>
    <x:xf numFmtId="0" fontId="71" fillId="115" borderId="33" xfId="0" applyNumberFormat="1" applyFont="1" applyFill="1" applyBorder="1" applyAlignment="1">
      <x:alignment horizontal="left" vertical="top" wrapText="1"/>
    </x:xf>
    <x:xf numFmtId="0" fontId="71" fillId="115" borderId="34" xfId="0" applyNumberFormat="1" applyFont="1" applyFill="1" applyBorder="1" applyAlignment="1">
      <x:alignment horizontal="left" vertical="top" wrapText="1"/>
    </x:xf>
    <x:xf numFmtId="0" fontId="71" fillId="115" borderId="35" xfId="0" applyNumberFormat="1" applyFont="1" applyFill="1" applyBorder="1" applyAlignment="1">
      <x:alignment horizontal="left" vertical="top" wrapText="1"/>
    </x:xf>
    <x:xf numFmtId="0" fontId="71" fillId="116" xfId="0" applyNumberFormat="1" applyFont="1" applyFill="1" applyBorder="0" applyAlignment="1">
      <x:alignment horizontal="left" vertical="top" wrapText="1"/>
    </x:xf>
    <x:xf numFmtId="0" fontId="72" fillId="116" xfId="0" applyNumberFormat="1" applyFont="1" applyFill="1" applyBorder="0" applyAlignment="1">
      <x:alignment horizontal="left" vertical="top" wrapText="1"/>
    </x:xf>
    <x:xf numFmtId="0" fontId="71" fillId="116" borderId="36" xfId="0" applyNumberFormat="1" applyFont="1" applyFill="1" applyBorder="1" applyAlignment="1">
      <x:alignment horizontal="left" vertical="top" wrapText="1"/>
    </x:xf>
    <x:xf numFmtId="0" fontId="72" fillId="116" borderId="36" xfId="0" applyNumberFormat="1" applyFont="1" applyFill="1" applyBorder="1" applyAlignment="1">
      <x:alignment horizontal="left" vertical="top" wrapText="1"/>
    </x:xf>
    <x:xf numFmtId="0" fontId="72" fillId="116" borderId="37" xfId="0" applyNumberFormat="1" applyFont="1" applyFill="1" applyBorder="1" applyAlignment="1">
      <x:alignment horizontal="left" vertical="top" wrapText="1"/>
    </x:xf>
    <x:xf numFmtId="0" fontId="71" fillId="116" borderId="37" xfId="0" applyNumberFormat="1" applyFont="1" applyFill="1" applyBorder="1" applyAlignment="1">
      <x:alignment horizontal="left" vertical="top" wrapText="1"/>
    </x:xf>
    <x:xf numFmtId="0" fontId="71" fillId="116" borderId="38" xfId="0" applyNumberFormat="1" applyFont="1" applyFill="1" applyBorder="1" applyAlignment="1">
      <x:alignment horizontal="left" vertical="top" wrapText="1"/>
    </x:xf>
    <x:xf numFmtId="0" fontId="71" fillId="116" borderId="39" xfId="0" applyNumberFormat="1" applyFont="1" applyFill="1" applyBorder="1" applyAlignment="1">
      <x:alignment horizontal="left" vertical="top" wrapText="1"/>
    </x:xf>
    <x:xf numFmtId="0" fontId="72" fillId="116" borderId="39" xfId="0" applyNumberFormat="1" applyFont="1" applyFill="1" applyBorder="1" applyAlignment="1">
      <x:alignment horizontal="left" vertical="top" wrapText="1"/>
    </x:xf>
    <x:xf numFmtId="0" fontId="72" fillId="116" borderId="40" xfId="0" applyNumberFormat="1" applyFont="1" applyFill="1" applyBorder="1" applyAlignment="1">
      <x:alignment horizontal="left" vertical="top" wrapText="1"/>
    </x:xf>
    <x:xf numFmtId="0" fontId="71" fillId="116" borderId="41" xfId="0" applyNumberFormat="1" applyFont="1" applyFill="1" applyBorder="1" applyAlignment="1">
      <x:alignment horizontal="left" vertical="top" wrapText="1"/>
    </x:xf>
    <x:xf numFmtId="0" fontId="71" fillId="116" borderId="42" xfId="0" applyNumberFormat="1" applyFont="1" applyFill="1" applyBorder="1" applyAlignment="1">
      <x:alignment horizontal="left" vertical="top" wrapText="1"/>
    </x:xf>
    <x:xf numFmtId="0" fontId="72" fillId="116" borderId="43" xfId="0" applyNumberFormat="1" applyFont="1" applyFill="1" applyBorder="1" applyAlignment="1">
      <x:alignment horizontal="left" vertical="top" wrapText="1"/>
    </x:xf>
    <x:xf numFmtId="0" fontId="72" fillId="117" xfId="0" applyNumberFormat="1" applyFont="1" applyFill="1" applyBorder="0" applyAlignment="1">
      <x:alignment horizontal="left" vertical="top" wrapText="1"/>
    </x:xf>
    <x:xf numFmtId="0" fontId="72" fillId="118" xfId="0" applyNumberFormat="1" applyFont="1" applyFill="1" applyBorder="0" applyAlignment="1">
      <x:alignment horizontal="left" vertical="top" wrapText="1"/>
    </x:xf>
    <x:xf numFmtId="0" fontId="72" fillId="118" borderId="39" xfId="0" applyNumberFormat="1" applyFont="1" applyFill="1" applyBorder="1" applyAlignment="1">
      <x:alignment horizontal="left" vertical="top" wrapText="1"/>
    </x:xf>
    <x:xf numFmtId="0" fontId="72" fillId="118" borderId="36" xfId="0" applyNumberFormat="1" applyFont="1" applyFill="1" applyBorder="1" applyAlignment="1">
      <x:alignment horizontal="left" vertical="top" wrapText="1"/>
    </x:xf>
    <x:xf numFmtId="0" fontId="73" fillId="100" xfId="0" applyNumberFormat="1" applyFont="1" applyFill="1" applyBorder="0" applyAlignment="1">
      <x:alignment horizontal="left" vertical="top" wrapText="1"/>
    </x:xf>
    <x:xf numFmtId="0" fontId="10" fillId="119" borderId="0" xfId="0" applyNumberFormat="1" applyFont="1" applyFill="1" applyBorder="1" applyAlignment="1">
      <x:alignment horizontal="center" vertical="center"/>
    </x:xf>
    <x:xf numFmtId="0" fontId="0" fillId="119" borderId="0" xfId="0" applyNumberFormat="1" applyFont="1" applyFill="1" applyBorder="1"/>
    <x:xf numFmtId="0" fontId="58" fillId="119" borderId="0" xfId="0" applyNumberFormat="1" applyFont="1" applyFill="1" applyBorder="1" applyAlignment="1">
      <x:alignment horizontal="center" vertical="center"/>
    </x:xf>
    <x:xf numFmtId="0" fontId="58" fillId="119" borderId="0" xfId="0" applyNumberFormat="1" applyFont="1" applyFill="1" applyBorder="1"/>
    <x:xf numFmtId="0" fontId="58" fillId="119" borderId="0" xfId="0" applyNumberFormat="1" applyFont="1" applyFill="1" applyBorder="1" applyAlignment="1">
      <x:alignment horizontal="center"/>
    </x:xf>
    <x:xf numFmtId="0" fontId="68" fillId="120" borderId="0" xfId="0" applyNumberFormat="1" applyFont="1" applyFill="1" applyBorder="1" applyAlignment="1">
      <x:alignment horizontal="center" vertical="center" wrapText="1"/>
    </x:xf>
    <x:xf numFmtId="0" fontId="0" fillId="120" borderId="0" xfId="0" applyNumberFormat="1" applyFont="1" applyFill="1" applyBorder="1"/>
    <x:xf numFmtId="0" fontId="68" fillId="120" borderId="0" xfId="0" applyNumberFormat="1" applyFont="1" applyFill="1" applyBorder="1"/>
    <x:xf numFmtId="0" fontId="68" fillId="120" borderId="0" xfId="0" applyNumberFormat="1" applyFont="1" applyFill="1" applyBorder="1" applyAlignment="1">
      <x:alignment wrapText="1"/>
    </x:xf>
    <x:xf numFmtId="0" fontId="68" fillId="120" borderId="0" xfId="0" applyNumberFormat="1" applyFont="1" applyFill="1" applyBorder="1" applyAlignment="1">
      <x:alignment horizontal="center" wrapText="1"/>
    </x:xf>
    <x:xf numFmtId="0" fontId="69" fillId="121" xfId="0" applyNumberFormat="1" applyFont="1" applyFill="1" applyBorder="0" applyAlignment="1">
      <x:alignment horizontal="center" vertical="center" wrapText="1"/>
    </x:xf>
    <x:xf numFmtId="0" fontId="3" fillId="121" xfId="0" applyNumberFormat="1" applyFont="1" applyFill="1" applyBorder="0" applyAlignment="1">
      <x:alignment horizontal="center" vertical="center"/>
    </x:xf>
    <x:xf numFmtId="0" fontId="0" fillId="121" borderId="0" xfId="0" applyNumberFormat="1" applyFont="1" applyFill="1" applyBorder="1"/>
    <x:xf numFmtId="0" fontId="69" fillId="121" xfId="0" applyNumberFormat="1" applyFont="1" applyFill="1" applyBorder="0" applyAlignment="1">
      <x:alignment horizontal="center" vertical="center"/>
    </x:xf>
    <x:xf numFmtId="0" fontId="69" fillId="121" borderId="0" xfId="0" applyNumberFormat="1" applyFont="1" applyFill="1" applyBorder="1"/>
    <x:xf numFmtId="0" fontId="69" fillId="121" xfId="0" applyNumberFormat="1" applyFont="1" applyFill="1" applyBorder="0"/>
    <x:xf numFmtId="0" fontId="69" fillId="121" xfId="0" applyNumberFormat="1" applyFont="1" applyFill="1" applyBorder="0" applyAlignment="1">
      <x:alignment wrapText="1"/>
    </x:xf>
    <x:xf numFmtId="0" fontId="69" fillId="121" xfId="0" applyNumberFormat="1" applyFont="1" applyFill="1" applyBorder="0" applyAlignment="1">
      <x:alignment horizontal="center" wrapText="1"/>
    </x:xf>
    <x:xf numFmtId="0" fontId="0" fillId="122" borderId="0" xfId="0" applyNumberFormat="1" applyFont="1" applyFill="1" applyBorder="1"/>
    <x:xf numFmtId="0" fontId="3" fillId="122" borderId="0" xfId="0" applyNumberFormat="1" applyFont="1" applyFill="1" applyBorder="1"/>
    <x:xf numFmtId="0" fontId="3" fillId="122" borderId="0" xfId="0" applyNumberFormat="1" applyFont="1" applyFill="1" applyBorder="1" applyAlignment="1">
      <x:alignment horizontal="center"/>
    </x:xf>
    <x:xf numFmtId="0" fontId="3" fillId="122" borderId="0" xfId="0" applyNumberFormat="1" applyFont="1" applyFill="1" applyBorder="1" applyAlignment="1">
      <x:alignment horizontal="center" vertical="center"/>
    </x:xf>
    <x:xf numFmtId="0" fontId="70" fillId="123" xfId="0" applyNumberFormat="1" applyFont="1" applyFill="1" applyBorder="0" applyAlignment="1">
      <x:alignment horizontal="center" vertical="center" wrapText="1"/>
    </x:xf>
    <x:xf numFmtId="0" fontId="0" fillId="124" borderId="0" xfId="0" applyNumberFormat="1" applyFont="1" applyFill="1" applyBorder="1"/>
    <x:xf numFmtId="0" fontId="74" fillId="124" borderId="0" xfId="0" applyNumberFormat="1" applyFont="1" applyFill="1" applyBorder="1"/>
    <x:xf numFmtId="0" fontId="74" fillId="124" xfId="0" applyNumberFormat="1" applyFont="1" applyFill="1" applyBorder="0"/>
    <x:xf numFmtId="0" fontId="74" fillId="124" xfId="0" applyNumberFormat="1" applyFont="1" applyFill="1" applyBorder="0" applyAlignment="1">
      <x:alignment wrapText="1"/>
    </x:xf>
    <x:xf numFmtId="0" fontId="74" fillId="124" xfId="0" applyNumberFormat="1" applyFont="1" applyFill="1" applyBorder="0" applyAlignment="1">
      <x:alignment horizontal="left" wrapText="1"/>
    </x:xf>
    <x:xf numFmtId="0" fontId="74" fillId="124" xfId="0" applyNumberFormat="1" applyFont="1" applyFill="1" applyBorder="0" applyAlignment="1">
      <x:alignment horizontal="left" vertical="top" wrapText="1"/>
    </x:xf>
    <x:xf numFmtId="0" fontId="71" fillId="125" xfId="0" applyNumberFormat="1" applyFont="1" applyFill="1" applyBorder="0" applyAlignment="1">
      <x:alignment horizontal="left" vertical="top" wrapText="1"/>
    </x:xf>
    <x:xf numFmtId="0" fontId="75" fillId="125" xfId="0" applyNumberFormat="1" applyFont="1" applyFill="1" applyBorder="0" applyAlignment="1">
      <x:alignment horizontal="left" vertical="top" wrapText="1"/>
    </x:xf>
    <x:xf numFmtId="0" fontId="73" fillId="125" xfId="0" applyNumberFormat="1" applyFont="1" applyFill="1" applyBorder="0" applyAlignment="1">
      <x:alignment horizontal="left" vertical="top" wrapText="1"/>
    </x:xf>
    <x:xf numFmtId="0" fontId="0" fillId="125" borderId="0" xfId="0" applyNumberFormat="1" applyFont="1" applyFill="1" applyBorder="1"/>
    <x:xf numFmtId="0" fontId="0" fillId="125" xfId="0" applyNumberFormat="1" applyFont="1" applyFill="1" applyBorder="0"/>
    <x:xf numFmtId="0" fontId="75" fillId="125" xfId="0" applyNumberFormat="1" applyFont="1" applyFill="1" applyBorder="0"/>
    <x:xf numFmtId="0" fontId="75" fillId="125" xfId="0" applyNumberFormat="1" applyFont="1" applyFill="1" applyBorder="0" applyAlignment="1">
      <x:alignment wrapText="1"/>
    </x:xf>
    <x:xf numFmtId="0" fontId="75" fillId="125" xfId="0" applyNumberFormat="1" applyFont="1" applyFill="1" applyBorder="0" applyAlignment="1">
      <x:alignment horizontal="left" wrapText="1"/>
    </x:xf>
    <x:xf numFmtId="0" fontId="72" fillId="125" xfId="0" applyNumberFormat="1" applyFont="1" applyFill="1" applyBorder="0" applyAlignment="1">
      <x:alignment horizontal="left" vertical="top" wrapText="1"/>
    </x:xf>
    <x:xf numFmtId="0" fontId="71" fillId="125" borderId="38" xfId="0" applyNumberFormat="1" applyFont="1" applyFill="1" applyBorder="1" applyAlignment="1">
      <x:alignment horizontal="left" vertical="top" wrapText="1"/>
    </x:xf>
    <x:xf numFmtId="0" fontId="75" fillId="125" borderId="38" xfId="0" applyNumberFormat="1" applyFont="1" applyFill="1" applyBorder="1" applyAlignment="1">
      <x:alignment horizontal="left" vertical="top" wrapText="1"/>
    </x:xf>
    <x:xf numFmtId="0" fontId="71" fillId="125" borderId="36" xfId="0" applyNumberFormat="1" applyFont="1" applyFill="1" applyBorder="1" applyAlignment="1">
      <x:alignment horizontal="left" vertical="top" wrapText="1"/>
    </x:xf>
    <x:xf numFmtId="0" fontId="75" fillId="125" borderId="36" xfId="0" applyNumberFormat="1" applyFont="1" applyFill="1" applyBorder="1" applyAlignment="1">
      <x:alignment horizontal="left" vertical="top" wrapText="1"/>
    </x:xf>
    <x:xf numFmtId="0" fontId="72" fillId="125" borderId="36" xfId="0" applyNumberFormat="1" applyFont="1" applyFill="1" applyBorder="1" applyAlignment="1">
      <x:alignment horizontal="left" vertical="top" wrapText="1"/>
    </x:xf>
    <x:xf numFmtId="0" fontId="71" fillId="125" borderId="41" xfId="0" applyNumberFormat="1" applyFont="1" applyFill="1" applyBorder="1" applyAlignment="1">
      <x:alignment horizontal="left" vertical="top" wrapText="1"/>
    </x:xf>
    <x:xf numFmtId="0" fontId="75" fillId="125" borderId="41" xfId="0" applyNumberFormat="1" applyFont="1" applyFill="1" applyBorder="1" applyAlignment="1">
      <x:alignment horizontal="left" vertical="top" wrapText="1"/>
    </x:xf>
    <x:xf numFmtId="0" fontId="71" fillId="125" borderId="39" xfId="0" applyNumberFormat="1" applyFont="1" applyFill="1" applyBorder="1" applyAlignment="1">
      <x:alignment horizontal="left" vertical="top" wrapText="1"/>
    </x:xf>
    <x:xf numFmtId="0" fontId="75" fillId="125" borderId="39" xfId="0" applyNumberFormat="1" applyFont="1" applyFill="1" applyBorder="1" applyAlignment="1">
      <x:alignment horizontal="left" vertical="top" wrapText="1"/>
    </x:xf>
    <x:xf numFmtId="0" fontId="71" fillId="125" borderId="42" xfId="0" applyNumberFormat="1" applyFont="1" applyFill="1" applyBorder="1" applyAlignment="1">
      <x:alignment horizontal="left" vertical="top" wrapText="1"/>
    </x:xf>
    <x:xf numFmtId="0" fontId="75" fillId="125" borderId="42" xfId="0" applyNumberFormat="1" applyFont="1" applyFill="1" applyBorder="1" applyAlignment="1">
      <x:alignment horizontal="left" vertical="top" wrapText="1"/>
    </x:xf>
    <x:xf numFmtId="0" fontId="72" fillId="125" borderId="39" xfId="0" applyNumberFormat="1" applyFont="1" applyFill="1" applyBorder="1" applyAlignment="1">
      <x:alignment horizontal="left" vertical="top" wrapText="1"/>
    </x:xf>
    <x:xf numFmtId="0" fontId="72" fillId="125" borderId="40" xfId="0" applyNumberFormat="1" applyFont="1" applyFill="1" applyBorder="1" applyAlignment="1">
      <x:alignment horizontal="left" vertical="top" wrapText="1"/>
    </x:xf>
    <x:xf numFmtId="0" fontId="75" fillId="125" borderId="40" xfId="0" applyNumberFormat="1" applyFont="1" applyFill="1" applyBorder="1" applyAlignment="1">
      <x:alignment horizontal="left" vertical="top" wrapText="1"/>
    </x:xf>
    <x:xf numFmtId="0" fontId="71" fillId="125" borderId="37" xfId="0" applyNumberFormat="1" applyFont="1" applyFill="1" applyBorder="1" applyAlignment="1">
      <x:alignment horizontal="left" vertical="top" wrapText="1"/>
    </x:xf>
    <x:xf numFmtId="0" fontId="75" fillId="125" borderId="37" xfId="0" applyNumberFormat="1" applyFont="1" applyFill="1" applyBorder="1" applyAlignment="1">
      <x:alignment horizontal="left" vertical="top" wrapText="1"/>
    </x:xf>
    <x:xf numFmtId="0" fontId="72" fillId="125" borderId="37" xfId="0" applyNumberFormat="1" applyFont="1" applyFill="1" applyBorder="1" applyAlignment="1">
      <x:alignment horizontal="left" vertical="top" wrapText="1"/>
    </x:xf>
    <x:xf numFmtId="0" fontId="72" fillId="125" borderId="43" xfId="0" applyNumberFormat="1" applyFont="1" applyFill="1" applyBorder="1" applyAlignment="1">
      <x:alignment horizontal="left" vertical="top" wrapText="1"/>
    </x:xf>
    <x:xf numFmtId="0" fontId="75" fillId="125" borderId="43" xfId="0" applyNumberFormat="1" applyFont="1" applyFill="1" applyBorder="1" applyAlignment="1">
      <x:alignment horizontal="left" vertical="top" wrapText="1"/>
    </x:xf>
    <x:xf numFmtId="0" fontId="71" fillId="125" borderId="22" xfId="0" applyNumberFormat="1" applyFont="1" applyFill="1" applyBorder="1" applyAlignment="1">
      <x:alignment horizontal="left" vertical="top" wrapText="1"/>
    </x:xf>
    <x:xf numFmtId="0" fontId="75" fillId="125" borderId="22" xfId="0" applyNumberFormat="1" applyFont="1" applyFill="1" applyBorder="1" applyAlignment="1">
      <x:alignment horizontal="left" vertical="top" wrapText="1"/>
    </x:xf>
    <x:xf numFmtId="0" fontId="71" fillId="125" borderId="20" xfId="0" applyNumberFormat="1" applyFont="1" applyFill="1" applyBorder="1" applyAlignment="1">
      <x:alignment horizontal="left" vertical="top" wrapText="1"/>
    </x:xf>
    <x:xf numFmtId="0" fontId="75" fillId="125" borderId="20" xfId="0" applyNumberFormat="1" applyFont="1" applyFill="1" applyBorder="1" applyAlignment="1">
      <x:alignment horizontal="left" vertical="top" wrapText="1"/>
    </x:xf>
    <x:xf numFmtId="0" fontId="71" fillId="125" borderId="25" xfId="0" applyNumberFormat="1" applyFont="1" applyFill="1" applyBorder="1" applyAlignment="1">
      <x:alignment horizontal="left" vertical="top" wrapText="1"/>
    </x:xf>
    <x:xf numFmtId="0" fontId="75" fillId="125" borderId="25" xfId="0" applyNumberFormat="1" applyFont="1" applyFill="1" applyBorder="1" applyAlignment="1">
      <x:alignment horizontal="left" vertical="top" wrapText="1"/>
    </x:xf>
    <x:xf numFmtId="0" fontId="72" fillId="125" borderId="14" xfId="0" applyNumberFormat="1" applyFont="1" applyFill="1" applyBorder="1" applyAlignment="1">
      <x:alignment horizontal="left" vertical="top" wrapText="1"/>
    </x:xf>
    <x:xf numFmtId="0" fontId="75" fillId="125" borderId="14" xfId="0" applyNumberFormat="1" applyFont="1" applyFill="1" applyBorder="1" applyAlignment="1">
      <x:alignment horizontal="left" vertical="top" wrapText="1"/>
    </x:xf>
    <x:xf numFmtId="0" fontId="72" fillId="125" borderId="12" xfId="0" applyNumberFormat="1" applyFont="1" applyFill="1" applyBorder="1" applyAlignment="1">
      <x:alignment horizontal="left" vertical="top" wrapText="1"/>
    </x:xf>
    <x:xf numFmtId="0" fontId="75" fillId="125" borderId="12" xfId="0" applyNumberFormat="1" applyFont="1" applyFill="1" applyBorder="1" applyAlignment="1">
      <x:alignment horizontal="left" vertical="top" wrapText="1"/>
    </x:xf>
    <x:xf numFmtId="0" fontId="72" fillId="125" borderId="17" xfId="0" applyNumberFormat="1" applyFont="1" applyFill="1" applyBorder="1" applyAlignment="1">
      <x:alignment horizontal="left" vertical="top" wrapText="1"/>
    </x:xf>
    <x:xf numFmtId="0" fontId="75" fillId="125" borderId="17" xfId="0" applyNumberFormat="1" applyFont="1" applyFill="1" applyBorder="1" applyAlignment="1">
      <x:alignment horizontal="left" vertical="top" wrapText="1"/>
    </x:xf>
    <x:xf numFmtId="0" fontId="71" fillId="125" borderId="30" xfId="0" applyNumberFormat="1" applyFont="1" applyFill="1" applyBorder="1" applyAlignment="1">
      <x:alignment horizontal="left" vertical="top" wrapText="1"/>
    </x:xf>
    <x:xf numFmtId="0" fontId="75" fillId="125" borderId="30" xfId="0" applyNumberFormat="1" applyFont="1" applyFill="1" applyBorder="1" applyAlignment="1">
      <x:alignment horizontal="left" vertical="top" wrapText="1"/>
    </x:xf>
    <x:xf numFmtId="0" fontId="72" fillId="125" borderId="28" xfId="0" applyNumberFormat="1" applyFont="1" applyFill="1" applyBorder="1" applyAlignment="1">
      <x:alignment horizontal="left" vertical="top" wrapText="1"/>
    </x:xf>
    <x:xf numFmtId="0" fontId="75" fillId="125" borderId="28" xfId="0" applyNumberFormat="1" applyFont="1" applyFill="1" applyBorder="1" applyAlignment="1">
      <x:alignment horizontal="left" vertical="top" wrapText="1"/>
    </x:xf>
    <x:xf numFmtId="0" fontId="71" fillId="125" borderId="33" xfId="0" applyNumberFormat="1" applyFont="1" applyFill="1" applyBorder="1" applyAlignment="1">
      <x:alignment horizontal="left" vertical="top" wrapText="1"/>
    </x:xf>
    <x:xf numFmtId="0" fontId="75" fillId="125" borderId="33" xfId="0" applyNumberFormat="1" applyFont="1" applyFill="1" applyBorder="1" applyAlignment="1">
      <x:alignment horizontal="left" vertical="top" wrapText="1"/>
    </x:xf>
    <x:xf numFmtId="0" fontId="71" fillId="125" borderId="23" xfId="0" applyNumberFormat="1" applyFont="1" applyFill="1" applyBorder="1" applyAlignment="1">
      <x:alignment horizontal="left" vertical="top" wrapText="1"/>
    </x:xf>
    <x:xf numFmtId="0" fontId="75" fillId="125" borderId="23" xfId="0" applyNumberFormat="1" applyFont="1" applyFill="1" applyBorder="1" applyAlignment="1">
      <x:alignment horizontal="left" vertical="top" wrapText="1"/>
    </x:xf>
    <x:xf numFmtId="0" fontId="71" fillId="125" borderId="26" xfId="0" applyNumberFormat="1" applyFont="1" applyFill="1" applyBorder="1" applyAlignment="1">
      <x:alignment horizontal="left" vertical="top" wrapText="1"/>
    </x:xf>
    <x:xf numFmtId="0" fontId="75" fillId="125" borderId="26" xfId="0" applyNumberFormat="1" applyFont="1" applyFill="1" applyBorder="1" applyAlignment="1">
      <x:alignment horizontal="left" vertical="top" wrapText="1"/>
    </x:xf>
    <x:xf numFmtId="0" fontId="72" fillId="125" borderId="15" xfId="0" applyNumberFormat="1" applyFont="1" applyFill="1" applyBorder="1" applyAlignment="1">
      <x:alignment horizontal="left" vertical="top" wrapText="1"/>
    </x:xf>
    <x:xf numFmtId="0" fontId="75" fillId="125" borderId="15" xfId="0" applyNumberFormat="1" applyFont="1" applyFill="1" applyBorder="1" applyAlignment="1">
      <x:alignment horizontal="left" vertical="top" wrapText="1"/>
    </x:xf>
    <x:xf numFmtId="0" fontId="72" fillId="125" borderId="18" xfId="0" applyNumberFormat="1" applyFont="1" applyFill="1" applyBorder="1" applyAlignment="1">
      <x:alignment horizontal="left" vertical="top" wrapText="1"/>
    </x:xf>
    <x:xf numFmtId="0" fontId="75" fillId="125" borderId="18" xfId="0" applyNumberFormat="1" applyFont="1" applyFill="1" applyBorder="1" applyAlignment="1">
      <x:alignment horizontal="left" vertical="top" wrapText="1"/>
    </x:xf>
    <x:xf numFmtId="0" fontId="72" fillId="125" borderId="31" xfId="0" applyNumberFormat="1" applyFont="1" applyFill="1" applyBorder="1" applyAlignment="1">
      <x:alignment horizontal="left" vertical="top" wrapText="1"/>
    </x:xf>
    <x:xf numFmtId="0" fontId="75" fillId="125" borderId="31" xfId="0" applyNumberFormat="1" applyFont="1" applyFill="1" applyBorder="1" applyAlignment="1">
      <x:alignment horizontal="left" vertical="top" wrapText="1"/>
    </x:xf>
    <x:xf numFmtId="0" fontId="71" fillId="125" borderId="34" xfId="0" applyNumberFormat="1" applyFont="1" applyFill="1" applyBorder="1" applyAlignment="1">
      <x:alignment horizontal="left" vertical="top" wrapText="1"/>
    </x:xf>
    <x:xf numFmtId="0" fontId="75" fillId="125" borderId="34" xfId="0" applyNumberFormat="1" applyFont="1" applyFill="1" applyBorder="1" applyAlignment="1">
      <x:alignment horizontal="left" vertical="top" wrapText="1"/>
    </x:xf>
    <x:xf numFmtId="0" fontId="71" fillId="125" borderId="24" xfId="0" applyNumberFormat="1" applyFont="1" applyFill="1" applyBorder="1" applyAlignment="1">
      <x:alignment horizontal="left" vertical="top" wrapText="1"/>
    </x:xf>
    <x:xf numFmtId="0" fontId="75" fillId="125" borderId="24" xfId="0" applyNumberFormat="1" applyFont="1" applyFill="1" applyBorder="1" applyAlignment="1">
      <x:alignment horizontal="left" vertical="top" wrapText="1"/>
    </x:xf>
    <x:xf numFmtId="0" fontId="71" fillId="125" borderId="21" xfId="0" applyNumberFormat="1" applyFont="1" applyFill="1" applyBorder="1" applyAlignment="1">
      <x:alignment horizontal="left" vertical="top" wrapText="1"/>
    </x:xf>
    <x:xf numFmtId="0" fontId="75" fillId="125" borderId="21" xfId="0" applyNumberFormat="1" applyFont="1" applyFill="1" applyBorder="1" applyAlignment="1">
      <x:alignment horizontal="left" vertical="top" wrapText="1"/>
    </x:xf>
    <x:xf numFmtId="0" fontId="71" fillId="125" borderId="27" xfId="0" applyNumberFormat="1" applyFont="1" applyFill="1" applyBorder="1" applyAlignment="1">
      <x:alignment horizontal="left" vertical="top" wrapText="1"/>
    </x:xf>
    <x:xf numFmtId="0" fontId="75" fillId="125" borderId="27" xfId="0" applyNumberFormat="1" applyFont="1" applyFill="1" applyBorder="1" applyAlignment="1">
      <x:alignment horizontal="left" vertical="top" wrapText="1"/>
    </x:xf>
    <x:xf numFmtId="0" fontId="72" fillId="125" borderId="16" xfId="0" applyNumberFormat="1" applyFont="1" applyFill="1" applyBorder="1" applyAlignment="1">
      <x:alignment horizontal="left" vertical="top" wrapText="1"/>
    </x:xf>
    <x:xf numFmtId="0" fontId="75" fillId="125" borderId="16" xfId="0" applyNumberFormat="1" applyFont="1" applyFill="1" applyBorder="1" applyAlignment="1">
      <x:alignment horizontal="left" vertical="top" wrapText="1"/>
    </x:xf>
    <x:xf numFmtId="0" fontId="72" fillId="125" borderId="13" xfId="0" applyNumberFormat="1" applyFont="1" applyFill="1" applyBorder="1" applyAlignment="1">
      <x:alignment horizontal="left" vertical="top" wrapText="1"/>
    </x:xf>
    <x:xf numFmtId="0" fontId="75" fillId="125" borderId="13" xfId="0" applyNumberFormat="1" applyFont="1" applyFill="1" applyBorder="1" applyAlignment="1">
      <x:alignment horizontal="left" vertical="top" wrapText="1"/>
    </x:xf>
    <x:xf numFmtId="0" fontId="72" fillId="125" borderId="19" xfId="0" applyNumberFormat="1" applyFont="1" applyFill="1" applyBorder="1" applyAlignment="1">
      <x:alignment horizontal="left" vertical="top" wrapText="1"/>
    </x:xf>
    <x:xf numFmtId="0" fontId="75" fillId="125" borderId="19" xfId="0" applyNumberFormat="1" applyFont="1" applyFill="1" applyBorder="1" applyAlignment="1">
      <x:alignment horizontal="left" vertical="top" wrapText="1"/>
    </x:xf>
    <x:xf numFmtId="0" fontId="72" fillId="125" borderId="32" xfId="0" applyNumberFormat="1" applyFont="1" applyFill="1" applyBorder="1" applyAlignment="1">
      <x:alignment horizontal="left" vertical="top" wrapText="1"/>
    </x:xf>
    <x:xf numFmtId="0" fontId="75" fillId="125" borderId="32" xfId="0" applyNumberFormat="1" applyFont="1" applyFill="1" applyBorder="1" applyAlignment="1">
      <x:alignment horizontal="left" vertical="top" wrapText="1"/>
    </x:xf>
    <x:xf numFmtId="0" fontId="72" fillId="125" borderId="29" xfId="0" applyNumberFormat="1" applyFont="1" applyFill="1" applyBorder="1" applyAlignment="1">
      <x:alignment horizontal="left" vertical="top" wrapText="1"/>
    </x:xf>
    <x:xf numFmtId="0" fontId="75" fillId="125" borderId="29" xfId="0" applyNumberFormat="1" applyFont="1" applyFill="1" applyBorder="1" applyAlignment="1">
      <x:alignment horizontal="left" vertical="top" wrapText="1"/>
    </x:xf>
    <x:xf numFmtId="0" fontId="71" fillId="125" borderId="35" xfId="0" applyNumberFormat="1" applyFont="1" applyFill="1" applyBorder="1" applyAlignment="1">
      <x:alignment horizontal="left" vertical="top" wrapText="1"/>
    </x:xf>
    <x:xf numFmtId="0" fontId="75" fillId="125" borderId="35" xfId="0" applyNumberFormat="1" applyFont="1" applyFill="1" applyBorder="1" applyAlignment="1">
      <x:alignment horizontal="left" vertical="top" wrapText="1"/>
    </x:xf>
    <x:xf numFmtId="0" fontId="75" fillId="126" xfId="0" applyNumberFormat="1" applyFont="1" applyFill="1" applyBorder="0" applyAlignment="1">
      <x:alignment horizontal="left" vertical="top" wrapText="1"/>
    </x:xf>
    <x:xf numFmtId="0" fontId="75" fillId="127" borderId="30" xfId="0" applyNumberFormat="1" applyFont="1" applyFill="1" applyBorder="1" applyAlignment="1">
      <x:alignment horizontal="left" vertical="top" wrapText="1"/>
    </x:xf>
    <x:xf numFmtId="0" fontId="75" fillId="127" borderId="28" xfId="0" applyNumberFormat="1" applyFont="1" applyFill="1" applyBorder="1" applyAlignment="1">
      <x:alignment horizontal="left" vertical="top" wrapText="1"/>
    </x:xf>
    <x:xf numFmtId="0" fontId="75" fillId="128" borderId="33" xfId="0" applyNumberFormat="1" applyFont="1" applyFill="1" applyBorder="1" applyAlignment="1">
      <x:alignment horizontal="left" vertical="top" wrapText="1"/>
    </x:xf>
    <x:xf numFmtId="0" fontId="75" fillId="126" borderId="31" xfId="0" applyNumberFormat="1" applyFont="1" applyFill="1" applyBorder="1" applyAlignment="1">
      <x:alignment horizontal="left" vertical="top" wrapText="1"/>
    </x:xf>
    <x:xf numFmtId="0" fontId="75" fillId="126" borderId="34" xfId="0" applyNumberFormat="1" applyFont="1" applyFill="1" applyBorder="1" applyAlignment="1">
      <x:alignment horizontal="left" vertical="top" wrapText="1"/>
    </x:xf>
    <x:xf numFmtId="0" fontId="75" fillId="127" borderId="32" xfId="0" applyNumberFormat="1" applyFont="1" applyFill="1" applyBorder="1" applyAlignment="1">
      <x:alignment horizontal="left" vertical="top" wrapText="1"/>
    </x:xf>
    <x:xf numFmtId="0" fontId="75" fillId="127" borderId="29" xfId="0" applyNumberFormat="1" applyFont="1" applyFill="1" applyBorder="1" applyAlignment="1">
      <x:alignment horizontal="left" vertical="top" wrapText="1"/>
    </x:xf>
    <x:xf numFmtId="0" fontId="75" fillId="127" borderId="35" xfId="0" applyNumberFormat="1" applyFont="1" applyFill="1" applyBorder="1" applyAlignment="1">
      <x:alignment horizontal="left" vertical="top" wrapText="1"/>
    </x:xf>
    <x:xf numFmtId="0" fontId="75" fillId="129" xfId="0" applyNumberFormat="1" applyFont="1" applyFill="1" applyBorder="0" applyAlignment="1">
      <x:alignment horizontal="left" vertical="top" wrapText="1"/>
    </x:xf>
    <x:xf numFmtId="0" fontId="75" fillId="130" xfId="0" applyNumberFormat="1" applyFont="1" applyFill="1" applyBorder="0" applyAlignment="1">
      <x:alignment horizontal="left" vertical="top" wrapText="1"/>
    </x:xf>
    <x:xf numFmtId="0" fontId="75" fillId="131" xfId="0" applyNumberFormat="1" applyFont="1" applyFill="1" applyBorder="0" applyAlignment="1">
      <x:alignment horizontal="left" vertical="top" wrapText="1"/>
    </x:xf>
    <x:xf numFmtId="0" fontId="75" fillId="126" borderId="42" xfId="0" applyNumberFormat="1" applyFont="1" applyFill="1" applyBorder="1" applyAlignment="1">
      <x:alignment horizontal="left" vertical="top" wrapText="1"/>
    </x:xf>
    <x:xf numFmtId="0" fontId="75" fillId="132" xfId="0" applyNumberFormat="1" applyFont="1" applyFill="1" applyBorder="0" applyAlignment="1">
      <x:alignment horizontal="left" vertical="top" wrapText="1"/>
    </x:xf>
    <x:xf numFmtId="0" fontId="75" fillId="133" xfId="0" applyNumberFormat="1" applyFont="1" applyFill="1" applyBorder="0" applyAlignment="1">
      <x:alignment horizontal="left" vertical="top" wrapText="1"/>
    </x:xf>
    <x:xf numFmtId="0" fontId="75" fillId="134" xfId="0" applyNumberFormat="1" applyFont="1" applyFill="1" applyBorder="0" applyAlignment="1">
      <x:alignment horizontal="left" vertical="top" wrapText="1"/>
    </x:xf>
    <x:xf numFmtId="0" fontId="75" fillId="128" xfId="0" applyNumberFormat="1" applyFont="1" applyFill="1" applyBorder="0" applyAlignment="1">
      <x:alignment horizontal="left" vertical="top" wrapText="1"/>
    </x:xf>
    <x:xf numFmtId="0" fontId="75" fillId="129" borderId="42" xfId="0" applyNumberFormat="1" applyFont="1" applyFill="1" applyBorder="1" applyAlignment="1">
      <x:alignment horizontal="left" vertical="top" wrapText="1"/>
    </x:xf>
    <x:xf numFmtId="0" fontId="75" fillId="127" xfId="0" applyNumberFormat="1" applyFont="1" applyFill="1" applyBorder="0" applyAlignment="1">
      <x:alignment horizontal="left" vertical="top" wrapText="1"/>
    </x:xf>
    <x:xf numFmtId="0" fontId="75" fillId="126" borderId="36" xfId="0" applyNumberFormat="1" applyFont="1" applyFill="1" applyBorder="1" applyAlignment="1">
      <x:alignment horizontal="left" vertical="top" wrapText="1"/>
    </x:xf>
    <x:xf numFmtId="0" fontId="75" fillId="126" borderId="37" xfId="0" applyNumberFormat="1" applyFont="1" applyFill="1" applyBorder="1" applyAlignment="1">
      <x:alignment horizontal="left" vertical="top" wrapText="1"/>
    </x:xf>
    <x:xf numFmtId="0" fontId="75" fillId="133" borderId="39" xfId="0" applyNumberFormat="1" applyFont="1" applyFill="1" applyBorder="1" applyAlignment="1">
      <x:alignment horizontal="left" vertical="top" wrapText="1"/>
    </x:xf>
    <x:xf numFmtId="0" fontId="75" fillId="129" borderId="36" xfId="0" applyNumberFormat="1" applyFont="1" applyFill="1" applyBorder="1" applyAlignment="1">
      <x:alignment horizontal="left" vertical="top" wrapText="1"/>
    </x:xf>
    <x:xf numFmtId="0" fontId="75" fillId="129" borderId="41" xfId="0" applyNumberFormat="1" applyFont="1" applyFill="1" applyBorder="1" applyAlignment="1">
      <x:alignment horizontal="left" vertical="top" wrapText="1"/>
    </x:xf>
    <x:xf numFmtId="0" fontId="75" fillId="129" borderId="37" xfId="0" applyNumberFormat="1" applyFont="1" applyFill="1" applyBorder="1" applyAlignment="1">
      <x:alignment horizontal="left" vertical="top" wrapText="1"/>
    </x:xf>
    <x:xf numFmtId="0" fontId="75" fillId="129" borderId="43" xfId="0" applyNumberFormat="1" applyFont="1" applyFill="1" applyBorder="1" applyAlignment="1">
      <x:alignment horizontal="left" vertical="top" wrapText="1"/>
    </x:xf>
    <x:xf numFmtId="0" fontId="75" fillId="131" borderId="14" xfId="0" applyNumberFormat="1" applyFont="1" applyFill="1" applyBorder="1" applyAlignment="1">
      <x:alignment horizontal="left" vertical="top" wrapText="1"/>
    </x:xf>
    <x:xf numFmtId="0" fontId="75" fillId="131" borderId="12" xfId="0" applyNumberFormat="1" applyFont="1" applyFill="1" applyBorder="1" applyAlignment="1">
      <x:alignment horizontal="left" vertical="top" wrapText="1"/>
    </x:xf>
    <x:xf numFmtId="0" fontId="75" fillId="131" borderId="17" xfId="0" applyNumberFormat="1" applyFont="1" applyFill="1" applyBorder="1" applyAlignment="1">
      <x:alignment horizontal="left" vertical="top" wrapText="1"/>
    </x:xf>
    <x:xf numFmtId="0" fontId="75" fillId="131" borderId="15" xfId="0" applyNumberFormat="1" applyFont="1" applyFill="1" applyBorder="1" applyAlignment="1">
      <x:alignment horizontal="left" vertical="top" wrapText="1"/>
    </x:xf>
    <x:xf numFmtId="0" fontId="75" fillId="131" borderId="18" xfId="0" applyNumberFormat="1" applyFont="1" applyFill="1" applyBorder="1" applyAlignment="1">
      <x:alignment horizontal="left" vertical="top" wrapText="1"/>
    </x:xf>
    <x:xf numFmtId="0" fontId="75" fillId="131" borderId="16" xfId="0" applyNumberFormat="1" applyFont="1" applyFill="1" applyBorder="1" applyAlignment="1">
      <x:alignment horizontal="left" vertical="top" wrapText="1"/>
    </x:xf>
    <x:xf numFmtId="0" fontId="75" fillId="131" borderId="13" xfId="0" applyNumberFormat="1" applyFont="1" applyFill="1" applyBorder="1" applyAlignment="1">
      <x:alignment horizontal="left" vertical="top" wrapText="1"/>
    </x:xf>
    <x:xf numFmtId="0" fontId="75" fillId="131" borderId="19" xfId="0" applyNumberFormat="1" applyFont="1" applyFill="1" applyBorder="1" applyAlignment="1">
      <x:alignment horizontal="left" vertical="top" wrapText="1"/>
    </x:xf>
    <x:xf numFmtId="0" fontId="75" fillId="127" borderId="33" xfId="0" applyNumberFormat="1" applyFont="1" applyFill="1" applyBorder="1" applyAlignment="1">
      <x:alignment horizontal="left" vertical="top" wrapText="1"/>
    </x:xf>
    <x:xf numFmtId="0" fontId="75" fillId="127" borderId="31" xfId="0" applyNumberFormat="1" applyFont="1" applyFill="1" applyBorder="1" applyAlignment="1">
      <x:alignment horizontal="left" vertical="top" wrapText="1"/>
    </x:xf>
    <x:xf numFmtId="0" fontId="75" fillId="127" borderId="34" xfId="0" applyNumberFormat="1" applyFont="1" applyFill="1" applyBorder="1" applyAlignment="1">
      <x:alignment horizontal="left" vertical="top" wrapText="1"/>
    </x:xf>
    <x:xf numFmtId="0" fontId="0" fillId="106" borderId="0" xfId="0" applyNumberFormat="1" applyFont="1" applyFill="1" applyBorder="1"/>
    <x:xf numFmtId="0" fontId="58" fillId="106" borderId="0" xfId="0" applyNumberFormat="1" applyFont="1" applyFill="1" applyBorder="1" applyAlignment="1">
      <x:alignment horizontal="center" vertical="center"/>
    </x:xf>
    <x:xf numFmtId="0" fontId="58" fillId="106" borderId="0" xfId="0" applyNumberFormat="1" applyFont="1" applyFill="1" applyBorder="1"/>
    <x:xf numFmtId="0" fontId="58" fillId="106" borderId="0" xfId="0" applyNumberFormat="1" applyFont="1" applyFill="1" applyBorder="1" applyAlignment="1">
      <x:alignment horizontal="center"/>
    </x:xf>
    <x:xf numFmtId="0" fontId="58" fillId="135" borderId="0" xfId="0" applyNumberFormat="1" applyFont="1" applyFill="1" applyBorder="1" applyAlignment="1">
      <x:alignment horizontal="center" vertical="center"/>
    </x:xf>
    <x:xf numFmtId="0" fontId="68" fillId="136" borderId="0" xfId="0" applyNumberFormat="1" applyFont="1" applyFill="1" applyBorder="1" applyAlignment="1">
      <x:alignment horizontal="center" vertical="center" wrapText="1"/>
    </x:xf>
    <x:xf numFmtId="0" fontId="76" fillId="136" borderId="0" xfId="0" applyNumberFormat="1" applyFont="1" applyFill="1" applyBorder="1" applyAlignment="1">
      <x:alignment horizontal="center" vertical="center" wrapText="1"/>
    </x:xf>
    <x:xf numFmtId="0" fontId="69" fillId="137" xfId="0" applyNumberFormat="1" applyFont="1" applyFill="1" applyBorder="0" applyAlignment="1">
      <x:alignment horizontal="center" vertical="center" wrapText="1"/>
    </x:xf>
    <x:xf numFmtId="0" fontId="3" fillId="138" borderId="0" xfId="0" applyNumberFormat="1" applyFont="1" applyFill="1" applyBorder="1" applyAlignment="1">
      <x:alignment horizontal="center" vertical="center"/>
    </x:xf>
    <x:xf numFmtId="0" fontId="70" fillId="139" xfId="0" applyNumberFormat="1" applyFont="1" applyFill="1" applyBorder="0" applyAlignment="1">
      <x:alignment horizontal="center" vertical="center" wrapText="1"/>
    </x:xf>
    <x:xf numFmtId="0" fontId="77" fillId="139" xfId="0" applyNumberFormat="1" applyFont="1" applyFill="1" applyBorder="0" applyAlignment="1">
      <x:alignment horizontal="center" vertical="center" wrapText="1"/>
    </x:xf>
    <x:xf numFmtId="0" fontId="74" fillId="140" xfId="0" applyNumberFormat="1" applyFont="1" applyFill="1" applyBorder="0" applyAlignment="1">
      <x:alignment horizontal="left" vertical="top" wrapText="1"/>
    </x:xf>
    <x:xf numFmtId="0" fontId="78" fillId="140" xfId="0" applyNumberFormat="1" applyFont="1" applyFill="1" applyBorder="0" applyAlignment="1">
      <x:alignment horizontal="left" vertical="top" wrapText="1"/>
    </x:xf>
    <x:xf numFmtId="0" fontId="75" fillId="141" xfId="0" applyNumberFormat="1" applyFont="1" applyFill="1" applyBorder="0" applyAlignment="1">
      <x:alignment horizontal="left" vertical="top" wrapText="1"/>
    </x:xf>
    <x:xf numFmtId="0" fontId="79" fillId="141" xfId="0" applyNumberFormat="1" applyFont="1" applyFill="1" applyBorder="0" applyAlignment="1">
      <x:alignment horizontal="left" vertical="top" wrapText="1"/>
    </x:xf>
    <x:xf numFmtId="0" fontId="75" fillId="142" xfId="0" applyNumberFormat="1" applyFont="1" applyFill="1" applyBorder="0" applyAlignment="1">
      <x:alignment horizontal="left" vertical="top" wrapText="1"/>
    </x:xf>
    <x:xf numFmtId="0" fontId="79" fillId="142" xfId="0" applyNumberFormat="1" applyFont="1" applyFill="1" applyBorder="0" applyAlignment="1">
      <x:alignment horizontal="left" vertical="top" wrapText="1"/>
    </x:xf>
    <x:xf numFmtId="0" fontId="75" fillId="143" xfId="0" applyNumberFormat="1" applyFont="1" applyFill="1" applyBorder="0" applyAlignment="1">
      <x:alignment horizontal="left" vertical="top" wrapText="1"/>
    </x:xf>
    <x:xf numFmtId="0" fontId="79" fillId="143" xfId="0" applyNumberFormat="1" applyFont="1" applyFill="1" applyBorder="0" applyAlignment="1">
      <x:alignment horizontal="left" vertical="top" wrapText="1"/>
    </x:xf>
    <x:xf numFmtId="0" fontId="75" fillId="144" xfId="0" applyNumberFormat="1" applyFont="1" applyFill="1" applyBorder="0" applyAlignment="1">
      <x:alignment horizontal="left" vertical="top" wrapText="1"/>
    </x:xf>
    <x:xf numFmtId="0" fontId="79" fillId="144" xfId="0" applyNumberFormat="1" applyFont="1" applyFill="1" applyBorder="0" applyAlignment="1">
      <x:alignment horizontal="left" vertical="top" wrapText="1"/>
    </x:xf>
    <x:xf numFmtId="0" fontId="75" fillId="145" xfId="0" applyNumberFormat="1" applyFont="1" applyFill="1" applyBorder="0" applyAlignment="1">
      <x:alignment horizontal="left" vertical="top" wrapText="1"/>
    </x:xf>
    <x:xf numFmtId="0" fontId="79" fillId="145" xfId="0" applyNumberFormat="1" applyFont="1" applyFill="1" applyBorder="0" applyAlignment="1">
      <x:alignment horizontal="left" vertical="top" wrapText="1"/>
    </x:xf>
    <x:xf numFmtId="0" fontId="75" fillId="146" xfId="0" applyNumberFormat="1" applyFont="1" applyFill="1" applyBorder="0" applyAlignment="1">
      <x:alignment horizontal="left" vertical="top" wrapText="1"/>
    </x:xf>
    <x:xf numFmtId="0" fontId="79" fillId="146" xfId="0" applyNumberFormat="1" applyFont="1" applyFill="1" applyBorder="0" applyAlignment="1">
      <x:alignment horizontal="left" vertical="top" wrapText="1"/>
    </x:xf>
    <x:xf numFmtId="0" fontId="75" fillId="141" borderId="38" xfId="0" applyNumberFormat="1" applyFont="1" applyFill="1" applyBorder="1" applyAlignment="1">
      <x:alignment horizontal="left" vertical="top" wrapText="1"/>
    </x:xf>
    <x:xf numFmtId="0" fontId="79" fillId="141" borderId="38" xfId="0" applyNumberFormat="1" applyFont="1" applyFill="1" applyBorder="1" applyAlignment="1">
      <x:alignment horizontal="left" vertical="top" wrapText="1"/>
    </x:xf>
    <x:xf numFmtId="0" fontId="75" fillId="141" borderId="36" xfId="0" applyNumberFormat="1" applyFont="1" applyFill="1" applyBorder="1" applyAlignment="1">
      <x:alignment horizontal="left" vertical="top" wrapText="1"/>
    </x:xf>
    <x:xf numFmtId="0" fontId="79" fillId="141" borderId="36" xfId="0" applyNumberFormat="1" applyFont="1" applyFill="1" applyBorder="1" applyAlignment="1">
      <x:alignment horizontal="left" vertical="top" wrapText="1"/>
    </x:xf>
    <x:xf numFmtId="0" fontId="75" fillId="147" borderId="36" xfId="0" applyNumberFormat="1" applyFont="1" applyFill="1" applyBorder="1" applyAlignment="1">
      <x:alignment horizontal="left" vertical="top" wrapText="1"/>
    </x:xf>
    <x:xf numFmtId="0" fontId="79" fillId="147" borderId="36" xfId="0" applyNumberFormat="1" applyFont="1" applyFill="1" applyBorder="1" applyAlignment="1">
      <x:alignment horizontal="left" vertical="top" wrapText="1"/>
    </x:xf>
    <x:xf numFmtId="0" fontId="75" fillId="147" borderId="41" xfId="0" applyNumberFormat="1" applyFont="1" applyFill="1" applyBorder="1" applyAlignment="1">
      <x:alignment horizontal="left" vertical="top" wrapText="1"/>
    </x:xf>
    <x:xf numFmtId="0" fontId="79" fillId="147" borderId="41" xfId="0" applyNumberFormat="1" applyFont="1" applyFill="1" applyBorder="1" applyAlignment="1">
      <x:alignment horizontal="left" vertical="top" wrapText="1"/>
    </x:xf>
    <x:xf numFmtId="0" fontId="75" fillId="147" xfId="0" applyNumberFormat="1" applyFont="1" applyFill="1" applyBorder="0" applyAlignment="1">
      <x:alignment horizontal="left" vertical="top" wrapText="1"/>
    </x:xf>
    <x:xf numFmtId="0" fontId="79" fillId="147" xfId="0" applyNumberFormat="1" applyFont="1" applyFill="1" applyBorder="0" applyAlignment="1">
      <x:alignment horizontal="left" vertical="top" wrapText="1"/>
    </x:xf>
    <x:xf numFmtId="0" fontId="75" fillId="141" borderId="39" xfId="0" applyNumberFormat="1" applyFont="1" applyFill="1" applyBorder="1" applyAlignment="1">
      <x:alignment horizontal="left" vertical="top" wrapText="1"/>
    </x:xf>
    <x:xf numFmtId="0" fontId="79" fillId="141" borderId="39" xfId="0" applyNumberFormat="1" applyFont="1" applyFill="1" applyBorder="1" applyAlignment="1">
      <x:alignment horizontal="left" vertical="top" wrapText="1"/>
    </x:xf>
    <x:xf numFmtId="0" fontId="75" fillId="147" borderId="42" xfId="0" applyNumberFormat="1" applyFont="1" applyFill="1" applyBorder="1" applyAlignment="1">
      <x:alignment horizontal="left" vertical="top" wrapText="1"/>
    </x:xf>
    <x:xf numFmtId="0" fontId="79" fillId="147" borderId="42" xfId="0" applyNumberFormat="1" applyFont="1" applyFill="1" applyBorder="1" applyAlignment="1">
      <x:alignment horizontal="left" vertical="top" wrapText="1"/>
    </x:xf>
    <x:xf numFmtId="0" fontId="75" fillId="143" borderId="39" xfId="0" applyNumberFormat="1" applyFont="1" applyFill="1" applyBorder="1" applyAlignment="1">
      <x:alignment horizontal="left" vertical="top" wrapText="1"/>
    </x:xf>
    <x:xf numFmtId="0" fontId="79" fillId="143" borderId="39" xfId="0" applyNumberFormat="1" applyFont="1" applyFill="1" applyBorder="1" applyAlignment="1">
      <x:alignment horizontal="left" vertical="top" wrapText="1"/>
    </x:xf>
    <x:xf numFmtId="0" fontId="75" fillId="148" xfId="0" applyNumberFormat="1" applyFont="1" applyFill="1" applyBorder="0" applyAlignment="1">
      <x:alignment horizontal="left" vertical="top" wrapText="1"/>
    </x:xf>
    <x:xf numFmtId="0" fontId="79" fillId="148" xfId="0" applyNumberFormat="1" applyFont="1" applyFill="1" applyBorder="0" applyAlignment="1">
      <x:alignment horizontal="left" vertical="top" wrapText="1"/>
    </x:xf>
    <x:xf numFmtId="0" fontId="75" fillId="141" borderId="40" xfId="0" applyNumberFormat="1" applyFont="1" applyFill="1" applyBorder="1" applyAlignment="1">
      <x:alignment horizontal="left" vertical="top" wrapText="1"/>
    </x:xf>
    <x:xf numFmtId="0" fontId="79" fillId="141" borderId="40" xfId="0" applyNumberFormat="1" applyFont="1" applyFill="1" applyBorder="1" applyAlignment="1">
      <x:alignment horizontal="left" vertical="top" wrapText="1"/>
    </x:xf>
    <x:xf numFmtId="0" fontId="75" fillId="141" borderId="37" xfId="0" applyNumberFormat="1" applyFont="1" applyFill="1" applyBorder="1" applyAlignment="1">
      <x:alignment horizontal="left" vertical="top" wrapText="1"/>
    </x:xf>
    <x:xf numFmtId="0" fontId="79" fillId="141" borderId="37" xfId="0" applyNumberFormat="1" applyFont="1" applyFill="1" applyBorder="1" applyAlignment="1">
      <x:alignment horizontal="left" vertical="top" wrapText="1"/>
    </x:xf>
    <x:xf numFmtId="0" fontId="75" fillId="147" borderId="37" xfId="0" applyNumberFormat="1" applyFont="1" applyFill="1" applyBorder="1" applyAlignment="1">
      <x:alignment horizontal="left" vertical="top" wrapText="1"/>
    </x:xf>
    <x:xf numFmtId="0" fontId="79" fillId="147" borderId="37" xfId="0" applyNumberFormat="1" applyFont="1" applyFill="1" applyBorder="1" applyAlignment="1">
      <x:alignment horizontal="left" vertical="top" wrapText="1"/>
    </x:xf>
    <x:xf numFmtId="0" fontId="75" fillId="147" borderId="43" xfId="0" applyNumberFormat="1" applyFont="1" applyFill="1" applyBorder="1" applyAlignment="1">
      <x:alignment horizontal="left" vertical="top" wrapText="1"/>
    </x:xf>
    <x:xf numFmtId="0" fontId="79" fillId="147" borderId="43" xfId="0" applyNumberFormat="1" applyFont="1" applyFill="1" applyBorder="1" applyAlignment="1">
      <x:alignment horizontal="left" vertical="top" wrapText="1"/>
    </x:xf>
    <x:xf numFmtId="0" fontId="75" fillId="141" borderId="22" xfId="0" applyNumberFormat="1" applyFont="1" applyFill="1" applyBorder="1" applyAlignment="1">
      <x:alignment horizontal="left" vertical="top" wrapText="1"/>
    </x:xf>
    <x:xf numFmtId="0" fontId="79" fillId="141" borderId="22" xfId="0" applyNumberFormat="1" applyFont="1" applyFill="1" applyBorder="1" applyAlignment="1">
      <x:alignment horizontal="left" vertical="top" wrapText="1"/>
    </x:xf>
    <x:xf numFmtId="0" fontId="75" fillId="141" borderId="20" xfId="0" applyNumberFormat="1" applyFont="1" applyFill="1" applyBorder="1" applyAlignment="1">
      <x:alignment horizontal="left" vertical="top" wrapText="1"/>
    </x:xf>
    <x:xf numFmtId="0" fontId="79" fillId="141" borderId="20" xfId="0" applyNumberFormat="1" applyFont="1" applyFill="1" applyBorder="1" applyAlignment="1">
      <x:alignment horizontal="left" vertical="top" wrapText="1"/>
    </x:xf>
    <x:xf numFmtId="0" fontId="75" fillId="141" borderId="25" xfId="0" applyNumberFormat="1" applyFont="1" applyFill="1" applyBorder="1" applyAlignment="1">
      <x:alignment horizontal="left" vertical="top" wrapText="1"/>
    </x:xf>
    <x:xf numFmtId="0" fontId="79" fillId="141" borderId="25" xfId="0" applyNumberFormat="1" applyFont="1" applyFill="1" applyBorder="1" applyAlignment="1">
      <x:alignment horizontal="left" vertical="top" wrapText="1"/>
    </x:xf>
    <x:xf numFmtId="0" fontId="75" fillId="149" borderId="14" xfId="0" applyNumberFormat="1" applyFont="1" applyFill="1" applyBorder="1" applyAlignment="1">
      <x:alignment horizontal="left" vertical="top" wrapText="1"/>
    </x:xf>
    <x:xf numFmtId="0" fontId="79" fillId="149" borderId="14" xfId="0" applyNumberFormat="1" applyFont="1" applyFill="1" applyBorder="1" applyAlignment="1">
      <x:alignment horizontal="left" vertical="top" wrapText="1"/>
    </x:xf>
    <x:xf numFmtId="0" fontId="75" fillId="149" borderId="12" xfId="0" applyNumberFormat="1" applyFont="1" applyFill="1" applyBorder="1" applyAlignment="1">
      <x:alignment horizontal="left" vertical="top" wrapText="1"/>
    </x:xf>
    <x:xf numFmtId="0" fontId="79" fillId="149" borderId="12" xfId="0" applyNumberFormat="1" applyFont="1" applyFill="1" applyBorder="1" applyAlignment="1">
      <x:alignment horizontal="left" vertical="top" wrapText="1"/>
    </x:xf>
    <x:xf numFmtId="0" fontId="75" fillId="149" borderId="17" xfId="0" applyNumberFormat="1" applyFont="1" applyFill="1" applyBorder="1" applyAlignment="1">
      <x:alignment horizontal="left" vertical="top" wrapText="1"/>
    </x:xf>
    <x:xf numFmtId="0" fontId="79" fillId="149" borderId="17" xfId="0" applyNumberFormat="1" applyFont="1" applyFill="1" applyBorder="1" applyAlignment="1">
      <x:alignment horizontal="left" vertical="top" wrapText="1"/>
    </x:xf>
    <x:xf numFmtId="0" fontId="75" fillId="142" borderId="30" xfId="0" applyNumberFormat="1" applyFont="1" applyFill="1" applyBorder="1" applyAlignment="1">
      <x:alignment horizontal="left" vertical="top" wrapText="1"/>
    </x:xf>
    <x:xf numFmtId="0" fontId="79" fillId="142" borderId="30" xfId="0" applyNumberFormat="1" applyFont="1" applyFill="1" applyBorder="1" applyAlignment="1">
      <x:alignment horizontal="left" vertical="top" wrapText="1"/>
    </x:xf>
    <x:xf numFmtId="0" fontId="75" fillId="142" borderId="28" xfId="0" applyNumberFormat="1" applyFont="1" applyFill="1" applyBorder="1" applyAlignment="1">
      <x:alignment horizontal="left" vertical="top" wrapText="1"/>
    </x:xf>
    <x:xf numFmtId="0" fontId="79" fillId="142" borderId="28" xfId="0" applyNumberFormat="1" applyFont="1" applyFill="1" applyBorder="1" applyAlignment="1">
      <x:alignment horizontal="left" vertical="top" wrapText="1"/>
    </x:xf>
    <x:xf numFmtId="0" fontId="75" fillId="142" borderId="33" xfId="0" applyNumberFormat="1" applyFont="1" applyFill="1" applyBorder="1" applyAlignment="1">
      <x:alignment horizontal="left" vertical="top" wrapText="1"/>
    </x:xf>
    <x:xf numFmtId="0" fontId="79" fillId="142" borderId="33" xfId="0" applyNumberFormat="1" applyFont="1" applyFill="1" applyBorder="1" applyAlignment="1">
      <x:alignment horizontal="left" vertical="top" wrapText="1"/>
    </x:xf>
    <x:xf numFmtId="0" fontId="75" fillId="149" xfId="0" applyNumberFormat="1" applyFont="1" applyFill="1" applyBorder="0" applyAlignment="1">
      <x:alignment horizontal="left" vertical="top" wrapText="1"/>
    </x:xf>
    <x:xf numFmtId="0" fontId="79" fillId="149" xfId="0" applyNumberFormat="1" applyFont="1" applyFill="1" applyBorder="0" applyAlignment="1">
      <x:alignment horizontal="left" vertical="top" wrapText="1"/>
    </x:xf>
    <x:xf numFmtId="0" fontId="75" fillId="141" borderId="23" xfId="0" applyNumberFormat="1" applyFont="1" applyFill="1" applyBorder="1" applyAlignment="1">
      <x:alignment horizontal="left" vertical="top" wrapText="1"/>
    </x:xf>
    <x:xf numFmtId="0" fontId="79" fillId="141" borderId="23" xfId="0" applyNumberFormat="1" applyFont="1" applyFill="1" applyBorder="1" applyAlignment="1">
      <x:alignment horizontal="left" vertical="top" wrapText="1"/>
    </x:xf>
    <x:xf numFmtId="0" fontId="75" fillId="141" borderId="26" xfId="0" applyNumberFormat="1" applyFont="1" applyFill="1" applyBorder="1" applyAlignment="1">
      <x:alignment horizontal="left" vertical="top" wrapText="1"/>
    </x:xf>
    <x:xf numFmtId="0" fontId="79" fillId="141" borderId="26" xfId="0" applyNumberFormat="1" applyFont="1" applyFill="1" applyBorder="1" applyAlignment="1">
      <x:alignment horizontal="left" vertical="top" wrapText="1"/>
    </x:xf>
    <x:xf numFmtId="0" fontId="75" fillId="149" borderId="15" xfId="0" applyNumberFormat="1" applyFont="1" applyFill="1" applyBorder="1" applyAlignment="1">
      <x:alignment horizontal="left" vertical="top" wrapText="1"/>
    </x:xf>
    <x:xf numFmtId="0" fontId="79" fillId="149" borderId="15" xfId="0" applyNumberFormat="1" applyFont="1" applyFill="1" applyBorder="1" applyAlignment="1">
      <x:alignment horizontal="left" vertical="top" wrapText="1"/>
    </x:xf>
    <x:xf numFmtId="0" fontId="75" fillId="149" borderId="18" xfId="0" applyNumberFormat="1" applyFont="1" applyFill="1" applyBorder="1" applyAlignment="1">
      <x:alignment horizontal="left" vertical="top" wrapText="1"/>
    </x:xf>
    <x:xf numFmtId="0" fontId="79" fillId="149" borderId="18" xfId="0" applyNumberFormat="1" applyFont="1" applyFill="1" applyBorder="1" applyAlignment="1">
      <x:alignment horizontal="left" vertical="top" wrapText="1"/>
    </x:xf>
    <x:xf numFmtId="0" fontId="75" fillId="142" borderId="31" xfId="0" applyNumberFormat="1" applyFont="1" applyFill="1" applyBorder="1" applyAlignment="1">
      <x:alignment horizontal="left" vertical="top" wrapText="1"/>
    </x:xf>
    <x:xf numFmtId="0" fontId="79" fillId="142" borderId="31" xfId="0" applyNumberFormat="1" applyFont="1" applyFill="1" applyBorder="1" applyAlignment="1">
      <x:alignment horizontal="left" vertical="top" wrapText="1"/>
    </x:xf>
    <x:xf numFmtId="0" fontId="75" fillId="142" borderId="34" xfId="0" applyNumberFormat="1" applyFont="1" applyFill="1" applyBorder="1" applyAlignment="1">
      <x:alignment horizontal="left" vertical="top" wrapText="1"/>
    </x:xf>
    <x:xf numFmtId="0" fontId="79" fillId="142" borderId="34" xfId="0" applyNumberFormat="1" applyFont="1" applyFill="1" applyBorder="1" applyAlignment="1">
      <x:alignment horizontal="left" vertical="top" wrapText="1"/>
    </x:xf>
    <x:xf numFmtId="0" fontId="75" fillId="150" xfId="0" applyNumberFormat="1" applyFont="1" applyFill="1" applyBorder="0" applyAlignment="1">
      <x:alignment horizontal="left" vertical="top" wrapText="1"/>
    </x:xf>
    <x:xf numFmtId="0" fontId="79" fillId="150" xfId="0" applyNumberFormat="1" applyFont="1" applyFill="1" applyBorder="0" applyAlignment="1">
      <x:alignment horizontal="left" vertical="top" wrapText="1"/>
    </x:xf>
    <x:xf numFmtId="0" fontId="75" fillId="141" borderId="24" xfId="0" applyNumberFormat="1" applyFont="1" applyFill="1" applyBorder="1" applyAlignment="1">
      <x:alignment horizontal="left" vertical="top" wrapText="1"/>
    </x:xf>
    <x:xf numFmtId="0" fontId="79" fillId="141" borderId="24" xfId="0" applyNumberFormat="1" applyFont="1" applyFill="1" applyBorder="1" applyAlignment="1">
      <x:alignment horizontal="left" vertical="top" wrapText="1"/>
    </x:xf>
    <x:xf numFmtId="0" fontId="75" fillId="141" borderId="21" xfId="0" applyNumberFormat="1" applyFont="1" applyFill="1" applyBorder="1" applyAlignment="1">
      <x:alignment horizontal="left" vertical="top" wrapText="1"/>
    </x:xf>
    <x:xf numFmtId="0" fontId="79" fillId="141" borderId="21" xfId="0" applyNumberFormat="1" applyFont="1" applyFill="1" applyBorder="1" applyAlignment="1">
      <x:alignment horizontal="left" vertical="top" wrapText="1"/>
    </x:xf>
    <x:xf numFmtId="0" fontId="75" fillId="141" borderId="27" xfId="0" applyNumberFormat="1" applyFont="1" applyFill="1" applyBorder="1" applyAlignment="1">
      <x:alignment horizontal="left" vertical="top" wrapText="1"/>
    </x:xf>
    <x:xf numFmtId="0" fontId="79" fillId="141" borderId="27" xfId="0" applyNumberFormat="1" applyFont="1" applyFill="1" applyBorder="1" applyAlignment="1">
      <x:alignment horizontal="left" vertical="top" wrapText="1"/>
    </x:xf>
    <x:xf numFmtId="0" fontId="75" fillId="149" borderId="16" xfId="0" applyNumberFormat="1" applyFont="1" applyFill="1" applyBorder="1" applyAlignment="1">
      <x:alignment horizontal="left" vertical="top" wrapText="1"/>
    </x:xf>
    <x:xf numFmtId="0" fontId="79" fillId="149" borderId="16" xfId="0" applyNumberFormat="1" applyFont="1" applyFill="1" applyBorder="1" applyAlignment="1">
      <x:alignment horizontal="left" vertical="top" wrapText="1"/>
    </x:xf>
    <x:xf numFmtId="0" fontId="75" fillId="149" borderId="13" xfId="0" applyNumberFormat="1" applyFont="1" applyFill="1" applyBorder="1" applyAlignment="1">
      <x:alignment horizontal="left" vertical="top" wrapText="1"/>
    </x:xf>
    <x:xf numFmtId="0" fontId="79" fillId="149" borderId="13" xfId="0" applyNumberFormat="1" applyFont="1" applyFill="1" applyBorder="1" applyAlignment="1">
      <x:alignment horizontal="left" vertical="top" wrapText="1"/>
    </x:xf>
    <x:xf numFmtId="0" fontId="75" fillId="149" borderId="19" xfId="0" applyNumberFormat="1" applyFont="1" applyFill="1" applyBorder="1" applyAlignment="1">
      <x:alignment horizontal="left" vertical="top" wrapText="1"/>
    </x:xf>
    <x:xf numFmtId="0" fontId="79" fillId="149" borderId="19" xfId="0" applyNumberFormat="1" applyFont="1" applyFill="1" applyBorder="1" applyAlignment="1">
      <x:alignment horizontal="left" vertical="top" wrapText="1"/>
    </x:xf>
    <x:xf numFmtId="0" fontId="75" fillId="142" borderId="32" xfId="0" applyNumberFormat="1" applyFont="1" applyFill="1" applyBorder="1" applyAlignment="1">
      <x:alignment horizontal="left" vertical="top" wrapText="1"/>
    </x:xf>
    <x:xf numFmtId="0" fontId="79" fillId="142" borderId="32" xfId="0" applyNumberFormat="1" applyFont="1" applyFill="1" applyBorder="1" applyAlignment="1">
      <x:alignment horizontal="left" vertical="top" wrapText="1"/>
    </x:xf>
    <x:xf numFmtId="0" fontId="75" fillId="142" borderId="29" xfId="0" applyNumberFormat="1" applyFont="1" applyFill="1" applyBorder="1" applyAlignment="1">
      <x:alignment horizontal="left" vertical="top" wrapText="1"/>
    </x:xf>
    <x:xf numFmtId="0" fontId="79" fillId="142" borderId="29" xfId="0" applyNumberFormat="1" applyFont="1" applyFill="1" applyBorder="1" applyAlignment="1">
      <x:alignment horizontal="left" vertical="top" wrapText="1"/>
    </x:xf>
    <x:xf numFmtId="0" fontId="75" fillId="142" borderId="35" xfId="0" applyNumberFormat="1" applyFont="1" applyFill="1" applyBorder="1" applyAlignment="1">
      <x:alignment horizontal="left" vertical="top" wrapText="1"/>
    </x:xf>
    <x:xf numFmtId="0" fontId="79" fillId="142" borderId="35" xfId="0" applyNumberFormat="1" applyFont="1" applyFill="1" applyBorder="1" applyAlignment="1">
      <x:alignment horizontal="left" vertical="top" wrapText="1"/>
    </x:xf>
    <x:xf numFmtId="0" fontId="75" fillId="151" xfId="0" applyNumberFormat="1" applyFont="1" applyFill="1" applyBorder="0" applyAlignment="1">
      <x:alignment horizontal="left" vertical="top" wrapText="1"/>
    </x:xf>
    <x:xf numFmtId="0" fontId="79" fillId="151" xfId="0" applyNumberFormat="1" applyFont="1" applyFill="1" applyBorder="0" applyAlignment="1">
      <x:alignment horizontal="left" vertical="top" wrapText="1"/>
    </x:xf>
    <x:xf numFmtId="0" fontId="79" fillId="152" xfId="0" applyNumberFormat="1" applyFont="1" applyFill="1" applyBorder="0" applyAlignment="1">
      <x:alignment horizontal="left" vertical="top" wrapText="1"/>
    </x:xf>
    <x:xf numFmtId="0" fontId="79" fillId="152" borderId="42" xfId="0" applyNumberFormat="1" applyFont="1" applyFill="1" applyBorder="1" applyAlignment="1">
      <x:alignment horizontal="left" vertical="top" wrapText="1"/>
    </x:xf>
    <x:xf numFmtId="0" fontId="79" fillId="145" borderId="44" xfId="0" applyNumberFormat="1" applyFont="1" applyFill="1" applyBorder="1" applyAlignment="1">
      <x:alignment horizontal="left" vertical="top" wrapText="1"/>
    </x:xf>
    <x:xf numFmtId="0" fontId="79" fillId="145" borderId="45" xfId="0" applyNumberFormat="1" applyFont="1" applyFill="1" applyBorder="1" applyAlignment="1">
      <x:alignment horizontal="left" vertical="top" wrapText="1"/>
    </x:xf>
    <x:xf numFmtId="0" fontId="79" fillId="143" borderId="45" xfId="0" applyNumberFormat="1" applyFont="1" applyFill="1" applyBorder="1" applyAlignment="1">
      <x:alignment horizontal="left" vertical="top" wrapText="1"/>
    </x:xf>
    <x:xf numFmtId="0" fontId="79" fillId="146" borderId="44" xfId="0" applyNumberFormat="1" applyFont="1" applyFill="1" applyBorder="1" applyAlignment="1">
      <x:alignment horizontal="left" vertical="top" wrapText="1"/>
    </x:xf>
    <x:xf numFmtId="0" fontId="79" fillId="147" borderId="46" xfId="0" applyNumberFormat="1" applyFont="1" applyFill="1" applyBorder="1" applyAlignment="1">
      <x:alignment horizontal="left" vertical="top" wrapText="1"/>
    </x:xf>
    <x:xf numFmtId="0" fontId="79" fillId="147" borderId="47" xfId="0" applyNumberFormat="1" applyFont="1" applyFill="1" applyBorder="1" applyAlignment="1">
      <x:alignment horizontal="left" vertical="top" wrapText="1"/>
    </x:xf>
    <x:xf numFmtId="0" fontId="79" fillId="147" borderId="48" xfId="0" applyNumberFormat="1" applyFont="1" applyFill="1" applyBorder="1" applyAlignment="1">
      <x:alignment horizontal="left" vertical="top" wrapText="1"/>
    </x:xf>
    <x:xf numFmtId="0" fontId="79" fillId="149" borderId="45" xfId="0" applyNumberFormat="1" applyFont="1" applyFill="1" applyBorder="1" applyAlignment="1">
      <x:alignment horizontal="left" vertical="top" wrapText="1"/>
    </x:xf>
    <x:xf numFmtId="0" fontId="79" fillId="149" borderId="44" xfId="0" applyNumberFormat="1" applyFont="1" applyFill="1" applyBorder="1" applyAlignment="1">
      <x:alignment horizontal="left" vertical="top" wrapText="1"/>
    </x:xf>
    <x:xf numFmtId="0" fontId="79" fillId="152" borderId="45" xfId="0" applyNumberFormat="1" applyFont="1" applyFill="1" applyBorder="1" applyAlignment="1">
      <x:alignment horizontal="left" vertical="top" wrapText="1"/>
    </x:xf>
    <x:xf numFmtId="0" fontId="79" fillId="152" borderId="44" xfId="0" applyNumberFormat="1" applyFont="1" applyFill="1" applyBorder="1" applyAlignment="1">
      <x:alignment horizontal="left" vertical="top" wrapText="1"/>
    </x:xf>
    <x:xf numFmtId="0" fontId="79" fillId="142" borderId="49" xfId="0" applyNumberFormat="1" applyFont="1" applyFill="1" applyBorder="1" applyAlignment="1">
      <x:alignment horizontal="left" vertical="top" wrapText="1"/>
    </x:xf>
    <x:xf numFmtId="0" fontId="79" fillId="149" borderId="49" xfId="0" applyNumberFormat="1" applyFont="1" applyFill="1" applyBorder="1" applyAlignment="1">
      <x:alignment horizontal="left" vertical="top" wrapText="1"/>
    </x:xf>
    <x:xf numFmtId="0" fontId="79" fillId="151" borderId="49" xfId="0" applyNumberFormat="1" applyFont="1" applyFill="1" applyBorder="1" applyAlignment="1">
      <x:alignment horizontal="left" vertical="top" wrapText="1"/>
    </x:xf>
    <x:xf numFmtId="0" fontId="79" fillId="147" borderId="49" xfId="0" applyNumberFormat="1" applyFont="1" applyFill="1" applyBorder="1" applyAlignment="1">
      <x:alignment horizontal="left" vertical="top" wrapText="1"/>
    </x:xf>
    <x:xf numFmtId="0" fontId="79" fillId="147" borderId="50" xfId="0" applyNumberFormat="1" applyFont="1" applyFill="1" applyBorder="1" applyAlignment="1">
      <x:alignment horizontal="left" vertical="top" wrapText="1"/>
    </x:xf>
    <x:xf numFmtId="0" fontId="79" fillId="147" borderId="51" xfId="0" applyNumberFormat="1" applyFont="1" applyFill="1" applyBorder="1" applyAlignment="1">
      <x:alignment horizontal="left" vertical="top" wrapText="1"/>
    </x:xf>
    <x:xf numFmtId="0" fontId="79" fillId="147" borderId="52" xfId="0" applyNumberFormat="1" applyFont="1" applyFill="1" applyBorder="1" applyAlignment="1">
      <x:alignment horizontal="left" vertical="top" wrapText="1"/>
    </x:xf>
    <x:xf numFmtId="0" fontId="79" fillId="147" borderId="53" xfId="0" applyNumberFormat="1" applyFont="1" applyFill="1" applyBorder="1" applyAlignment="1">
      <x:alignment horizontal="left" vertical="top" wrapText="1"/>
    </x:xf>
    <x:xf numFmtId="0" fontId="79" fillId="147" borderId="54" xfId="0" applyNumberFormat="1" applyFont="1" applyFill="1" applyBorder="1" applyAlignment="1">
      <x:alignment horizontal="left" vertical="top" wrapText="1"/>
    </x:xf>
    <x:xf numFmtId="0" fontId="79" fillId="147" borderId="55" xfId="0" applyNumberFormat="1" applyFont="1" applyFill="1" applyBorder="1" applyAlignment="1">
      <x:alignment horizontal="left" vertical="top" wrapText="1"/>
    </x:xf>
    <x:xf numFmtId="0" fontId="79" fillId="147" borderId="56" xfId="0" applyNumberFormat="1" applyFont="1" applyFill="1" applyBorder="1" applyAlignment="1">
      <x:alignment horizontal="left" vertical="top" wrapText="1"/>
    </x:xf>
    <x:xf numFmtId="0" fontId="79" fillId="147" borderId="57" xfId="0" applyNumberFormat="1" applyFont="1" applyFill="1" applyBorder="1" applyAlignment="1">
      <x:alignment horizontal="left" vertical="top" wrapText="1"/>
    </x:xf>
    <x:xf numFmtId="0" fontId="79" fillId="147" borderId="58" xfId="0" applyNumberFormat="1" applyFont="1" applyFill="1" applyBorder="1" applyAlignment="1">
      <x:alignment horizontal="left" vertical="top" wrapText="1"/>
    </x:xf>
    <x:xf numFmtId="0" fontId="79" fillId="147" borderId="59" xfId="0" applyNumberFormat="1" applyFont="1" applyFill="1" applyBorder="1" applyAlignment="1">
      <x:alignment horizontal="left" vertical="top" wrapText="1"/>
    </x:xf>
    <x:xf numFmtId="0" fontId="79" fillId="127" xfId="0" applyNumberFormat="1" applyFont="1" applyFill="1" applyBorder="0" applyAlignment="1">
      <x:alignment horizontal="left" vertical="top" wrapText="1"/>
    </x:xf>
    <x:xf numFmtId="0" fontId="79" fillId="133" xfId="0" applyNumberFormat="1" applyFont="1" applyFill="1" applyBorder="0" applyAlignment="1">
      <x:alignment horizontal="left" vertical="top" wrapText="1"/>
    </x:xf>
    <x:xf numFmtId="0" fontId="79" fillId="134" xfId="0" applyNumberFormat="1" applyFont="1" applyFill="1" applyBorder="0" applyAlignment="1">
      <x:alignment horizontal="left" vertical="top" wrapText="1"/>
    </x:xf>
    <x:xf numFmtId="0" fontId="79" fillId="128" xfId="0" applyNumberFormat="1" applyFont="1" applyFill="1" applyBorder="0" applyAlignment="1">
      <x:alignment horizontal="left" vertical="top" wrapText="1"/>
    </x:xf>
    <x:xf numFmtId="0" fontId="79" fillId="129" borderId="36" xfId="0" applyNumberFormat="1" applyFont="1" applyFill="1" applyBorder="1" applyAlignment="1">
      <x:alignment horizontal="left" vertical="top" wrapText="1"/>
    </x:xf>
    <x:xf numFmtId="0" fontId="79" fillId="129" borderId="41" xfId="0" applyNumberFormat="1" applyFont="1" applyFill="1" applyBorder="1" applyAlignment="1">
      <x:alignment horizontal="left" vertical="top" wrapText="1"/>
    </x:xf>
    <x:xf numFmtId="0" fontId="79" fillId="129" xfId="0" applyNumberFormat="1" applyFont="1" applyFill="1" applyBorder="0" applyAlignment="1">
      <x:alignment horizontal="left" vertical="top" wrapText="1"/>
    </x:xf>
    <x:xf numFmtId="0" fontId="79" fillId="129" borderId="42" xfId="0" applyNumberFormat="1" applyFont="1" applyFill="1" applyBorder="1" applyAlignment="1">
      <x:alignment horizontal="left" vertical="top" wrapText="1"/>
    </x:xf>
    <x:xf numFmtId="0" fontId="79" fillId="133" borderId="39" xfId="0" applyNumberFormat="1" applyFont="1" applyFill="1" applyBorder="1" applyAlignment="1">
      <x:alignment horizontal="left" vertical="top" wrapText="1"/>
    </x:xf>
    <x:xf numFmtId="0" fontId="79" fillId="132" xfId="0" applyNumberFormat="1" applyFont="1" applyFill="1" applyBorder="0" applyAlignment="1">
      <x:alignment horizontal="left" vertical="top" wrapText="1"/>
    </x:xf>
    <x:xf numFmtId="0" fontId="79" fillId="129" borderId="37" xfId="0" applyNumberFormat="1" applyFont="1" applyFill="1" applyBorder="1" applyAlignment="1">
      <x:alignment horizontal="left" vertical="top" wrapText="1"/>
    </x:xf>
    <x:xf numFmtId="0" fontId="79" fillId="129" borderId="43" xfId="0" applyNumberFormat="1" applyFont="1" applyFill="1" applyBorder="1" applyAlignment="1">
      <x:alignment horizontal="left" vertical="top" wrapText="1"/>
    </x:xf>
    <x:xf numFmtId="0" fontId="79" fillId="131" borderId="14" xfId="0" applyNumberFormat="1" applyFont="1" applyFill="1" applyBorder="1" applyAlignment="1">
      <x:alignment horizontal="left" vertical="top" wrapText="1"/>
    </x:xf>
    <x:xf numFmtId="0" fontId="79" fillId="131" borderId="12" xfId="0" applyNumberFormat="1" applyFont="1" applyFill="1" applyBorder="1" applyAlignment="1">
      <x:alignment horizontal="left" vertical="top" wrapText="1"/>
    </x:xf>
    <x:xf numFmtId="0" fontId="79" fillId="131" borderId="17" xfId="0" applyNumberFormat="1" applyFont="1" applyFill="1" applyBorder="1" applyAlignment="1">
      <x:alignment horizontal="left" vertical="top" wrapText="1"/>
    </x:xf>
    <x:xf numFmtId="0" fontId="79" fillId="127" borderId="30" xfId="0" applyNumberFormat="1" applyFont="1" applyFill="1" applyBorder="1" applyAlignment="1">
      <x:alignment horizontal="left" vertical="top" wrapText="1"/>
    </x:xf>
    <x:xf numFmtId="0" fontId="79" fillId="127" borderId="28" xfId="0" applyNumberFormat="1" applyFont="1" applyFill="1" applyBorder="1" applyAlignment="1">
      <x:alignment horizontal="left" vertical="top" wrapText="1"/>
    </x:xf>
    <x:xf numFmtId="0" fontId="79" fillId="127" borderId="33" xfId="0" applyNumberFormat="1" applyFont="1" applyFill="1" applyBorder="1" applyAlignment="1">
      <x:alignment horizontal="left" vertical="top" wrapText="1"/>
    </x:xf>
    <x:xf numFmtId="0" fontId="79" fillId="131" xfId="0" applyNumberFormat="1" applyFont="1" applyFill="1" applyBorder="0" applyAlignment="1">
      <x:alignment horizontal="left" vertical="top" wrapText="1"/>
    </x:xf>
    <x:xf numFmtId="0" fontId="79" fillId="131" borderId="15" xfId="0" applyNumberFormat="1" applyFont="1" applyFill="1" applyBorder="1" applyAlignment="1">
      <x:alignment horizontal="left" vertical="top" wrapText="1"/>
    </x:xf>
    <x:xf numFmtId="0" fontId="79" fillId="131" borderId="18" xfId="0" applyNumberFormat="1" applyFont="1" applyFill="1" applyBorder="1" applyAlignment="1">
      <x:alignment horizontal="left" vertical="top" wrapText="1"/>
    </x:xf>
    <x:xf numFmtId="0" fontId="79" fillId="127" borderId="31" xfId="0" applyNumberFormat="1" applyFont="1" applyFill="1" applyBorder="1" applyAlignment="1">
      <x:alignment horizontal="left" vertical="top" wrapText="1"/>
    </x:xf>
    <x:xf numFmtId="0" fontId="79" fillId="127" borderId="34" xfId="0" applyNumberFormat="1" applyFont="1" applyFill="1" applyBorder="1" applyAlignment="1">
      <x:alignment horizontal="left" vertical="top" wrapText="1"/>
    </x:xf>
    <x:xf numFmtId="0" fontId="79" fillId="130" xfId="0" applyNumberFormat="1" applyFont="1" applyFill="1" applyBorder="0" applyAlignment="1">
      <x:alignment horizontal="left" vertical="top" wrapText="1"/>
    </x:xf>
    <x:xf numFmtId="0" fontId="79" fillId="131" borderId="16" xfId="0" applyNumberFormat="1" applyFont="1" applyFill="1" applyBorder="1" applyAlignment="1">
      <x:alignment horizontal="left" vertical="top" wrapText="1"/>
    </x:xf>
    <x:xf numFmtId="0" fontId="79" fillId="131" borderId="13" xfId="0" applyNumberFormat="1" applyFont="1" applyFill="1" applyBorder="1" applyAlignment="1">
      <x:alignment horizontal="left" vertical="top" wrapText="1"/>
    </x:xf>
    <x:xf numFmtId="0" fontId="79" fillId="131" borderId="19" xfId="0" applyNumberFormat="1" applyFont="1" applyFill="1" applyBorder="1" applyAlignment="1">
      <x:alignment horizontal="left" vertical="top" wrapText="1"/>
    </x:xf>
    <x:xf numFmtId="0" fontId="79" fillId="127" borderId="32" xfId="0" applyNumberFormat="1" applyFont="1" applyFill="1" applyBorder="1" applyAlignment="1">
      <x:alignment horizontal="left" vertical="top" wrapText="1"/>
    </x:xf>
    <x:xf numFmtId="0" fontId="79" fillId="127" borderId="29" xfId="0" applyNumberFormat="1" applyFont="1" applyFill="1" applyBorder="1" applyAlignment="1">
      <x:alignment horizontal="left" vertical="top" wrapText="1"/>
    </x:xf>
    <x:xf numFmtId="0" fontId="79" fillId="127" borderId="35" xfId="0" applyNumberFormat="1" applyFont="1" applyFill="1" applyBorder="1" applyAlignment="1">
      <x:alignment horizontal="left" vertical="top" wrapText="1"/>
    </x:xf>
    <x:xf numFmtId="0" fontId="79" fillId="128" borderId="44" xfId="0" applyNumberFormat="1" applyFont="1" applyFill="1" applyBorder="1" applyAlignment="1">
      <x:alignment horizontal="left" vertical="top" wrapText="1"/>
    </x:xf>
    <x:xf numFmtId="0" fontId="79" fillId="128" borderId="45" xfId="0" applyNumberFormat="1" applyFont="1" applyFill="1" applyBorder="1" applyAlignment="1">
      <x:alignment horizontal="left" vertical="top" wrapText="1"/>
    </x:xf>
    <x:xf numFmtId="0" fontId="79" fillId="133" borderId="45" xfId="0" applyNumberFormat="1" applyFont="1" applyFill="1" applyBorder="1" applyAlignment="1">
      <x:alignment horizontal="left" vertical="top" wrapText="1"/>
    </x:xf>
    <x:xf numFmtId="0" fontId="79" fillId="129" borderId="46" xfId="0" applyNumberFormat="1" applyFont="1" applyFill="1" applyBorder="1" applyAlignment="1">
      <x:alignment horizontal="left" vertical="top" wrapText="1"/>
    </x:xf>
    <x:xf numFmtId="0" fontId="79" fillId="129" borderId="47" xfId="0" applyNumberFormat="1" applyFont="1" applyFill="1" applyBorder="1" applyAlignment="1">
      <x:alignment horizontal="left" vertical="top" wrapText="1"/>
    </x:xf>
    <x:xf numFmtId="0" fontId="79" fillId="129" borderId="48" xfId="0" applyNumberFormat="1" applyFont="1" applyFill="1" applyBorder="1" applyAlignment="1">
      <x:alignment horizontal="left" vertical="top" wrapText="1"/>
    </x:xf>
    <x:xf numFmtId="0" fontId="79" fillId="131" borderId="45" xfId="0" applyNumberFormat="1" applyFont="1" applyFill="1" applyBorder="1" applyAlignment="1">
      <x:alignment horizontal="left" vertical="top" wrapText="1"/>
    </x:xf>
    <x:xf numFmtId="0" fontId="79" fillId="131" borderId="44" xfId="0" applyNumberFormat="1" applyFont="1" applyFill="1" applyBorder="1" applyAlignment="1">
      <x:alignment horizontal="left" vertical="top" wrapText="1"/>
    </x:xf>
    <x:xf numFmtId="0" fontId="79" fillId="127" borderId="49" xfId="0" applyNumberFormat="1" applyFont="1" applyFill="1" applyBorder="1" applyAlignment="1">
      <x:alignment horizontal="left" vertical="top" wrapText="1"/>
    </x:xf>
    <x:xf numFmtId="0" fontId="79" fillId="131" borderId="49" xfId="0" applyNumberFormat="1" applyFont="1" applyFill="1" applyBorder="1" applyAlignment="1">
      <x:alignment horizontal="left" vertical="top" wrapText="1"/>
    </x:xf>
    <x:xf numFmtId="0" fontId="79" fillId="129" borderId="49" xfId="0" applyNumberFormat="1" applyFont="1" applyFill="1" applyBorder="1" applyAlignment="1">
      <x:alignment horizontal="left" vertical="top" wrapText="1"/>
    </x:xf>
    <x:xf numFmtId="0" fontId="79" fillId="129" borderId="50" xfId="0" applyNumberFormat="1" applyFont="1" applyFill="1" applyBorder="1" applyAlignment="1">
      <x:alignment horizontal="left" vertical="top" wrapText="1"/>
    </x:xf>
    <x:xf numFmtId="0" fontId="79" fillId="129" borderId="51" xfId="0" applyNumberFormat="1" applyFont="1" applyFill="1" applyBorder="1" applyAlignment="1">
      <x:alignment horizontal="left" vertical="top" wrapText="1"/>
    </x:xf>
    <x:xf numFmtId="0" fontId="79" fillId="129" borderId="52" xfId="0" applyNumberFormat="1" applyFont="1" applyFill="1" applyBorder="1" applyAlignment="1">
      <x:alignment horizontal="left" vertical="top" wrapText="1"/>
    </x:xf>
    <x:xf numFmtId="0" fontId="79" fillId="129" borderId="53" xfId="0" applyNumberFormat="1" applyFont="1" applyFill="1" applyBorder="1" applyAlignment="1">
      <x:alignment horizontal="left" vertical="top" wrapText="1"/>
    </x:xf>
    <x:xf numFmtId="0" fontId="79" fillId="129" borderId="54" xfId="0" applyNumberFormat="1" applyFont="1" applyFill="1" applyBorder="1" applyAlignment="1">
      <x:alignment horizontal="left" vertical="top" wrapText="1"/>
    </x:xf>
    <x:xf numFmtId="0" fontId="79" fillId="129" borderId="55" xfId="0" applyNumberFormat="1" applyFont="1" applyFill="1" applyBorder="1" applyAlignment="1">
      <x:alignment horizontal="left" vertical="top" wrapText="1"/>
    </x:xf>
    <x:xf numFmtId="0" fontId="79" fillId="129" borderId="56" xfId="0" applyNumberFormat="1" applyFont="1" applyFill="1" applyBorder="1" applyAlignment="1">
      <x:alignment horizontal="left" vertical="top" wrapText="1"/>
    </x:xf>
    <x:xf numFmtId="0" fontId="79" fillId="129" borderId="57" xfId="0" applyNumberFormat="1" applyFont="1" applyFill="1" applyBorder="1" applyAlignment="1">
      <x:alignment horizontal="left" vertical="top" wrapText="1"/>
    </x:xf>
    <x:xf numFmtId="0" fontId="79" fillId="129" borderId="58" xfId="0" applyNumberFormat="1" applyFont="1" applyFill="1" applyBorder="1" applyAlignment="1">
      <x:alignment horizontal="left" vertical="top" wrapText="1"/>
    </x:xf>
    <x:xf numFmtId="0" fontId="79" fillId="129" borderId="59" xfId="0" applyNumberFormat="1" applyFont="1" applyFill="1" applyBorder="1" applyAlignment="1">
      <x:alignment horizontal="left" vertical="top" wrapText="1"/>
    </x:xf>
    <x:xf numFmtId="0" fontId="58" fillId="153" borderId="0" xfId="0" applyNumberFormat="1" applyFont="1" applyFill="1" applyBorder="1" applyAlignment="1">
      <x:alignment horizontal="center" vertical="center"/>
    </x:xf>
    <x:xf numFmtId="0" fontId="76" fillId="154" borderId="0" xfId="0" applyNumberFormat="1" applyFont="1" applyFill="1" applyBorder="1" applyAlignment="1">
      <x:alignment horizontal="center" vertical="center" wrapText="1"/>
    </x:xf>
    <x:xf numFmtId="0" fontId="69" fillId="155" xfId="0" applyNumberFormat="1" applyFont="1" applyFill="1" applyBorder="0" applyAlignment="1">
      <x:alignment horizontal="center" vertical="center" wrapText="1"/>
    </x:xf>
    <x:xf numFmtId="0" fontId="3" fillId="156" borderId="0" xfId="0" applyNumberFormat="1" applyFont="1" applyFill="1" applyBorder="1" applyAlignment="1">
      <x:alignment horizontal="center" vertical="center"/>
    </x:xf>
    <x:xf numFmtId="0" fontId="77" fillId="157" xfId="0" applyNumberFormat="1" applyFont="1" applyFill="1" applyBorder="0" applyAlignment="1">
      <x:alignment horizontal="center" vertical="center" wrapText="1"/>
    </x:xf>
    <x:xf numFmtId="0" fontId="78" fillId="158" xfId="0" applyNumberFormat="1" applyFont="1" applyFill="1" applyBorder="0" applyAlignment="1">
      <x:alignment horizontal="left" vertical="top" wrapText="1"/>
    </x:xf>
    <x:xf numFmtId="0" fontId="79" fillId="159" xfId="0" applyNumberFormat="1" applyFont="1" applyFill="1" applyBorder="0" applyAlignment="1">
      <x:alignment horizontal="left" vertical="top" wrapText="1"/>
    </x:xf>
    <x:xf numFmtId="0" fontId="80" fillId="159" xfId="0" applyNumberFormat="1" applyFont="1" applyFill="1" applyBorder="0" applyAlignment="1">
      <x:alignment horizontal="left" vertical="top" wrapText="1"/>
    </x:xf>
    <x:xf numFmtId="0" fontId="79" fillId="160" borderId="49" xfId="0" applyNumberFormat="1" applyFont="1" applyFill="1" applyBorder="1" applyAlignment="1">
      <x:alignment horizontal="left" vertical="top" wrapText="1"/>
    </x:xf>
    <x:xf numFmtId="0" fontId="80" fillId="160" borderId="49" xfId="0" applyNumberFormat="1" applyFont="1" applyFill="1" applyBorder="1" applyAlignment="1">
      <x:alignment horizontal="left" vertical="top" wrapText="1"/>
    </x:xf>
    <x:xf numFmtId="0" fontId="79" fillId="161" xfId="0" applyNumberFormat="1" applyFont="1" applyFill="1" applyBorder="0" applyAlignment="1">
      <x:alignment horizontal="left" vertical="top" wrapText="1"/>
    </x:xf>
    <x:xf numFmtId="0" fontId="80" fillId="161" xfId="0" applyNumberFormat="1" applyFont="1" applyFill="1" applyBorder="0" applyAlignment="1">
      <x:alignment horizontal="left" vertical="top" wrapText="1"/>
    </x:xf>
    <x:xf numFmtId="0" fontId="79" fillId="162" xfId="0" applyNumberFormat="1" applyFont="1" applyFill="1" applyBorder="0" applyAlignment="1">
      <x:alignment horizontal="left" vertical="top" wrapText="1"/>
    </x:xf>
    <x:xf numFmtId="0" fontId="80" fillId="162" xfId="0" applyNumberFormat="1" applyFont="1" applyFill="1" applyBorder="0" applyAlignment="1">
      <x:alignment horizontal="left" vertical="top" wrapText="1"/>
    </x:xf>
    <x:xf numFmtId="0" fontId="79" fillId="163" xfId="0" applyNumberFormat="1" applyFont="1" applyFill="1" applyBorder="0" applyAlignment="1">
      <x:alignment horizontal="left" vertical="top" wrapText="1"/>
    </x:xf>
    <x:xf numFmtId="0" fontId="80" fillId="163" xfId="0" applyNumberFormat="1" applyFont="1" applyFill="1" applyBorder="0" applyAlignment="1">
      <x:alignment horizontal="left" vertical="top" wrapText="1"/>
    </x:xf>
    <x:xf numFmtId="0" fontId="79" fillId="161" borderId="45" xfId="0" applyNumberFormat="1" applyFont="1" applyFill="1" applyBorder="1" applyAlignment="1">
      <x:alignment horizontal="left" vertical="top" wrapText="1"/>
    </x:xf>
    <x:xf numFmtId="0" fontId="80" fillId="161" borderId="45" xfId="0" applyNumberFormat="1" applyFont="1" applyFill="1" applyBorder="1" applyAlignment="1">
      <x:alignment horizontal="left" vertical="top" wrapText="1"/>
    </x:xf>
    <x:xf numFmtId="0" fontId="79" fillId="164" borderId="44" xfId="0" applyNumberFormat="1" applyFont="1" applyFill="1" applyBorder="1" applyAlignment="1">
      <x:alignment horizontal="left" vertical="top" wrapText="1"/>
    </x:xf>
    <x:xf numFmtId="0" fontId="80" fillId="164" borderId="44" xfId="0" applyNumberFormat="1" applyFont="1" applyFill="1" applyBorder="1" applyAlignment="1">
      <x:alignment horizontal="left" vertical="top" wrapText="1"/>
    </x:xf>
    <x:xf numFmtId="0" fontId="79" fillId="163" borderId="45" xfId="0" applyNumberFormat="1" applyFont="1" applyFill="1" applyBorder="1" applyAlignment="1">
      <x:alignment horizontal="left" vertical="top" wrapText="1"/>
    </x:xf>
    <x:xf numFmtId="0" fontId="80" fillId="163" borderId="45" xfId="0" applyNumberFormat="1" applyFont="1" applyFill="1" applyBorder="1" applyAlignment="1">
      <x:alignment horizontal="left" vertical="top" wrapText="1"/>
    </x:xf>
    <x:xf numFmtId="0" fontId="79" fillId="163" borderId="44" xfId="0" applyNumberFormat="1" applyFont="1" applyFill="1" applyBorder="1" applyAlignment="1">
      <x:alignment horizontal="left" vertical="top" wrapText="1"/>
    </x:xf>
    <x:xf numFmtId="0" fontId="80" fillId="163" borderId="44" xfId="0" applyNumberFormat="1" applyFont="1" applyFill="1" applyBorder="1" applyAlignment="1">
      <x:alignment horizontal="left" vertical="top" wrapText="1"/>
    </x:xf>
    <x:xf numFmtId="0" fontId="79" fillId="159" borderId="38" xfId="0" applyNumberFormat="1" applyFont="1" applyFill="1" applyBorder="1" applyAlignment="1">
      <x:alignment horizontal="left" vertical="top" wrapText="1"/>
    </x:xf>
    <x:xf numFmtId="0" fontId="80" fillId="159" borderId="38" xfId="0" applyNumberFormat="1" applyFont="1" applyFill="1" applyBorder="1" applyAlignment="1">
      <x:alignment horizontal="left" vertical="top" wrapText="1"/>
    </x:xf>
    <x:xf numFmtId="0" fontId="79" fillId="159" borderId="36" xfId="0" applyNumberFormat="1" applyFont="1" applyFill="1" applyBorder="1" applyAlignment="1">
      <x:alignment horizontal="left" vertical="top" wrapText="1"/>
    </x:xf>
    <x:xf numFmtId="0" fontId="80" fillId="159" borderId="36" xfId="0" applyNumberFormat="1" applyFont="1" applyFill="1" applyBorder="1" applyAlignment="1">
      <x:alignment horizontal="left" vertical="top" wrapText="1"/>
    </x:xf>
    <x:xf numFmtId="0" fontId="79" fillId="165" borderId="54" xfId="0" applyNumberFormat="1" applyFont="1" applyFill="1" applyBorder="1" applyAlignment="1">
      <x:alignment horizontal="left" vertical="top" wrapText="1"/>
    </x:xf>
    <x:xf numFmtId="0" fontId="80" fillId="165" borderId="54" xfId="0" applyNumberFormat="1" applyFont="1" applyFill="1" applyBorder="1" applyAlignment="1">
      <x:alignment horizontal="left" vertical="top" wrapText="1"/>
    </x:xf>
    <x:xf numFmtId="0" fontId="79" fillId="165" borderId="50" xfId="0" applyNumberFormat="1" applyFont="1" applyFill="1" applyBorder="1" applyAlignment="1">
      <x:alignment horizontal="left" vertical="top" wrapText="1"/>
    </x:xf>
    <x:xf numFmtId="0" fontId="80" fillId="165" borderId="50" xfId="0" applyNumberFormat="1" applyFont="1" applyFill="1" applyBorder="1" applyAlignment="1">
      <x:alignment horizontal="left" vertical="top" wrapText="1"/>
    </x:xf>
    <x:xf numFmtId="0" fontId="79" fillId="165" borderId="52" xfId="0" applyNumberFormat="1" applyFont="1" applyFill="1" applyBorder="1" applyAlignment="1">
      <x:alignment horizontal="left" vertical="top" wrapText="1"/>
    </x:xf>
    <x:xf numFmtId="0" fontId="80" fillId="165" borderId="52" xfId="0" applyNumberFormat="1" applyFont="1" applyFill="1" applyBorder="1" applyAlignment="1">
      <x:alignment horizontal="left" vertical="top" wrapText="1"/>
    </x:xf>
    <x:xf numFmtId="0" fontId="79" fillId="165" borderId="55" xfId="0" applyNumberFormat="1" applyFont="1" applyFill="1" applyBorder="1" applyAlignment="1">
      <x:alignment horizontal="left" vertical="top" wrapText="1"/>
    </x:xf>
    <x:xf numFmtId="0" fontId="80" fillId="165" borderId="55" xfId="0" applyNumberFormat="1" applyFont="1" applyFill="1" applyBorder="1" applyAlignment="1">
      <x:alignment horizontal="left" vertical="top" wrapText="1"/>
    </x:xf>
    <x:xf numFmtId="0" fontId="79" fillId="159" borderId="39" xfId="0" applyNumberFormat="1" applyFont="1" applyFill="1" applyBorder="1" applyAlignment="1">
      <x:alignment horizontal="left" vertical="top" wrapText="1"/>
    </x:xf>
    <x:xf numFmtId="0" fontId="80" fillId="159" borderId="39" xfId="0" applyNumberFormat="1" applyFont="1" applyFill="1" applyBorder="1" applyAlignment="1">
      <x:alignment horizontal="left" vertical="top" wrapText="1"/>
    </x:xf>
    <x:xf numFmtId="0" fontId="79" fillId="165" borderId="56" xfId="0" applyNumberFormat="1" applyFont="1" applyFill="1" applyBorder="1" applyAlignment="1">
      <x:alignment horizontal="left" vertical="top" wrapText="1"/>
    </x:xf>
    <x:xf numFmtId="0" fontId="80" fillId="165" borderId="56" xfId="0" applyNumberFormat="1" applyFont="1" applyFill="1" applyBorder="1" applyAlignment="1">
      <x:alignment horizontal="left" vertical="top" wrapText="1"/>
    </x:xf>
    <x:xf numFmtId="0" fontId="79" fillId="165" xfId="0" applyNumberFormat="1" applyFont="1" applyFill="1" applyBorder="0" applyAlignment="1">
      <x:alignment horizontal="left" vertical="top" wrapText="1"/>
    </x:xf>
    <x:xf numFmtId="0" fontId="80" fillId="165" xfId="0" applyNumberFormat="1" applyFont="1" applyFill="1" applyBorder="0" applyAlignment="1">
      <x:alignment horizontal="left" vertical="top" wrapText="1"/>
    </x:xf>
    <x:xf numFmtId="0" fontId="79" fillId="165" borderId="42" xfId="0" applyNumberFormat="1" applyFont="1" applyFill="1" applyBorder="1" applyAlignment="1">
      <x:alignment horizontal="left" vertical="top" wrapText="1"/>
    </x:xf>
    <x:xf numFmtId="0" fontId="80" fillId="165" borderId="42" xfId="0" applyNumberFormat="1" applyFont="1" applyFill="1" applyBorder="1" applyAlignment="1">
      <x:alignment horizontal="left" vertical="top" wrapText="1"/>
    </x:xf>
    <x:xf numFmtId="0" fontId="79" fillId="165" borderId="57" xfId="0" applyNumberFormat="1" applyFont="1" applyFill="1" applyBorder="1" applyAlignment="1">
      <x:alignment horizontal="left" vertical="top" wrapText="1"/>
    </x:xf>
    <x:xf numFmtId="0" fontId="80" fillId="165" borderId="57" xfId="0" applyNumberFormat="1" applyFont="1" applyFill="1" applyBorder="1" applyAlignment="1">
      <x:alignment horizontal="left" vertical="top" wrapText="1"/>
    </x:xf>
    <x:xf numFmtId="0" fontId="79" fillId="161" borderId="39" xfId="0" applyNumberFormat="1" applyFont="1" applyFill="1" applyBorder="1" applyAlignment="1">
      <x:alignment horizontal="left" vertical="top" wrapText="1"/>
    </x:xf>
    <x:xf numFmtId="0" fontId="80" fillId="161" borderId="39" xfId="0" applyNumberFormat="1" applyFont="1" applyFill="1" applyBorder="1" applyAlignment="1">
      <x:alignment horizontal="left" vertical="top" wrapText="1"/>
    </x:xf>
    <x:xf numFmtId="0" fontId="79" fillId="166" xfId="0" applyNumberFormat="1" applyFont="1" applyFill="1" applyBorder="0" applyAlignment="1">
      <x:alignment horizontal="left" vertical="top" wrapText="1"/>
    </x:xf>
    <x:xf numFmtId="0" fontId="80" fillId="166" xfId="0" applyNumberFormat="1" applyFont="1" applyFill="1" applyBorder="0" applyAlignment="1">
      <x:alignment horizontal="left" vertical="top" wrapText="1"/>
    </x:xf>
    <x:xf numFmtId="0" fontId="79" fillId="165" borderId="49" xfId="0" applyNumberFormat="1" applyFont="1" applyFill="1" applyBorder="1" applyAlignment="1">
      <x:alignment horizontal="left" vertical="top" wrapText="1"/>
    </x:xf>
    <x:xf numFmtId="0" fontId="80" fillId="165" borderId="49" xfId="0" applyNumberFormat="1" applyFont="1" applyFill="1" applyBorder="1" applyAlignment="1">
      <x:alignment horizontal="left" vertical="top" wrapText="1"/>
    </x:xf>
    <x:xf numFmtId="0" fontId="79" fillId="165" borderId="45" xfId="0" applyNumberFormat="1" applyFont="1" applyFill="1" applyBorder="1" applyAlignment="1">
      <x:alignment horizontal="left" vertical="top" wrapText="1"/>
    </x:xf>
    <x:xf numFmtId="0" fontId="80" fillId="165" borderId="45" xfId="0" applyNumberFormat="1" applyFont="1" applyFill="1" applyBorder="1" applyAlignment="1">
      <x:alignment horizontal="left" vertical="top" wrapText="1"/>
    </x:xf>
    <x:xf numFmtId="0" fontId="79" fillId="165" borderId="44" xfId="0" applyNumberFormat="1" applyFont="1" applyFill="1" applyBorder="1" applyAlignment="1">
      <x:alignment horizontal="left" vertical="top" wrapText="1"/>
    </x:xf>
    <x:xf numFmtId="0" fontId="80" fillId="165" borderId="44" xfId="0" applyNumberFormat="1" applyFont="1" applyFill="1" applyBorder="1" applyAlignment="1">
      <x:alignment horizontal="left" vertical="top" wrapText="1"/>
    </x:xf>
    <x:xf numFmtId="0" fontId="79" fillId="159" borderId="40" xfId="0" applyNumberFormat="1" applyFont="1" applyFill="1" applyBorder="1" applyAlignment="1">
      <x:alignment horizontal="left" vertical="top" wrapText="1"/>
    </x:xf>
    <x:xf numFmtId="0" fontId="80" fillId="159" borderId="40" xfId="0" applyNumberFormat="1" applyFont="1" applyFill="1" applyBorder="1" applyAlignment="1">
      <x:alignment horizontal="left" vertical="top" wrapText="1"/>
    </x:xf>
    <x:xf numFmtId="0" fontId="79" fillId="159" borderId="37" xfId="0" applyNumberFormat="1" applyFont="1" applyFill="1" applyBorder="1" applyAlignment="1">
      <x:alignment horizontal="left" vertical="top" wrapText="1"/>
    </x:xf>
    <x:xf numFmtId="0" fontId="80" fillId="159" borderId="37" xfId="0" applyNumberFormat="1" applyFont="1" applyFill="1" applyBorder="1" applyAlignment="1">
      <x:alignment horizontal="left" vertical="top" wrapText="1"/>
    </x:xf>
    <x:xf numFmtId="0" fontId="79" fillId="165" borderId="58" xfId="0" applyNumberFormat="1" applyFont="1" applyFill="1" applyBorder="1" applyAlignment="1">
      <x:alignment horizontal="left" vertical="top" wrapText="1"/>
    </x:xf>
    <x:xf numFmtId="0" fontId="80" fillId="165" borderId="58" xfId="0" applyNumberFormat="1" applyFont="1" applyFill="1" applyBorder="1" applyAlignment="1">
      <x:alignment horizontal="left" vertical="top" wrapText="1"/>
    </x:xf>
    <x:xf numFmtId="0" fontId="79" fillId="165" borderId="51" xfId="0" applyNumberFormat="1" applyFont="1" applyFill="1" applyBorder="1" applyAlignment="1">
      <x:alignment horizontal="left" vertical="top" wrapText="1"/>
    </x:xf>
    <x:xf numFmtId="0" fontId="80" fillId="165" borderId="51" xfId="0" applyNumberFormat="1" applyFont="1" applyFill="1" applyBorder="1" applyAlignment="1">
      <x:alignment horizontal="left" vertical="top" wrapText="1"/>
    </x:xf>
    <x:xf numFmtId="0" fontId="79" fillId="165" borderId="53" xfId="0" applyNumberFormat="1" applyFont="1" applyFill="1" applyBorder="1" applyAlignment="1">
      <x:alignment horizontal="left" vertical="top" wrapText="1"/>
    </x:xf>
    <x:xf numFmtId="0" fontId="80" fillId="165" borderId="53" xfId="0" applyNumberFormat="1" applyFont="1" applyFill="1" applyBorder="1" applyAlignment="1">
      <x:alignment horizontal="left" vertical="top" wrapText="1"/>
    </x:xf>
    <x:xf numFmtId="0" fontId="79" fillId="165" borderId="59" xfId="0" applyNumberFormat="1" applyFont="1" applyFill="1" applyBorder="1" applyAlignment="1">
      <x:alignment horizontal="left" vertical="top" wrapText="1"/>
    </x:xf>
    <x:xf numFmtId="0" fontId="80" fillId="165" borderId="59" xfId="0" applyNumberFormat="1" applyFont="1" applyFill="1" applyBorder="1" applyAlignment="1">
      <x:alignment horizontal="left" vertical="top" wrapText="1"/>
    </x:xf>
    <x:xf numFmtId="0" fontId="79" fillId="165" borderId="47" xfId="0" applyNumberFormat="1" applyFont="1" applyFill="1" applyBorder="1" applyAlignment="1">
      <x:alignment horizontal="left" vertical="top" wrapText="1"/>
    </x:xf>
    <x:xf numFmtId="0" fontId="80" fillId="165" borderId="47" xfId="0" applyNumberFormat="1" applyFont="1" applyFill="1" applyBorder="1" applyAlignment="1">
      <x:alignment horizontal="left" vertical="top" wrapText="1"/>
    </x:xf>
    <x:xf numFmtId="0" fontId="79" fillId="165" borderId="48" xfId="0" applyNumberFormat="1" applyFont="1" applyFill="1" applyBorder="1" applyAlignment="1">
      <x:alignment horizontal="left" vertical="top" wrapText="1"/>
    </x:xf>
    <x:xf numFmtId="0" fontId="80" fillId="165" borderId="48" xfId="0" applyNumberFormat="1" applyFont="1" applyFill="1" applyBorder="1" applyAlignment="1">
      <x:alignment horizontal="left" vertical="top" wrapText="1"/>
    </x:xf>
    <x:xf numFmtId="0" fontId="79" fillId="165" borderId="46" xfId="0" applyNumberFormat="1" applyFont="1" applyFill="1" applyBorder="1" applyAlignment="1">
      <x:alignment horizontal="left" vertical="top" wrapText="1"/>
    </x:xf>
    <x:xf numFmtId="0" fontId="80" fillId="165" borderId="46" xfId="0" applyNumberFormat="1" applyFont="1" applyFill="1" applyBorder="1" applyAlignment="1">
      <x:alignment horizontal="left" vertical="top" wrapText="1"/>
    </x:xf>
    <x:xf numFmtId="0" fontId="79" fillId="159" borderId="22" xfId="0" applyNumberFormat="1" applyFont="1" applyFill="1" applyBorder="1" applyAlignment="1">
      <x:alignment horizontal="left" vertical="top" wrapText="1"/>
    </x:xf>
    <x:xf numFmtId="0" fontId="80" fillId="159" borderId="22" xfId="0" applyNumberFormat="1" applyFont="1" applyFill="1" applyBorder="1" applyAlignment="1">
      <x:alignment horizontal="left" vertical="top" wrapText="1"/>
    </x:xf>
    <x:xf numFmtId="0" fontId="79" fillId="159" borderId="20" xfId="0" applyNumberFormat="1" applyFont="1" applyFill="1" applyBorder="1" applyAlignment="1">
      <x:alignment horizontal="left" vertical="top" wrapText="1"/>
    </x:xf>
    <x:xf numFmtId="0" fontId="80" fillId="159" borderId="20" xfId="0" applyNumberFormat="1" applyFont="1" applyFill="1" applyBorder="1" applyAlignment="1">
      <x:alignment horizontal="left" vertical="top" wrapText="1"/>
    </x:xf>
    <x:xf numFmtId="0" fontId="79" fillId="159" borderId="25" xfId="0" applyNumberFormat="1" applyFont="1" applyFill="1" applyBorder="1" applyAlignment="1">
      <x:alignment horizontal="left" vertical="top" wrapText="1"/>
    </x:xf>
    <x:xf numFmtId="0" fontId="80" fillId="159" borderId="25" xfId="0" applyNumberFormat="1" applyFont="1" applyFill="1" applyBorder="1" applyAlignment="1">
      <x:alignment horizontal="left" vertical="top" wrapText="1"/>
    </x:xf>
    <x:xf numFmtId="0" fontId="79" fillId="167" borderId="14" xfId="0" applyNumberFormat="1" applyFont="1" applyFill="1" applyBorder="1" applyAlignment="1">
      <x:alignment horizontal="left" vertical="top" wrapText="1"/>
    </x:xf>
    <x:xf numFmtId="0" fontId="80" fillId="167" borderId="14" xfId="0" applyNumberFormat="1" applyFont="1" applyFill="1" applyBorder="1" applyAlignment="1">
      <x:alignment horizontal="left" vertical="top" wrapText="1"/>
    </x:xf>
    <x:xf numFmtId="0" fontId="79" fillId="167" borderId="12" xfId="0" applyNumberFormat="1" applyFont="1" applyFill="1" applyBorder="1" applyAlignment="1">
      <x:alignment horizontal="left" vertical="top" wrapText="1"/>
    </x:xf>
    <x:xf numFmtId="0" fontId="80" fillId="167" borderId="12" xfId="0" applyNumberFormat="1" applyFont="1" applyFill="1" applyBorder="1" applyAlignment="1">
      <x:alignment horizontal="left" vertical="top" wrapText="1"/>
    </x:xf>
    <x:xf numFmtId="0" fontId="79" fillId="167" borderId="17" xfId="0" applyNumberFormat="1" applyFont="1" applyFill="1" applyBorder="1" applyAlignment="1">
      <x:alignment horizontal="left" vertical="top" wrapText="1"/>
    </x:xf>
    <x:xf numFmtId="0" fontId="80" fillId="167" borderId="17" xfId="0" applyNumberFormat="1" applyFont="1" applyFill="1" applyBorder="1" applyAlignment="1">
      <x:alignment horizontal="left" vertical="top" wrapText="1"/>
    </x:xf>
    <x:xf numFmtId="0" fontId="79" fillId="160" borderId="30" xfId="0" applyNumberFormat="1" applyFont="1" applyFill="1" applyBorder="1" applyAlignment="1">
      <x:alignment horizontal="left" vertical="top" wrapText="1"/>
    </x:xf>
    <x:xf numFmtId="0" fontId="80" fillId="160" borderId="30" xfId="0" applyNumberFormat="1" applyFont="1" applyFill="1" applyBorder="1" applyAlignment="1">
      <x:alignment horizontal="left" vertical="top" wrapText="1"/>
    </x:xf>
    <x:xf numFmtId="0" fontId="79" fillId="160" borderId="28" xfId="0" applyNumberFormat="1" applyFont="1" applyFill="1" applyBorder="1" applyAlignment="1">
      <x:alignment horizontal="left" vertical="top" wrapText="1"/>
    </x:xf>
    <x:xf numFmtId="0" fontId="80" fillId="160" borderId="28" xfId="0" applyNumberFormat="1" applyFont="1" applyFill="1" applyBorder="1" applyAlignment="1">
      <x:alignment horizontal="left" vertical="top" wrapText="1"/>
    </x:xf>
    <x:xf numFmtId="0" fontId="79" fillId="160" borderId="33" xfId="0" applyNumberFormat="1" applyFont="1" applyFill="1" applyBorder="1" applyAlignment="1">
      <x:alignment horizontal="left" vertical="top" wrapText="1"/>
    </x:xf>
    <x:xf numFmtId="0" fontId="80" fillId="160" borderId="33" xfId="0" applyNumberFormat="1" applyFont="1" applyFill="1" applyBorder="1" applyAlignment="1">
      <x:alignment horizontal="left" vertical="top" wrapText="1"/>
    </x:xf>
    <x:xf numFmtId="0" fontId="79" fillId="167" xfId="0" applyNumberFormat="1" applyFont="1" applyFill="1" applyBorder="0" applyAlignment="1">
      <x:alignment horizontal="left" vertical="top" wrapText="1"/>
    </x:xf>
    <x:xf numFmtId="0" fontId="80" fillId="167" xfId="0" applyNumberFormat="1" applyFont="1" applyFill="1" applyBorder="0" applyAlignment="1">
      <x:alignment horizontal="left" vertical="top" wrapText="1"/>
    </x:xf>
    <x:xf numFmtId="0" fontId="79" fillId="159" borderId="23" xfId="0" applyNumberFormat="1" applyFont="1" applyFill="1" applyBorder="1" applyAlignment="1">
      <x:alignment horizontal="left" vertical="top" wrapText="1"/>
    </x:xf>
    <x:xf numFmtId="0" fontId="80" fillId="159" borderId="23" xfId="0" applyNumberFormat="1" applyFont="1" applyFill="1" applyBorder="1" applyAlignment="1">
      <x:alignment horizontal="left" vertical="top" wrapText="1"/>
    </x:xf>
    <x:xf numFmtId="0" fontId="79" fillId="159" borderId="26" xfId="0" applyNumberFormat="1" applyFont="1" applyFill="1" applyBorder="1" applyAlignment="1">
      <x:alignment horizontal="left" vertical="top" wrapText="1"/>
    </x:xf>
    <x:xf numFmtId="0" fontId="80" fillId="159" borderId="26" xfId="0" applyNumberFormat="1" applyFont="1" applyFill="1" applyBorder="1" applyAlignment="1">
      <x:alignment horizontal="left" vertical="top" wrapText="1"/>
    </x:xf>
    <x:xf numFmtId="0" fontId="79" fillId="167" borderId="15" xfId="0" applyNumberFormat="1" applyFont="1" applyFill="1" applyBorder="1" applyAlignment="1">
      <x:alignment horizontal="left" vertical="top" wrapText="1"/>
    </x:xf>
    <x:xf numFmtId="0" fontId="80" fillId="167" borderId="15" xfId="0" applyNumberFormat="1" applyFont="1" applyFill="1" applyBorder="1" applyAlignment="1">
      <x:alignment horizontal="left" vertical="top" wrapText="1"/>
    </x:xf>
    <x:xf numFmtId="0" fontId="79" fillId="167" borderId="49" xfId="0" applyNumberFormat="1" applyFont="1" applyFill="1" applyBorder="1" applyAlignment="1">
      <x:alignment horizontal="left" vertical="top" wrapText="1"/>
    </x:xf>
    <x:xf numFmtId="0" fontId="80" fillId="167" borderId="49" xfId="0" applyNumberFormat="1" applyFont="1" applyFill="1" applyBorder="1" applyAlignment="1">
      <x:alignment horizontal="left" vertical="top" wrapText="1"/>
    </x:xf>
    <x:xf numFmtId="0" fontId="79" fillId="167" borderId="18" xfId="0" applyNumberFormat="1" applyFont="1" applyFill="1" applyBorder="1" applyAlignment="1">
      <x:alignment horizontal="left" vertical="top" wrapText="1"/>
    </x:xf>
    <x:xf numFmtId="0" fontId="80" fillId="167" borderId="18" xfId="0" applyNumberFormat="1" applyFont="1" applyFill="1" applyBorder="1" applyAlignment="1">
      <x:alignment horizontal="left" vertical="top" wrapText="1"/>
    </x:xf>
    <x:xf numFmtId="0" fontId="79" fillId="160" borderId="31" xfId="0" applyNumberFormat="1" applyFont="1" applyFill="1" applyBorder="1" applyAlignment="1">
      <x:alignment horizontal="left" vertical="top" wrapText="1"/>
    </x:xf>
    <x:xf numFmtId="0" fontId="80" fillId="160" borderId="31" xfId="0" applyNumberFormat="1" applyFont="1" applyFill="1" applyBorder="1" applyAlignment="1">
      <x:alignment horizontal="left" vertical="top" wrapText="1"/>
    </x:xf>
    <x:xf numFmtId="0" fontId="79" fillId="168" xfId="0" applyNumberFormat="1" applyFont="1" applyFill="1" applyBorder="0" applyAlignment="1">
      <x:alignment horizontal="left" vertical="top" wrapText="1"/>
    </x:xf>
    <x:xf numFmtId="0" fontId="80" fillId="168" xfId="0" applyNumberFormat="1" applyFont="1" applyFill="1" applyBorder="0" applyAlignment="1">
      <x:alignment horizontal="left" vertical="top" wrapText="1"/>
    </x:xf>
    <x:xf numFmtId="0" fontId="79" fillId="167" borderId="45" xfId="0" applyNumberFormat="1" applyFont="1" applyFill="1" applyBorder="1" applyAlignment="1">
      <x:alignment horizontal="left" vertical="top" wrapText="1"/>
    </x:xf>
    <x:xf numFmtId="0" fontId="80" fillId="167" borderId="45" xfId="0" applyNumberFormat="1" applyFont="1" applyFill="1" applyBorder="1" applyAlignment="1">
      <x:alignment horizontal="left" vertical="top" wrapText="1"/>
    </x:xf>
    <x:xf numFmtId="0" fontId="79" fillId="167" borderId="44" xfId="0" applyNumberFormat="1" applyFont="1" applyFill="1" applyBorder="1" applyAlignment="1">
      <x:alignment horizontal="left" vertical="top" wrapText="1"/>
    </x:xf>
    <x:xf numFmtId="0" fontId="80" fillId="167" borderId="44" xfId="0" applyNumberFormat="1" applyFont="1" applyFill="1" applyBorder="1" applyAlignment="1">
      <x:alignment horizontal="left" vertical="top" wrapText="1"/>
    </x:xf>
    <x:xf numFmtId="0" fontId="79" fillId="159" borderId="24" xfId="0" applyNumberFormat="1" applyFont="1" applyFill="1" applyBorder="1" applyAlignment="1">
      <x:alignment horizontal="left" vertical="top" wrapText="1"/>
    </x:xf>
    <x:xf numFmtId="0" fontId="80" fillId="159" borderId="24" xfId="0" applyNumberFormat="1" applyFont="1" applyFill="1" applyBorder="1" applyAlignment="1">
      <x:alignment horizontal="left" vertical="top" wrapText="1"/>
    </x:xf>
    <x:xf numFmtId="0" fontId="79" fillId="159" borderId="21" xfId="0" applyNumberFormat="1" applyFont="1" applyFill="1" applyBorder="1" applyAlignment="1">
      <x:alignment horizontal="left" vertical="top" wrapText="1"/>
    </x:xf>
    <x:xf numFmtId="0" fontId="80" fillId="159" borderId="21" xfId="0" applyNumberFormat="1" applyFont="1" applyFill="1" applyBorder="1" applyAlignment="1">
      <x:alignment horizontal="left" vertical="top" wrapText="1"/>
    </x:xf>
    <x:xf numFmtId="0" fontId="79" fillId="159" borderId="27" xfId="0" applyNumberFormat="1" applyFont="1" applyFill="1" applyBorder="1" applyAlignment="1">
      <x:alignment horizontal="left" vertical="top" wrapText="1"/>
    </x:xf>
    <x:xf numFmtId="0" fontId="80" fillId="159" borderId="27" xfId="0" applyNumberFormat="1" applyFont="1" applyFill="1" applyBorder="1" applyAlignment="1">
      <x:alignment horizontal="left" vertical="top" wrapText="1"/>
    </x:xf>
    <x:xf numFmtId="0" fontId="79" fillId="167" borderId="16" xfId="0" applyNumberFormat="1" applyFont="1" applyFill="1" applyBorder="1" applyAlignment="1">
      <x:alignment horizontal="left" vertical="top" wrapText="1"/>
    </x:xf>
    <x:xf numFmtId="0" fontId="80" fillId="167" borderId="16" xfId="0" applyNumberFormat="1" applyFont="1" applyFill="1" applyBorder="1" applyAlignment="1">
      <x:alignment horizontal="left" vertical="top" wrapText="1"/>
    </x:xf>
    <x:xf numFmtId="0" fontId="79" fillId="167" borderId="13" xfId="0" applyNumberFormat="1" applyFont="1" applyFill="1" applyBorder="1" applyAlignment="1">
      <x:alignment horizontal="left" vertical="top" wrapText="1"/>
    </x:xf>
    <x:xf numFmtId="0" fontId="80" fillId="167" borderId="13" xfId="0" applyNumberFormat="1" applyFont="1" applyFill="1" applyBorder="1" applyAlignment="1">
      <x:alignment horizontal="left" vertical="top" wrapText="1"/>
    </x:xf>
    <x:xf numFmtId="0" fontId="79" fillId="167" borderId="19" xfId="0" applyNumberFormat="1" applyFont="1" applyFill="1" applyBorder="1" applyAlignment="1">
      <x:alignment horizontal="left" vertical="top" wrapText="1"/>
    </x:xf>
    <x:xf numFmtId="0" fontId="80" fillId="167" borderId="19" xfId="0" applyNumberFormat="1" applyFont="1" applyFill="1" applyBorder="1" applyAlignment="1">
      <x:alignment horizontal="left" vertical="top" wrapText="1"/>
    </x:xf>
    <x:xf numFmtId="0" fontId="79" fillId="160" borderId="32" xfId="0" applyNumberFormat="1" applyFont="1" applyFill="1" applyBorder="1" applyAlignment="1">
      <x:alignment horizontal="left" vertical="top" wrapText="1"/>
    </x:xf>
    <x:xf numFmtId="0" fontId="80" fillId="160" borderId="32" xfId="0" applyNumberFormat="1" applyFont="1" applyFill="1" applyBorder="1" applyAlignment="1">
      <x:alignment horizontal="left" vertical="top" wrapText="1"/>
    </x:xf>
    <x:xf numFmtId="0" fontId="79" fillId="160" borderId="29" xfId="0" applyNumberFormat="1" applyFont="1" applyFill="1" applyBorder="1" applyAlignment="1">
      <x:alignment horizontal="left" vertical="top" wrapText="1"/>
    </x:xf>
    <x:xf numFmtId="0" fontId="80" fillId="160" borderId="29" xfId="0" applyNumberFormat="1" applyFont="1" applyFill="1" applyBorder="1" applyAlignment="1">
      <x:alignment horizontal="left" vertical="top" wrapText="1"/>
    </x:xf>
    <x:xf numFmtId="0" fontId="79" fillId="160" borderId="35" xfId="0" applyNumberFormat="1" applyFont="1" applyFill="1" applyBorder="1" applyAlignment="1">
      <x:alignment horizontal="left" vertical="top" wrapText="1"/>
    </x:xf>
    <x:xf numFmtId="0" fontId="80" fillId="160" borderId="35" xfId="0" applyNumberFormat="1" applyFont="1" applyFill="1" applyBorder="1" applyAlignment="1">
      <x:alignment horizontal="left" vertical="top" wrapText="1"/>
    </x:xf>
    <x:xf numFmtId="0" fontId="79" fillId="160" xfId="0" applyNumberFormat="1" applyFont="1" applyFill="1" applyBorder="0" applyAlignment="1">
      <x:alignment horizontal="left" vertical="top" wrapText="1"/>
    </x:xf>
    <x:xf numFmtId="0" fontId="80" fillId="160" xfId="0" applyNumberFormat="1" applyFont="1" applyFill="1" applyBorder="0" applyAlignment="1">
      <x:alignment horizontal="left" vertical="top" wrapText="1"/>
    </x:xf>
    <x:xf numFmtId="0" fontId="79" fillId="169" borderId="49" xfId="0" applyNumberFormat="1" applyFont="1" applyFill="1" applyBorder="1" applyAlignment="1">
      <x:alignment horizontal="left" vertical="top" wrapText="1"/>
    </x:xf>
    <x:xf numFmtId="0" fontId="80" fillId="169" borderId="49" xfId="0" applyNumberFormat="1" applyFont="1" applyFill="1" applyBorder="1" applyAlignment="1">
      <x:alignment horizontal="left" vertical="top" wrapText="1"/>
    </x:xf>
    <x:xf numFmtId="0" fontId="80" fillId="170" xfId="0" applyNumberFormat="1" applyFont="1" applyFill="1" applyBorder="0" applyAlignment="1">
      <x:alignment horizontal="left" vertical="top" wrapText="1"/>
    </x:xf>
    <x:xf numFmtId="0" fontId="80" fillId="170" borderId="45" xfId="0" applyNumberFormat="1" applyFont="1" applyFill="1" applyBorder="1" applyAlignment="1">
      <x:alignment horizontal="left" vertical="top" wrapText="1"/>
    </x:xf>
    <x:xf numFmtId="0" fontId="80" fillId="170" borderId="44" xfId="0" applyNumberFormat="1" applyFont="1" applyFill="1" applyBorder="1" applyAlignment="1">
      <x:alignment horizontal="left" vertical="top" wrapText="1"/>
    </x:xf>
    <x:xf numFmtId="0" fontId="80" fillId="165" borderId="60" xfId="0" applyNumberFormat="1" applyFont="1" applyFill="1" applyBorder="1" applyAlignment="1">
      <x:alignment horizontal="left" vertical="top" wrapText="1"/>
    </x:xf>
    <x:xf numFmtId="0" fontId="80" fillId="141" xfId="0" applyNumberFormat="1" applyFont="1" applyFill="1" applyBorder="0" applyAlignment="1">
      <x:alignment horizontal="left" vertical="top" wrapText="1"/>
    </x:xf>
    <x:xf numFmtId="0" fontId="80" fillId="127" borderId="49" xfId="0" applyNumberFormat="1" applyFont="1" applyFill="1" applyBorder="1" applyAlignment="1">
      <x:alignment horizontal="left" vertical="top" wrapText="1"/>
    </x:xf>
    <x:xf numFmtId="0" fontId="80" fillId="133" xfId="0" applyNumberFormat="1" applyFont="1" applyFill="1" applyBorder="0" applyAlignment="1">
      <x:alignment horizontal="left" vertical="top" wrapText="1"/>
    </x:xf>
    <x:xf numFmtId="0" fontId="80" fillId="134" xfId="0" applyNumberFormat="1" applyFont="1" applyFill="1" applyBorder="0" applyAlignment="1">
      <x:alignment horizontal="left" vertical="top" wrapText="1"/>
    </x:xf>
    <x:xf numFmtId="0" fontId="80" fillId="128" xfId="0" applyNumberFormat="1" applyFont="1" applyFill="1" applyBorder="0" applyAlignment="1">
      <x:alignment horizontal="left" vertical="top" wrapText="1"/>
    </x:xf>
    <x:xf numFmtId="0" fontId="80" fillId="133" borderId="45" xfId="0" applyNumberFormat="1" applyFont="1" applyFill="1" applyBorder="1" applyAlignment="1">
      <x:alignment horizontal="left" vertical="top" wrapText="1"/>
    </x:xf>
    <x:xf numFmtId="0" fontId="80" fillId="146" borderId="44" xfId="0" applyNumberFormat="1" applyFont="1" applyFill="1" applyBorder="1" applyAlignment="1">
      <x:alignment horizontal="left" vertical="top" wrapText="1"/>
    </x:xf>
    <x:xf numFmtId="0" fontId="80" fillId="128" borderId="45" xfId="0" applyNumberFormat="1" applyFont="1" applyFill="1" applyBorder="1" applyAlignment="1">
      <x:alignment horizontal="left" vertical="top" wrapText="1"/>
    </x:xf>
    <x:xf numFmtId="0" fontId="80" fillId="128" borderId="44" xfId="0" applyNumberFormat="1" applyFont="1" applyFill="1" applyBorder="1" applyAlignment="1">
      <x:alignment horizontal="left" vertical="top" wrapText="1"/>
    </x:xf>
    <x:xf numFmtId="0" fontId="80" fillId="141" borderId="38" xfId="0" applyNumberFormat="1" applyFont="1" applyFill="1" applyBorder="1" applyAlignment="1">
      <x:alignment horizontal="left" vertical="top" wrapText="1"/>
    </x:xf>
    <x:xf numFmtId="0" fontId="80" fillId="141" borderId="36" xfId="0" applyNumberFormat="1" applyFont="1" applyFill="1" applyBorder="1" applyAlignment="1">
      <x:alignment horizontal="left" vertical="top" wrapText="1"/>
    </x:xf>
    <x:xf numFmtId="0" fontId="80" fillId="129" borderId="54" xfId="0" applyNumberFormat="1" applyFont="1" applyFill="1" applyBorder="1" applyAlignment="1">
      <x:alignment horizontal="left" vertical="top" wrapText="1"/>
    </x:xf>
    <x:xf numFmtId="0" fontId="80" fillId="129" borderId="50" xfId="0" applyNumberFormat="1" applyFont="1" applyFill="1" applyBorder="1" applyAlignment="1">
      <x:alignment horizontal="left" vertical="top" wrapText="1"/>
    </x:xf>
    <x:xf numFmtId="0" fontId="80" fillId="129" borderId="52" xfId="0" applyNumberFormat="1" applyFont="1" applyFill="1" applyBorder="1" applyAlignment="1">
      <x:alignment horizontal="left" vertical="top" wrapText="1"/>
    </x:xf>
    <x:xf numFmtId="0" fontId="80" fillId="129" borderId="55" xfId="0" applyNumberFormat="1" applyFont="1" applyFill="1" applyBorder="1" applyAlignment="1">
      <x:alignment horizontal="left" vertical="top" wrapText="1"/>
    </x:xf>
    <x:xf numFmtId="0" fontId="80" fillId="141" borderId="39" xfId="0" applyNumberFormat="1" applyFont="1" applyFill="1" applyBorder="1" applyAlignment="1">
      <x:alignment horizontal="left" vertical="top" wrapText="1"/>
    </x:xf>
    <x:xf numFmtId="0" fontId="80" fillId="129" borderId="56" xfId="0" applyNumberFormat="1" applyFont="1" applyFill="1" applyBorder="1" applyAlignment="1">
      <x:alignment horizontal="left" vertical="top" wrapText="1"/>
    </x:xf>
    <x:xf numFmtId="0" fontId="80" fillId="129" xfId="0" applyNumberFormat="1" applyFont="1" applyFill="1" applyBorder="0" applyAlignment="1">
      <x:alignment horizontal="left" vertical="top" wrapText="1"/>
    </x:xf>
    <x:xf numFmtId="0" fontId="80" fillId="129" borderId="42" xfId="0" applyNumberFormat="1" applyFont="1" applyFill="1" applyBorder="1" applyAlignment="1">
      <x:alignment horizontal="left" vertical="top" wrapText="1"/>
    </x:xf>
    <x:xf numFmtId="0" fontId="80" fillId="129" borderId="57" xfId="0" applyNumberFormat="1" applyFont="1" applyFill="1" applyBorder="1" applyAlignment="1">
      <x:alignment horizontal="left" vertical="top" wrapText="1"/>
    </x:xf>
    <x:xf numFmtId="0" fontId="80" fillId="133" borderId="39" xfId="0" applyNumberFormat="1" applyFont="1" applyFill="1" applyBorder="1" applyAlignment="1">
      <x:alignment horizontal="left" vertical="top" wrapText="1"/>
    </x:xf>
    <x:xf numFmtId="0" fontId="80" fillId="132" xfId="0" applyNumberFormat="1" applyFont="1" applyFill="1" applyBorder="0" applyAlignment="1">
      <x:alignment horizontal="left" vertical="top" wrapText="1"/>
    </x:xf>
    <x:xf numFmtId="0" fontId="80" fillId="129" borderId="49" xfId="0" applyNumberFormat="1" applyFont="1" applyFill="1" applyBorder="1" applyAlignment="1">
      <x:alignment horizontal="left" vertical="top" wrapText="1"/>
    </x:xf>
    <x:xf numFmtId="0" fontId="79" fillId="129" borderId="45" xfId="0" applyNumberFormat="1" applyFont="1" applyFill="1" applyBorder="1" applyAlignment="1">
      <x:alignment horizontal="left" vertical="top" wrapText="1"/>
    </x:xf>
    <x:xf numFmtId="0" fontId="80" fillId="129" borderId="45" xfId="0" applyNumberFormat="1" applyFont="1" applyFill="1" applyBorder="1" applyAlignment="1">
      <x:alignment horizontal="left" vertical="top" wrapText="1"/>
    </x:xf>
    <x:xf numFmtId="0" fontId="79" fillId="129" borderId="44" xfId="0" applyNumberFormat="1" applyFont="1" applyFill="1" applyBorder="1" applyAlignment="1">
      <x:alignment horizontal="left" vertical="top" wrapText="1"/>
    </x:xf>
    <x:xf numFmtId="0" fontId="80" fillId="129" borderId="44" xfId="0" applyNumberFormat="1" applyFont="1" applyFill="1" applyBorder="1" applyAlignment="1">
      <x:alignment horizontal="left" vertical="top" wrapText="1"/>
    </x:xf>
    <x:xf numFmtId="0" fontId="80" fillId="141" borderId="40" xfId="0" applyNumberFormat="1" applyFont="1" applyFill="1" applyBorder="1" applyAlignment="1">
      <x:alignment horizontal="left" vertical="top" wrapText="1"/>
    </x:xf>
    <x:xf numFmtId="0" fontId="80" fillId="141" borderId="37" xfId="0" applyNumberFormat="1" applyFont="1" applyFill="1" applyBorder="1" applyAlignment="1">
      <x:alignment horizontal="left" vertical="top" wrapText="1"/>
    </x:xf>
    <x:xf numFmtId="0" fontId="80" fillId="129" borderId="58" xfId="0" applyNumberFormat="1" applyFont="1" applyFill="1" applyBorder="1" applyAlignment="1">
      <x:alignment horizontal="left" vertical="top" wrapText="1"/>
    </x:xf>
    <x:xf numFmtId="0" fontId="80" fillId="129" borderId="51" xfId="0" applyNumberFormat="1" applyFont="1" applyFill="1" applyBorder="1" applyAlignment="1">
      <x:alignment horizontal="left" vertical="top" wrapText="1"/>
    </x:xf>
    <x:xf numFmtId="0" fontId="80" fillId="129" borderId="53" xfId="0" applyNumberFormat="1" applyFont="1" applyFill="1" applyBorder="1" applyAlignment="1">
      <x:alignment horizontal="left" vertical="top" wrapText="1"/>
    </x:xf>
    <x:xf numFmtId="0" fontId="80" fillId="129" borderId="59" xfId="0" applyNumberFormat="1" applyFont="1" applyFill="1" applyBorder="1" applyAlignment="1">
      <x:alignment horizontal="left" vertical="top" wrapText="1"/>
    </x:xf>
    <x:xf numFmtId="0" fontId="80" fillId="129" borderId="47" xfId="0" applyNumberFormat="1" applyFont="1" applyFill="1" applyBorder="1" applyAlignment="1">
      <x:alignment horizontal="left" vertical="top" wrapText="1"/>
    </x:xf>
    <x:xf numFmtId="0" fontId="80" fillId="129" borderId="48" xfId="0" applyNumberFormat="1" applyFont="1" applyFill="1" applyBorder="1" applyAlignment="1">
      <x:alignment horizontal="left" vertical="top" wrapText="1"/>
    </x:xf>
    <x:xf numFmtId="0" fontId="80" fillId="129" borderId="46" xfId="0" applyNumberFormat="1" applyFont="1" applyFill="1" applyBorder="1" applyAlignment="1">
      <x:alignment horizontal="left" vertical="top" wrapText="1"/>
    </x:xf>
    <x:xf numFmtId="0" fontId="80" fillId="141" borderId="22" xfId="0" applyNumberFormat="1" applyFont="1" applyFill="1" applyBorder="1" applyAlignment="1">
      <x:alignment horizontal="left" vertical="top" wrapText="1"/>
    </x:xf>
    <x:xf numFmtId="0" fontId="80" fillId="141" borderId="20" xfId="0" applyNumberFormat="1" applyFont="1" applyFill="1" applyBorder="1" applyAlignment="1">
      <x:alignment horizontal="left" vertical="top" wrapText="1"/>
    </x:xf>
    <x:xf numFmtId="0" fontId="80" fillId="141" borderId="25" xfId="0" applyNumberFormat="1" applyFont="1" applyFill="1" applyBorder="1" applyAlignment="1">
      <x:alignment horizontal="left" vertical="top" wrapText="1"/>
    </x:xf>
    <x:xf numFmtId="0" fontId="80" fillId="131" borderId="14" xfId="0" applyNumberFormat="1" applyFont="1" applyFill="1" applyBorder="1" applyAlignment="1">
      <x:alignment horizontal="left" vertical="top" wrapText="1"/>
    </x:xf>
    <x:xf numFmtId="0" fontId="80" fillId="131" borderId="12" xfId="0" applyNumberFormat="1" applyFont="1" applyFill="1" applyBorder="1" applyAlignment="1">
      <x:alignment horizontal="left" vertical="top" wrapText="1"/>
    </x:xf>
    <x:xf numFmtId="0" fontId="80" fillId="131" borderId="17" xfId="0" applyNumberFormat="1" applyFont="1" applyFill="1" applyBorder="1" applyAlignment="1">
      <x:alignment horizontal="left" vertical="top" wrapText="1"/>
    </x:xf>
    <x:xf numFmtId="0" fontId="80" fillId="127" borderId="30" xfId="0" applyNumberFormat="1" applyFont="1" applyFill="1" applyBorder="1" applyAlignment="1">
      <x:alignment horizontal="left" vertical="top" wrapText="1"/>
    </x:xf>
    <x:xf numFmtId="0" fontId="80" fillId="127" borderId="28" xfId="0" applyNumberFormat="1" applyFont="1" applyFill="1" applyBorder="1" applyAlignment="1">
      <x:alignment horizontal="left" vertical="top" wrapText="1"/>
    </x:xf>
    <x:xf numFmtId="0" fontId="80" fillId="127" borderId="33" xfId="0" applyNumberFormat="1" applyFont="1" applyFill="1" applyBorder="1" applyAlignment="1">
      <x:alignment horizontal="left" vertical="top" wrapText="1"/>
    </x:xf>
    <x:xf numFmtId="0" fontId="80" fillId="131" xfId="0" applyNumberFormat="1" applyFont="1" applyFill="1" applyBorder="0" applyAlignment="1">
      <x:alignment horizontal="left" vertical="top" wrapText="1"/>
    </x:xf>
    <x:xf numFmtId="0" fontId="80" fillId="141" borderId="23" xfId="0" applyNumberFormat="1" applyFont="1" applyFill="1" applyBorder="1" applyAlignment="1">
      <x:alignment horizontal="left" vertical="top" wrapText="1"/>
    </x:xf>
    <x:xf numFmtId="0" fontId="80" fillId="141" borderId="26" xfId="0" applyNumberFormat="1" applyFont="1" applyFill="1" applyBorder="1" applyAlignment="1">
      <x:alignment horizontal="left" vertical="top" wrapText="1"/>
    </x:xf>
    <x:xf numFmtId="0" fontId="80" fillId="131" borderId="15" xfId="0" applyNumberFormat="1" applyFont="1" applyFill="1" applyBorder="1" applyAlignment="1">
      <x:alignment horizontal="left" vertical="top" wrapText="1"/>
    </x:xf>
    <x:xf numFmtId="0" fontId="80" fillId="131" borderId="49" xfId="0" applyNumberFormat="1" applyFont="1" applyFill="1" applyBorder="1" applyAlignment="1">
      <x:alignment horizontal="left" vertical="top" wrapText="1"/>
    </x:xf>
    <x:xf numFmtId="0" fontId="80" fillId="131" borderId="18" xfId="0" applyNumberFormat="1" applyFont="1" applyFill="1" applyBorder="1" applyAlignment="1">
      <x:alignment horizontal="left" vertical="top" wrapText="1"/>
    </x:xf>
    <x:xf numFmtId="0" fontId="80" fillId="127" borderId="31" xfId="0" applyNumberFormat="1" applyFont="1" applyFill="1" applyBorder="1" applyAlignment="1">
      <x:alignment horizontal="left" vertical="top" wrapText="1"/>
    </x:xf>
    <x:xf numFmtId="0" fontId="80" fillId="130" xfId="0" applyNumberFormat="1" applyFont="1" applyFill="1" applyBorder="0" applyAlignment="1">
      <x:alignment horizontal="left" vertical="top" wrapText="1"/>
    </x:xf>
    <x:xf numFmtId="0" fontId="80" fillId="131" borderId="45" xfId="0" applyNumberFormat="1" applyFont="1" applyFill="1" applyBorder="1" applyAlignment="1">
      <x:alignment horizontal="left" vertical="top" wrapText="1"/>
    </x:xf>
    <x:xf numFmtId="0" fontId="80" fillId="131" borderId="44" xfId="0" applyNumberFormat="1" applyFont="1" applyFill="1" applyBorder="1" applyAlignment="1">
      <x:alignment horizontal="left" vertical="top" wrapText="1"/>
    </x:xf>
    <x:xf numFmtId="0" fontId="80" fillId="141" borderId="24" xfId="0" applyNumberFormat="1" applyFont="1" applyFill="1" applyBorder="1" applyAlignment="1">
      <x:alignment horizontal="left" vertical="top" wrapText="1"/>
    </x:xf>
    <x:xf numFmtId="0" fontId="80" fillId="141" borderId="21" xfId="0" applyNumberFormat="1" applyFont="1" applyFill="1" applyBorder="1" applyAlignment="1">
      <x:alignment horizontal="left" vertical="top" wrapText="1"/>
    </x:xf>
    <x:xf numFmtId="0" fontId="80" fillId="141" borderId="27" xfId="0" applyNumberFormat="1" applyFont="1" applyFill="1" applyBorder="1" applyAlignment="1">
      <x:alignment horizontal="left" vertical="top" wrapText="1"/>
    </x:xf>
    <x:xf numFmtId="0" fontId="80" fillId="131" borderId="16" xfId="0" applyNumberFormat="1" applyFont="1" applyFill="1" applyBorder="1" applyAlignment="1">
      <x:alignment horizontal="left" vertical="top" wrapText="1"/>
    </x:xf>
    <x:xf numFmtId="0" fontId="80" fillId="131" borderId="13" xfId="0" applyNumberFormat="1" applyFont="1" applyFill="1" applyBorder="1" applyAlignment="1">
      <x:alignment horizontal="left" vertical="top" wrapText="1"/>
    </x:xf>
    <x:xf numFmtId="0" fontId="80" fillId="131" borderId="19" xfId="0" applyNumberFormat="1" applyFont="1" applyFill="1" applyBorder="1" applyAlignment="1">
      <x:alignment horizontal="left" vertical="top" wrapText="1"/>
    </x:xf>
    <x:xf numFmtId="0" fontId="80" fillId="127" borderId="32" xfId="0" applyNumberFormat="1" applyFont="1" applyFill="1" applyBorder="1" applyAlignment="1">
      <x:alignment horizontal="left" vertical="top" wrapText="1"/>
    </x:xf>
    <x:xf numFmtId="0" fontId="80" fillId="127" borderId="29" xfId="0" applyNumberFormat="1" applyFont="1" applyFill="1" applyBorder="1" applyAlignment="1">
      <x:alignment horizontal="left" vertical="top" wrapText="1"/>
    </x:xf>
    <x:xf numFmtId="0" fontId="80" fillId="127" borderId="35" xfId="0" applyNumberFormat="1" applyFont="1" applyFill="1" applyBorder="1" applyAlignment="1">
      <x:alignment horizontal="left" vertical="top" wrapText="1"/>
    </x:xf>
    <x:xf numFmtId="0" fontId="80" fillId="127" xfId="0" applyNumberFormat="1" applyFont="1" applyFill="1" applyBorder="0" applyAlignment="1">
      <x:alignment horizontal="left" vertical="top" wrapText="1"/>
    </x:xf>
    <x:xf numFmtId="0" fontId="80" fillId="151" borderId="49" xfId="0" applyNumberFormat="1" applyFont="1" applyFill="1" applyBorder="1" applyAlignment="1">
      <x:alignment horizontal="left" vertical="top" wrapText="1"/>
    </x:xf>
    <x:xf numFmtId="0" fontId="80" fillId="152" xfId="0" applyNumberFormat="1" applyFont="1" applyFill="1" applyBorder="0" applyAlignment="1">
      <x:alignment horizontal="left" vertical="top" wrapText="1"/>
    </x:xf>
    <x:xf numFmtId="0" fontId="80" fillId="152" borderId="45" xfId="0" applyNumberFormat="1" applyFont="1" applyFill="1" applyBorder="1" applyAlignment="1">
      <x:alignment horizontal="left" vertical="top" wrapText="1"/>
    </x:xf>
    <x:xf numFmtId="0" fontId="80" fillId="152" borderId="44" xfId="0" applyNumberFormat="1" applyFont="1" applyFill="1" applyBorder="1" applyAlignment="1">
      <x:alignment horizontal="left" vertical="top" wrapText="1"/>
    </x:xf>
    <x:xf numFmtId="0" fontId="80" fillId="129" borderId="60" xfId="0" applyNumberFormat="1" applyFont="1" applyFill="1" applyBorder="1" applyAlignment="1">
      <x:alignment horizontal="left" vertical="top" wrapText="1"/>
    </x:xf>
    <x:xf numFmtId="0" fontId="80" fillId="171" xfId="0" applyNumberFormat="1" applyFont="1" applyFill="1" applyBorder="0" applyAlignment="1">
      <x:alignment horizontal="left" vertical="top" wrapText="1"/>
    </x:xf>
    <x:xf numFmtId="0" fontId="81" fillId="171" xfId="0" applyNumberFormat="1" applyFont="1" applyFill="1" applyBorder="0" applyAlignment="1">
      <x:alignment horizontal="left" vertical="top" wrapText="1"/>
    </x:xf>
    <x:xf numFmtId="0" fontId="81" fillId="171" borderId="61" xfId="0" applyNumberFormat="1" applyFont="1" applyFill="1" applyBorder="1" applyAlignment="1">
      <x:alignment horizontal="left" vertical="top" wrapText="1"/>
    </x:xf>
    <x:xf numFmtId="0" fontId="81" fillId="152" xfId="0" applyNumberFormat="1" applyFont="1" applyFill="1" applyBorder="0" applyAlignment="1">
      <x:alignment horizontal="left" vertical="top" wrapText="1"/>
    </x:xf>
    <x:xf numFmtId="0" fontId="81" fillId="152" borderId="61" xfId="0" applyNumberFormat="1" applyFont="1" applyFill="1" applyBorder="1" applyAlignment="1">
      <x:alignment horizontal="left" vertical="top" wrapText="1"/>
    </x:xf>
    <x:xf numFmtId="0" fontId="0" fillId="172" borderId="0" xfId="0" applyNumberFormat="1" applyFont="1" applyFill="1" applyBorder="1" applyAlignment="1">
      <x:alignment wrapText="1"/>
    </x:xf>
    <x:xf numFmtId="0" fontId="0" fillId="172" borderId="0" xfId="0" applyNumberFormat="1" applyFont="1" applyFill="1" applyBorder="1" applyAlignment="1">
      <x:alignment horizontal="center" wrapText="1"/>
    </x:xf>
    <x:xf numFmtId="0" fontId="0" fillId="172" borderId="0" xfId="0" applyNumberFormat="1" applyFont="1" applyFill="1" applyBorder="1" applyAlignment="1">
      <x:alignment horizontal="center" vertical="center" wrapText="1"/>
    </x:xf>
    <x:xf numFmtId="0" fontId="0" fillId="172" xfId="0" applyNumberFormat="1" applyFont="1" applyFill="1" applyBorder="0" applyAlignment="1">
      <x:alignment horizontal="center" vertical="center" wrapText="1"/>
    </x:xf>
    <x:xf numFmtId="0" fontId="26" fillId="172" xfId="0" applyNumberFormat="1" applyFont="1" applyFill="1" applyBorder="0" applyAlignment="1">
      <x:alignment horizontal="center" vertical="center" wrapText="1"/>
    </x:xf>
    <x:xf numFmtId="0" fontId="25" fillId="172" xfId="0" applyNumberFormat="1" applyFont="1" applyFill="1" applyBorder="0" applyAlignment="1">
      <x:alignment horizontal="center" vertical="center" wrapText="1"/>
    </x:xf>
    <x:xf numFmtId="0" fontId="22" fillId="172" xfId="0" applyNumberFormat="1" applyFont="1" applyFill="1" applyBorder="0" applyAlignment="1">
      <x:alignment horizontal="center" vertical="center" wrapText="1"/>
    </x:xf>
    <x:xf numFmtId="0" fontId="4" fillId="172" xfId="0" applyNumberFormat="1" applyFont="1" applyFill="1" applyBorder="0" applyAlignment="1">
      <x:alignment horizontal="center" vertical="center" wrapText="1"/>
    </x:xf>
    <x:xf numFmtId="0" fontId="0" fillId="173" borderId="0" xfId="0" applyNumberFormat="1" applyFont="1" applyFill="1" applyBorder="1" applyAlignment="1">
      <x:alignment wrapText="1"/>
    </x:xf>
    <x:xf numFmtId="0" fontId="0" fillId="173" borderId="0" xfId="0" applyNumberFormat="1" applyFont="1" applyFill="1" applyBorder="1" applyAlignment="1">
      <x:alignment horizontal="center" wrapText="1"/>
    </x:xf>
    <x:xf numFmtId="0" fontId="0" fillId="173" borderId="0" xfId="0" applyNumberFormat="1" applyFont="1" applyFill="1" applyBorder="1" applyAlignment="1">
      <x:alignment horizontal="center" vertical="center" wrapText="1"/>
    </x:xf>
    <x:xf numFmtId="0" fontId="0" fillId="173" xfId="0" applyNumberFormat="1" applyFont="1" applyFill="1" applyBorder="0" applyAlignment="1">
      <x:alignment horizontal="center" vertical="center" wrapText="1"/>
    </x:xf>
    <x:xf numFmtId="0" fontId="26" fillId="173" xfId="0" applyNumberFormat="1" applyFont="1" applyFill="1" applyBorder="0" applyAlignment="1">
      <x:alignment horizontal="center" vertical="center" wrapText="1"/>
    </x:xf>
    <x:xf numFmtId="0" fontId="25" fillId="173" xfId="0" applyNumberFormat="1" applyFont="1" applyFill="1" applyBorder="0" applyAlignment="1">
      <x:alignment horizontal="center" vertical="center" wrapText="1"/>
    </x:xf>
    <x:xf numFmtId="0" fontId="22" fillId="173" xfId="0" applyNumberFormat="1" applyFont="1" applyFill="1" applyBorder="0" applyAlignment="1">
      <x:alignment horizontal="center" vertical="center" wrapText="1"/>
    </x:xf>
    <x:xf numFmtId="0" fontId="4" fillId="173" xfId="0" applyNumberFormat="1" applyFont="1" applyFill="1" applyBorder="0" applyAlignment="1">
      <x:alignment horizontal="center" vertical="center" wrapText="1"/>
    </x:xf>
    <x:xf numFmtId="0" fontId="0" fillId="174" borderId="0" xfId="0" applyNumberFormat="1" applyFont="1" applyFill="1" applyBorder="1" applyAlignment="1">
      <x:alignment wrapText="1"/>
    </x:xf>
    <x:xf numFmtId="0" fontId="0" fillId="174" borderId="0" xfId="0" applyNumberFormat="1" applyFont="1" applyFill="1" applyBorder="1" applyAlignment="1">
      <x:alignment horizontal="center" wrapText="1"/>
    </x:xf>
    <x:xf numFmtId="0" fontId="0" fillId="174" borderId="0" xfId="0" applyNumberFormat="1" applyFont="1" applyFill="1" applyBorder="1" applyAlignment="1">
      <x:alignment horizontal="center" vertical="center" wrapText="1"/>
    </x:xf>
    <x:xf numFmtId="0" fontId="0" fillId="174" xfId="0" applyNumberFormat="1" applyFont="1" applyFill="1" applyBorder="0" applyAlignment="1">
      <x:alignment horizontal="center" vertical="center" wrapText="1"/>
    </x:xf>
    <x:xf numFmtId="0" fontId="26" fillId="174" xfId="0" applyNumberFormat="1" applyFont="1" applyFill="1" applyBorder="0" applyAlignment="1">
      <x:alignment horizontal="center" vertical="center" wrapText="1"/>
    </x:xf>
    <x:xf numFmtId="0" fontId="25" fillId="174" xfId="0" applyNumberFormat="1" applyFont="1" applyFill="1" applyBorder="0" applyAlignment="1">
      <x:alignment horizontal="center" vertical="center" wrapText="1"/>
    </x:xf>
    <x:xf numFmtId="0" fontId="22" fillId="174" xfId="0" applyNumberFormat="1" applyFont="1" applyFill="1" applyBorder="0" applyAlignment="1">
      <x:alignment horizontal="center" vertical="center" wrapText="1"/>
    </x:xf>
    <x:xf numFmtId="0" fontId="4" fillId="174" xfId="0" applyNumberFormat="1" applyFont="1" applyFill="1" applyBorder="0" applyAlignment="1">
      <x:alignment horizontal="center" vertical="center" wrapText="1"/>
    </x:xf>
    <x:xf numFmtId="0" fontId="0" fillId="175" borderId="0" xfId="0" applyNumberFormat="1" applyFont="1" applyFill="1" applyBorder="1" applyAlignment="1">
      <x:alignment wrapText="1"/>
    </x:xf>
    <x:xf numFmtId="0" fontId="0" fillId="175" borderId="0" xfId="0" applyNumberFormat="1" applyFont="1" applyFill="1" applyBorder="1" applyAlignment="1">
      <x:alignment horizontal="center" wrapText="1"/>
    </x:xf>
    <x:xf numFmtId="0" fontId="0" fillId="175" borderId="0" xfId="0" applyNumberFormat="1" applyFont="1" applyFill="1" applyBorder="1" applyAlignment="1">
      <x:alignment horizontal="center" vertical="center" wrapText="1"/>
    </x:xf>
    <x:xf numFmtId="0" fontId="0" fillId="175" xfId="0" applyNumberFormat="1" applyFont="1" applyFill="1" applyBorder="0" applyAlignment="1">
      <x:alignment horizontal="center" vertical="center" wrapText="1"/>
    </x:xf>
    <x:xf numFmtId="0" fontId="26" fillId="175" xfId="0" applyNumberFormat="1" applyFont="1" applyFill="1" applyBorder="0" applyAlignment="1">
      <x:alignment horizontal="center" vertical="center" wrapText="1"/>
    </x:xf>
    <x:xf numFmtId="0" fontId="25" fillId="175" xfId="0" applyNumberFormat="1" applyFont="1" applyFill="1" applyBorder="0" applyAlignment="1">
      <x:alignment horizontal="center" vertical="center" wrapText="1"/>
    </x:xf>
    <x:xf numFmtId="0" fontId="22" fillId="175" xfId="0" applyNumberFormat="1" applyFont="1" applyFill="1" applyBorder="0" applyAlignment="1">
      <x:alignment horizontal="center" vertical="center" wrapText="1"/>
    </x:xf>
    <x:xf numFmtId="0" fontId="4" fillId="175" xfId="0" applyNumberFormat="1" applyFont="1" applyFill="1" applyBorder="0" applyAlignment="1">
      <x:alignment horizontal="center" vertical="center" wrapText="1"/>
    </x:xf>
    <x:xf numFmtId="0" fontId="0" fillId="172" borderId="0" xfId="0" applyNumberFormat="1" applyFont="1" applyFill="1" applyBorder="1"/>
    <x:xf numFmtId="0" fontId="0" fillId="175" borderId="0" xfId="0" applyNumberFormat="1" applyFont="1" applyFill="1" applyBorder="1"/>
    <x:xf numFmtId="0" fontId="81" fillId="152" borderId="62" xfId="0" applyNumberFormat="1" applyFont="1" applyFill="1" applyBorder="1" applyAlignment="1">
      <x:alignment horizontal="left" vertical="top" wrapText="1"/>
    </x:xf>
    <x:xf numFmtId="0" fontId="81" fillId="176" borderId="62" xfId="0" applyNumberFormat="1" applyFont="1" applyFill="1" applyBorder="1" applyAlignment="1">
      <x:alignment horizontal="left" vertical="top" wrapText="1"/>
    </x:xf>
    <x:xf numFmtId="0" fontId="0" fillId="10" borderId="0" xfId="0" applyNumberFormat="1" applyFont="1" applyFill="1" applyBorder="1" applyAlignment="1">
      <x:alignment wrapText="1"/>
    </x:xf>
    <x:xf numFmtId="0" fontId="0" fillId="10" borderId="0" xfId="0" applyNumberFormat="1" applyFont="1" applyFill="1" applyBorder="1" applyAlignment="1">
      <x:alignment horizontal="center" wrapText="1"/>
    </x:xf>
    <x:xf numFmtId="0" fontId="0" fillId="10" borderId="0" xfId="0" applyNumberFormat="1" applyFont="1" applyFill="1" applyBorder="1" applyAlignment="1">
      <x:alignment horizontal="center" vertical="center" wrapText="1"/>
    </x:xf>
    <x:xf numFmtId="0" fontId="0" fillId="10" xfId="0" applyNumberFormat="1" applyFont="1" applyFill="1" applyBorder="0" applyAlignment="1">
      <x:alignment horizontal="center" vertical="center" wrapText="1"/>
    </x:xf>
    <x:xf numFmtId="0" fontId="26" fillId="10" xfId="0" applyNumberFormat="1" applyFont="1" applyFill="1" applyBorder="0" applyAlignment="1">
      <x:alignment horizontal="center" vertical="center" wrapText="1"/>
    </x:xf>
    <x:xf numFmtId="0" fontId="25" fillId="10" xfId="0" applyNumberFormat="1" applyFont="1" applyFill="1" applyBorder="0" applyAlignment="1">
      <x:alignment horizontal="center" vertical="center" wrapText="1"/>
    </x:xf>
    <x:xf numFmtId="0" fontId="22" fillId="10" xfId="0" applyNumberFormat="1" applyFont="1" applyFill="1" applyBorder="0" applyAlignment="1">
      <x:alignment horizontal="center" vertical="center" wrapText="1"/>
    </x:xf>
    <x:xf numFmtId="0" fontId="4" fillId="10" xfId="0" applyNumberFormat="1" applyFont="1" applyFill="1" applyBorder="0" applyAlignment="1">
      <x:alignment horizontal="center" vertical="center" wrapText="1"/>
    </x:xf>
    <x:xf numFmtId="0" fontId="0" fillId="9" borderId="0" xfId="0" applyNumberFormat="1" applyFont="1" applyFill="1" applyBorder="1" applyAlignment="1">
      <x:alignment wrapText="1"/>
    </x:xf>
    <x:xf numFmtId="0" fontId="0" fillId="9" borderId="0" xfId="0" applyNumberFormat="1" applyFont="1" applyFill="1" applyBorder="1" applyAlignment="1">
      <x:alignment horizontal="center" wrapText="1"/>
    </x:xf>
    <x:xf numFmtId="0" fontId="0" fillId="9" borderId="0" xfId="0" applyNumberFormat="1" applyFont="1" applyFill="1" applyBorder="1" applyAlignment="1">
      <x:alignment horizontal="center" vertical="center" wrapText="1"/>
    </x:xf>
    <x:xf numFmtId="0" fontId="0" fillId="9" xfId="0" applyNumberFormat="1" applyFont="1" applyFill="1" applyBorder="0" applyAlignment="1">
      <x:alignment horizontal="center" vertical="center" wrapText="1"/>
    </x:xf>
    <x:xf numFmtId="0" fontId="26" fillId="9" xfId="0" applyNumberFormat="1" applyFont="1" applyFill="1" applyBorder="0" applyAlignment="1">
      <x:alignment horizontal="center" vertical="center" wrapText="1"/>
    </x:xf>
    <x:xf numFmtId="0" fontId="25" fillId="9" xfId="0" applyNumberFormat="1" applyFont="1" applyFill="1" applyBorder="0" applyAlignment="1">
      <x:alignment horizontal="center" vertical="center" wrapText="1"/>
    </x:xf>
    <x:xf numFmtId="0" fontId="22" fillId="9" xfId="0" applyNumberFormat="1" applyFont="1" applyFill="1" applyBorder="0" applyAlignment="1">
      <x:alignment horizontal="center" vertical="center" wrapText="1"/>
    </x:xf>
    <x:xf numFmtId="0" fontId="4" fillId="9" xfId="0" applyNumberFormat="1" applyFont="1" applyFill="1" applyBorder="0" applyAlignment="1">
      <x:alignment horizontal="center" vertical="center" wrapText="1"/>
    </x:xf>
    <x:xf numFmtId="0" fontId="0" fillId="86" borderId="0" xfId="0" applyNumberFormat="1" applyFont="1" applyFill="1" applyBorder="1" applyAlignment="1">
      <x:alignment horizontal="center" wrapText="1"/>
    </x:xf>
    <x:xf numFmtId="0" fontId="0" fillId="86" borderId="0" xfId="0" applyNumberFormat="1" applyFont="1" applyFill="1" applyBorder="1" applyAlignment="1">
      <x:alignment horizontal="center" vertical="center" wrapText="1"/>
    </x:xf>
    <x:xf numFmtId="0" fontId="26" fillId="86" xfId="0" applyNumberFormat="1" applyFont="1" applyFill="1" applyBorder="0" applyAlignment="1">
      <x:alignment horizontal="center" vertical="center" wrapText="1"/>
    </x:xf>
    <x:xf numFmtId="0" fontId="25" fillId="86" xfId="0" applyNumberFormat="1" applyFont="1" applyFill="1" applyBorder="0" applyAlignment="1">
      <x:alignment horizontal="center" vertical="center" wrapText="1"/>
    </x:xf>
    <x:xf numFmtId="0" fontId="22" fillId="86" xfId="0" applyNumberFormat="1" applyFont="1" applyFill="1" applyBorder="0" applyAlignment="1">
      <x:alignment horizontal="center" vertical="center" wrapText="1"/>
    </x:xf>
    <x:xf numFmtId="0" fontId="4" fillId="86" xfId="0" applyNumberFormat="1" applyFont="1" applyFill="1" applyBorder="0" applyAlignment="1">
      <x:alignment horizontal="center" vertical="center" wrapText="1"/>
    </x:xf>
    <x:xf numFmtId="0" fontId="0" fillId="18" borderId="0" xfId="0" applyNumberFormat="1" applyFont="1" applyFill="1" applyBorder="1" applyAlignment="1">
      <x:alignment wrapText="1"/>
    </x:xf>
    <x:xf numFmtId="0" fontId="0" fillId="18" borderId="0" xfId="0" applyNumberFormat="1" applyFont="1" applyFill="1" applyBorder="1" applyAlignment="1">
      <x:alignment horizontal="center" wrapText="1"/>
    </x:xf>
    <x:xf numFmtId="0" fontId="0" fillId="18" borderId="0" xfId="0" applyNumberFormat="1" applyFont="1" applyFill="1" applyBorder="1" applyAlignment="1">
      <x:alignment horizontal="center" vertical="center" wrapText="1"/>
    </x:xf>
    <x:xf numFmtId="0" fontId="0" fillId="18" xfId="0" applyNumberFormat="1" applyFont="1" applyFill="1" applyBorder="0" applyAlignment="1">
      <x:alignment horizontal="center" vertical="center" wrapText="1"/>
    </x:xf>
    <x:xf numFmtId="0" fontId="26" fillId="18" xfId="0" applyNumberFormat="1" applyFont="1" applyFill="1" applyBorder="0" applyAlignment="1">
      <x:alignment horizontal="center" vertical="center" wrapText="1"/>
    </x:xf>
    <x:xf numFmtId="0" fontId="25" fillId="18" xfId="0" applyNumberFormat="1" applyFont="1" applyFill="1" applyBorder="0" applyAlignment="1">
      <x:alignment horizontal="center" vertical="center" wrapText="1"/>
    </x:xf>
    <x:xf numFmtId="0" fontId="22" fillId="18" xfId="0" applyNumberFormat="1" applyFont="1" applyFill="1" applyBorder="0" applyAlignment="1">
      <x:alignment horizontal="center" vertical="center" wrapText="1"/>
    </x:xf>
    <x:xf numFmtId="0" fontId="4" fillId="18" xfId="0" applyNumberFormat="1" applyFont="1" applyFill="1" applyBorder="0" applyAlignment="1">
      <x:alignment horizontal="center" vertical="center" wrapText="1"/>
    </x:xf>
    <x:xf numFmtId="0" fontId="0" fillId="10" borderId="0" xfId="0" applyNumberFormat="1" applyFont="1" applyFill="1" applyBorder="1"/>
    <x:xf numFmtId="0" fontId="0" fillId="18" borderId="0" xfId="0" applyNumberFormat="1" applyFont="1" applyFill="1" applyBorder="1"/>
    <x:xf numFmtId="0" fontId="25" fillId="177" xfId="0" applyNumberFormat="1" applyFont="1" applyFill="1" applyBorder="0" applyAlignment="1">
      <x:alignment horizontal="center" vertical="center" wrapText="1"/>
    </x:xf>
    <x:xf numFmtId="0" fontId="22" fillId="177" xfId="0" applyNumberFormat="1" applyFont="1" applyFill="1" applyBorder="0" applyAlignment="1">
      <x:alignment horizontal="center" vertical="center" wrapText="1"/>
    </x:xf>
    <x:xf numFmtId="0" fontId="26" fillId="177" xfId="0" applyNumberFormat="1" applyFont="1" applyFill="1" applyBorder="0" applyAlignment="1">
      <x:alignment horizontal="center" vertical="center" wrapText="1"/>
    </x:xf>
    <x:xf numFmtId="0" fontId="4" fillId="177" xfId="0" applyNumberFormat="1" applyFont="1" applyFill="1" applyBorder="0" applyAlignment="1">
      <x:alignment horizontal="center" vertical="center" wrapText="1"/>
    </x:xf>
    <x:xf numFmtId="0" fontId="82" fillId="177" xfId="0" applyNumberFormat="1" applyFont="1" applyFill="1" applyBorder="0" applyAlignment="1">
      <x:alignment horizontal="center" vertical="center" wrapText="1"/>
    </x:xf>
    <x:xf numFmtId="0" fontId="25" fillId="178" xfId="0" applyNumberFormat="1" applyFont="1" applyFill="1" applyBorder="0" applyAlignment="1">
      <x:alignment horizontal="center" vertical="center" wrapText="1"/>
    </x:xf>
    <x:xf numFmtId="0" fontId="22" fillId="178" xfId="0" applyNumberFormat="1" applyFont="1" applyFill="1" applyBorder="0" applyAlignment="1">
      <x:alignment horizontal="center" vertical="center" wrapText="1"/>
    </x:xf>
    <x:xf numFmtId="0" fontId="26" fillId="178" xfId="0" applyNumberFormat="1" applyFont="1" applyFill="1" applyBorder="0" applyAlignment="1">
      <x:alignment horizontal="center" vertical="center" wrapText="1"/>
    </x:xf>
    <x:xf numFmtId="0" fontId="4" fillId="178" xfId="0" applyNumberFormat="1" applyFont="1" applyFill="1" applyBorder="0" applyAlignment="1">
      <x:alignment horizontal="center" vertical="center" wrapText="1"/>
    </x:xf>
    <x:xf numFmtId="0" fontId="82" fillId="178" xfId="0" applyNumberFormat="1" applyFont="1" applyFill="1" applyBorder="0" applyAlignment="1">
      <x:alignment horizontal="center" vertical="center" wrapText="1"/>
    </x:xf>
    <x:xf numFmtId="0" fontId="25" fillId="179" xfId="0" applyNumberFormat="1" applyFont="1" applyFill="1" applyBorder="0" applyAlignment="1">
      <x:alignment horizontal="center" vertical="center" wrapText="1"/>
    </x:xf>
    <x:xf numFmtId="0" fontId="22" fillId="179" xfId="0" applyNumberFormat="1" applyFont="1" applyFill="1" applyBorder="0" applyAlignment="1">
      <x:alignment horizontal="center" vertical="center" wrapText="1"/>
    </x:xf>
    <x:xf numFmtId="0" fontId="26" fillId="179" xfId="0" applyNumberFormat="1" applyFont="1" applyFill="1" applyBorder="0" applyAlignment="1">
      <x:alignment horizontal="center" vertical="center" wrapText="1"/>
    </x:xf>
    <x:xf numFmtId="0" fontId="4" fillId="179" xfId="0" applyNumberFormat="1" applyFont="1" applyFill="1" applyBorder="0" applyAlignment="1">
      <x:alignment horizontal="center" vertical="center" wrapText="1"/>
    </x:xf>
    <x:xf numFmtId="0" fontId="82" fillId="179" xfId="0" applyNumberFormat="1" applyFont="1" applyFill="1" applyBorder="0" applyAlignment="1">
      <x:alignment horizontal="center" vertical="center" wrapText="1"/>
    </x:xf>
    <x:xf numFmtId="0" fontId="25" fillId="180" xfId="0" applyNumberFormat="1" applyFont="1" applyFill="1" applyBorder="0" applyAlignment="1">
      <x:alignment horizontal="center" vertical="center" wrapText="1"/>
    </x:xf>
    <x:xf numFmtId="0" fontId="22" fillId="180" xfId="0" applyNumberFormat="1" applyFont="1" applyFill="1" applyBorder="0" applyAlignment="1">
      <x:alignment horizontal="center" vertical="center" wrapText="1"/>
    </x:xf>
    <x:xf numFmtId="0" fontId="26" fillId="180" xfId="0" applyNumberFormat="1" applyFont="1" applyFill="1" applyBorder="0" applyAlignment="1">
      <x:alignment horizontal="center" vertical="center" wrapText="1"/>
    </x:xf>
    <x:xf numFmtId="0" fontId="4" fillId="180" xfId="0" applyNumberFormat="1" applyFont="1" applyFill="1" applyBorder="0" applyAlignment="1">
      <x:alignment horizontal="center" vertical="center" wrapText="1"/>
    </x:xf>
    <x:xf numFmtId="0" fontId="82" fillId="180" xfId="0" applyNumberFormat="1" applyFont="1" applyFill="1" applyBorder="0" applyAlignment="1">
      <x:alignment horizontal="center" vertical="center" wrapText="1"/>
    </x:xf>
    <x:xf numFmtId="0" fontId="25" fillId="73" xfId="0" applyNumberFormat="1" applyFont="1" applyFill="1" applyBorder="0" applyAlignment="1">
      <x:alignment horizontal="center" vertical="center" wrapText="1"/>
    </x:xf>
    <x:xf numFmtId="0" fontId="22" fillId="73" xfId="0" applyNumberFormat="1" applyFont="1" applyFill="1" applyBorder="0" applyAlignment="1">
      <x:alignment horizontal="center" vertical="center" wrapText="1"/>
    </x:xf>
    <x:xf numFmtId="0" fontId="26" fillId="73" xfId="0" applyNumberFormat="1" applyFont="1" applyFill="1" applyBorder="0" applyAlignment="1">
      <x:alignment horizontal="center" vertical="center" wrapText="1"/>
    </x:xf>
    <x:xf numFmtId="0" fontId="4" fillId="73" xfId="0" applyNumberFormat="1" applyFont="1" applyFill="1" applyBorder="0" applyAlignment="1">
      <x:alignment horizontal="center" vertical="center" wrapText="1"/>
    </x:xf>
    <x:xf numFmtId="0" fontId="82" fillId="73" xfId="0" applyNumberFormat="1" applyFont="1" applyFill="1" applyBorder="0" applyAlignment="1">
      <x:alignment horizontal="center" vertical="center" wrapText="1"/>
    </x:xf>
    <x:xf numFmtId="0" fontId="82" fillId="9" xfId="0" applyNumberFormat="1" applyFont="1" applyFill="1" applyBorder="0" applyAlignment="1">
      <x:alignment horizontal="center" vertical="center" wrapText="1"/>
    </x:xf>
    <x:xf numFmtId="0" fontId="82" fillId="86" xfId="0" applyNumberFormat="1" applyFont="1" applyFill="1" applyBorder="0" applyAlignment="1">
      <x:alignment horizontal="center" vertical="center" wrapText="1"/>
    </x:xf>
    <x:xf numFmtId="0" fontId="82" fillId="18" xfId="0" applyNumberFormat="1" applyFont="1" applyFill="1" applyBorder="0" applyAlignment="1">
      <x:alignment horizontal="center" vertical="center" wrapText="1"/>
    </x:xf>
    <x:xf numFmtId="0" fontId="5" fillId="181" borderId="1" xfId="0" applyNumberFormat="1" applyFont="1" applyFill="1" applyBorder="1" applyAlignment="1">
      <x:alignment horizontal="center" vertical="center"/>
    </x:xf>
    <x:xf numFmtId="0" fontId="22" fillId="181" borderId="1" xfId="0" applyNumberFormat="1" applyFont="1" applyFill="1" applyBorder="1" applyAlignment="1">
      <x:alignment horizontal="center" vertical="center"/>
    </x:xf>
    <x:xf numFmtId="0" fontId="18" fillId="182" borderId="1" xfId="0" applyNumberFormat="1" applyFont="1" applyFill="1" applyBorder="1" applyAlignment="1">
      <x:alignment horizontal="center" vertical="center"/>
    </x:xf>
    <x:xf numFmtId="0" fontId="19" fillId="182" borderId="1" xfId="0" applyNumberFormat="1" applyFont="1" applyFill="1" applyBorder="1" applyAlignment="1">
      <x:alignment horizontal="center" vertical="center"/>
    </x:xf>
    <x:xf numFmtId="0" fontId="20" fillId="182" borderId="1" xfId="0" applyNumberFormat="1" applyFont="1" applyFill="1" applyBorder="1" applyAlignment="1">
      <x:alignment horizontal="center" vertical="center"/>
    </x:xf>
    <x:xf numFmtId="0" fontId="21" fillId="182" borderId="1" xfId="0" applyNumberFormat="1" applyFont="1" applyFill="1" applyBorder="1" applyAlignment="1">
      <x:alignment horizontal="left" vertical="center" wrapText="1"/>
    </x:xf>
    <x:xf numFmtId="0" fontId="83" fillId="182" borderId="1" xfId="0" applyNumberFormat="1" applyFont="1" applyFill="1" applyBorder="1" applyAlignment="1">
      <x:alignment horizontal="center" vertical="center"/>
    </x:xf>
    <x:xf numFmtId="0" fontId="84" fillId="182" borderId="1" xfId="0" applyNumberFormat="1" applyFont="1" applyFill="1" applyBorder="1" applyAlignment="1">
      <x:alignment horizontal="left" vertical="center" wrapText="1"/>
    </x:xf>
    <x:xf numFmtId="0" fontId="83" fillId="182" borderId="1" xfId="0" applyNumberFormat="1" applyFont="1" applyFill="1" applyBorder="1" applyAlignment="1">
      <x:alignment horizontal="center" vertical="center" wrapText="1"/>
    </x:xf>
    <x:xf numFmtId="0" fontId="83" fillId="182" borderId="1" xfId="0" applyNumberFormat="1" applyFont="1" applyFill="1" applyBorder="1" applyAlignment="1">
      <x:alignment horizontal="left" vertical="center" wrapText="1"/>
    </x:xf>
    <x:xf numFmtId="0" fontId="22" fillId="182" borderId="1" xfId="0" applyNumberFormat="1" applyFont="1" applyFill="1" applyBorder="1" applyAlignment="1">
      <x:alignment horizontal="center" vertical="center"/>
    </x:xf>
    <x:xf numFmtId="0" fontId="0" fillId="182" borderId="0" xfId="0" applyNumberFormat="1" applyFont="1" applyFill="1" applyBorder="1"/>
    <x:xf numFmtId="0" fontId="26" fillId="182" borderId="0" xfId="0" applyNumberFormat="1" applyFont="1" applyFill="1" applyBorder="1"/>
    <x:xf numFmtId="0" fontId="26" fillId="182" xfId="0" applyNumberFormat="1" applyFont="1" applyFill="1" applyBorder="0"/>
    <x:xf numFmtId="0" fontId="26" fillId="182" xfId="0" applyNumberFormat="1" applyFont="1" applyFill="1" applyBorder="0" applyAlignment="1">
      <x:alignment wrapText="1"/>
    </x:xf>
    <x:xf numFmtId="0" fontId="26" fillId="182" xfId="0" applyNumberFormat="1" applyFont="1" applyFill="1" applyBorder="0" applyAlignment="1">
      <x:alignment horizontal="center" wrapText="1"/>
    </x:xf>
    <x:xf numFmtId="0" fontId="26" fillId="182" xfId="0" applyNumberFormat="1" applyFont="1" applyFill="1" applyBorder="0" applyAlignment="1">
      <x:alignment horizontal="center" vertical="center" wrapText="1"/>
    </x:xf>
    <x:xf numFmtId="0" fontId="25" fillId="182" xfId="0" applyNumberFormat="1" applyFont="1" applyFill="1" applyBorder="0" applyAlignment="1">
      <x:alignment horizontal="center" vertical="center" wrapText="1"/>
    </x:xf>
    <x:xf numFmtId="0" fontId="22" fillId="182" xfId="0" applyNumberFormat="1" applyFont="1" applyFill="1" applyBorder="0" applyAlignment="1">
      <x:alignment horizontal="center" vertical="center" wrapText="1"/>
    </x:xf>
    <x:xf numFmtId="0" fontId="4" fillId="182" xfId="0" applyNumberFormat="1" applyFont="1" applyFill="1" applyBorder="0" applyAlignment="1">
      <x:alignment horizontal="center" vertical="center" wrapText="1"/>
    </x:xf>
    <x:xf numFmtId="0" fontId="19" fillId="10" borderId="1" xfId="0" applyNumberFormat="1" applyFont="1" applyFill="1" applyBorder="1" applyAlignment="1">
      <x:alignment horizontal="center" vertical="center"/>
    </x:xf>
    <x:xf numFmtId="0" fontId="20" fillId="10" borderId="1" xfId="0" applyNumberFormat="1" applyFont="1" applyFill="1" applyBorder="1" applyAlignment="1">
      <x:alignment horizontal="center" vertical="center"/>
    </x:xf>
    <x:xf numFmtId="0" fontId="21" fillId="10" borderId="1" xfId="0" applyNumberFormat="1" applyFont="1" applyFill="1" applyBorder="1" applyAlignment="1">
      <x:alignment horizontal="left" vertical="center" wrapText="1"/>
    </x:xf>
    <x:xf numFmtId="0" fontId="83" fillId="10" borderId="1" xfId="0" applyNumberFormat="1" applyFont="1" applyFill="1" applyBorder="1" applyAlignment="1">
      <x:alignment horizontal="center" vertical="center"/>
    </x:xf>
    <x:xf numFmtId="0" fontId="84" fillId="10" borderId="1" xfId="0" applyNumberFormat="1" applyFont="1" applyFill="1" applyBorder="1" applyAlignment="1">
      <x:alignment horizontal="left" vertical="center" wrapText="1"/>
    </x:xf>
    <x:xf numFmtId="0" fontId="83" fillId="10" borderId="1" xfId="0" applyNumberFormat="1" applyFont="1" applyFill="1" applyBorder="1" applyAlignment="1">
      <x:alignment horizontal="center" vertical="center" wrapText="1"/>
    </x:xf>
    <x:xf numFmtId="0" fontId="83" fillId="10" borderId="1" xfId="0" applyNumberFormat="1" applyFont="1" applyFill="1" applyBorder="1" applyAlignment="1">
      <x:alignment horizontal="left" vertical="center" wrapText="1"/>
    </x:xf>
    <x:xf numFmtId="0" fontId="22" fillId="10" borderId="1" xfId="0" applyNumberFormat="1" applyFont="1" applyFill="1" applyBorder="1" applyAlignment="1">
      <x:alignment horizontal="center" vertical="center"/>
    </x:xf>
    <x:xf numFmtId="0" fontId="26" fillId="10" borderId="0" xfId="0" applyNumberFormat="1" applyFont="1" applyFill="1" applyBorder="1"/>
    <x:xf numFmtId="0" fontId="26" fillId="10" xfId="0" applyNumberFormat="1" applyFont="1" applyFill="1" applyBorder="0"/>
    <x:xf numFmtId="0" fontId="26" fillId="10" xfId="0" applyNumberFormat="1" applyFont="1" applyFill="1" applyBorder="0" applyAlignment="1">
      <x:alignment wrapText="1"/>
    </x:xf>
    <x:xf numFmtId="0" fontId="26" fillId="10" xfId="0" applyNumberFormat="1" applyFont="1" applyFill="1" applyBorder="0" applyAlignment="1">
      <x:alignment horizontal="center" wrapText="1"/>
    </x:xf>
    <x:xf numFmtId="0" fontId="0" fillId="183" borderId="0" xfId="0" applyNumberFormat="1" applyFont="1" applyFill="1" applyBorder="1"/>
    <x:xf numFmtId="0" fontId="26" fillId="183" borderId="0" xfId="0" applyNumberFormat="1" applyFont="1" applyFill="1" applyBorder="1"/>
    <x:xf numFmtId="0" fontId="26" fillId="183" xfId="0" applyNumberFormat="1" applyFont="1" applyFill="1" applyBorder="0"/>
    <x:xf numFmtId="0" fontId="26" fillId="183" xfId="0" applyNumberFormat="1" applyFont="1" applyFill="1" applyBorder="0" applyAlignment="1">
      <x:alignment wrapText="1"/>
    </x:xf>
    <x:xf numFmtId="0" fontId="26" fillId="183" xfId="0" applyNumberFormat="1" applyFont="1" applyFill="1" applyBorder="0" applyAlignment="1">
      <x:alignment horizontal="center" wrapText="1"/>
    </x:xf>
    <x:xf numFmtId="0" fontId="26" fillId="183" xfId="0" applyNumberFormat="1" applyFont="1" applyFill="1" applyBorder="0" applyAlignment="1">
      <x:alignment horizontal="center" vertical="center" wrapText="1"/>
    </x:xf>
    <x:xf numFmtId="0" fontId="25" fillId="183" xfId="0" applyNumberFormat="1" applyFont="1" applyFill="1" applyBorder="0" applyAlignment="1">
      <x:alignment horizontal="center" vertical="center" wrapText="1"/>
    </x:xf>
    <x:xf numFmtId="0" fontId="22" fillId="183" xfId="0" applyNumberFormat="1" applyFont="1" applyFill="1" applyBorder="0" applyAlignment="1">
      <x:alignment horizontal="center" vertical="center" wrapText="1"/>
    </x:xf>
    <x:xf numFmtId="0" fontId="4" fillId="183" xfId="0" applyNumberFormat="1" applyFont="1" applyFill="1" applyBorder="0" applyAlignment="1">
      <x:alignment horizontal="center" vertical="center" wrapText="1"/>
    </x:xf>
    <x:xf numFmtId="0" fontId="80" fillId="184" xfId="0" applyNumberFormat="1" applyFont="1" applyFill="1" applyBorder="0" applyAlignment="1">
      <x:alignment horizontal="left" vertical="top" wrapText="1"/>
    </x:xf>
    <x:xf numFmtId="0" fontId="85" fillId="184" xfId="0" applyNumberFormat="1" applyFont="1" applyFill="1" applyBorder="0" applyAlignment="1">
      <x:alignment horizontal="left" vertical="top" wrapText="1"/>
    </x:xf>
    <x:xf numFmtId="0" fontId="85" fillId="184" borderId="63" xfId="0" applyNumberFormat="1" applyFont="1" applyFill="1" applyBorder="1" applyAlignment="1">
      <x:alignment horizontal="left" vertical="top" wrapText="1"/>
    </x:xf>
    <x:xf numFmtId="0" fontId="80" fillId="183" borderId="49" xfId="0" applyNumberFormat="1" applyFont="1" applyFill="1" applyBorder="1" applyAlignment="1">
      <x:alignment horizontal="left" vertical="top" wrapText="1"/>
    </x:xf>
    <x:xf numFmtId="0" fontId="86" fillId="183" borderId="49" xfId="0" applyNumberFormat="1" applyFont="1" applyFill="1" applyBorder="1" applyAlignment="1">
      <x:alignment horizontal="left" vertical="top" wrapText="1"/>
    </x:xf>
    <x:xf numFmtId="0" fontId="86" fillId="183" borderId="64" xfId="0" applyNumberFormat="1" applyFont="1" applyFill="1" applyBorder="1" applyAlignment="1">
      <x:alignment horizontal="left" vertical="top" wrapText="1"/>
    </x:xf>
    <x:xf numFmtId="0" fontId="80" fillId="185" xfId="0" applyNumberFormat="1" applyFont="1" applyFill="1" applyBorder="0" applyAlignment="1">
      <x:alignment horizontal="left" vertical="top" wrapText="1"/>
    </x:xf>
    <x:xf numFmtId="0" fontId="86" fillId="185" xfId="0" applyNumberFormat="1" applyFont="1" applyFill="1" applyBorder="0" applyAlignment="1">
      <x:alignment horizontal="left" vertical="top" wrapText="1"/>
    </x:xf>
    <x:xf numFmtId="0" fontId="80" fillId="10" borderId="49" xfId="0" applyNumberFormat="1" applyFont="1" applyFill="1" applyBorder="1" applyAlignment="1">
      <x:alignment horizontal="left" vertical="top" wrapText="1"/>
    </x:xf>
    <x:xf numFmtId="0" fontId="86" fillId="10" borderId="49" xfId="0" applyNumberFormat="1" applyFont="1" applyFill="1" applyBorder="1" applyAlignment="1">
      <x:alignment horizontal="left" vertical="top" wrapText="1"/>
    </x:xf>
    <x:xf numFmtId="0" fontId="86" fillId="10" borderId="64" xfId="0" applyNumberFormat="1" applyFont="1" applyFill="1" applyBorder="1" applyAlignment="1">
      <x:alignment horizontal="left" vertical="top" wrapText="1"/>
    </x:xf>
    <x:xf numFmtId="0" fontId="86" fillId="141" xfId="0" applyNumberFormat="1" applyFont="1" applyFill="1" applyBorder="0" applyAlignment="1">
      <x:alignment horizontal="left" vertical="top" wrapText="1"/>
    </x:xf>
    <x:xf numFmtId="0" fontId="0" fillId="186" borderId="0" xfId="0" applyNumberFormat="1" applyFont="1" applyFill="1" applyBorder="1"/>
    <x:xf numFmtId="0" fontId="26" fillId="186" borderId="0" xfId="0" applyNumberFormat="1" applyFont="1" applyFill="1" applyBorder="1"/>
    <x:xf numFmtId="0" fontId="26" fillId="186" xfId="0" applyNumberFormat="1" applyFont="1" applyFill="1" applyBorder="0"/>
    <x:xf numFmtId="0" fontId="26" fillId="186" xfId="0" applyNumberFormat="1" applyFont="1" applyFill="1" applyBorder="0" applyAlignment="1">
      <x:alignment wrapText="1"/>
    </x:xf>
    <x:xf numFmtId="0" fontId="26" fillId="186" xfId="0" applyNumberFormat="1" applyFont="1" applyFill="1" applyBorder="0" applyAlignment="1">
      <x:alignment horizontal="center" wrapText="1"/>
    </x:xf>
    <x:xf numFmtId="0" fontId="26" fillId="186" xfId="0" applyNumberFormat="1" applyFont="1" applyFill="1" applyBorder="0" applyAlignment="1">
      <x:alignment horizontal="center" vertical="center" wrapText="1"/>
    </x:xf>
    <x:xf numFmtId="0" fontId="25" fillId="186" xfId="0" applyNumberFormat="1" applyFont="1" applyFill="1" applyBorder="0" applyAlignment="1">
      <x:alignment horizontal="center" vertical="center" wrapText="1"/>
    </x:xf>
    <x:xf numFmtId="0" fontId="22" fillId="186" xfId="0" applyNumberFormat="1" applyFont="1" applyFill="1" applyBorder="0" applyAlignment="1">
      <x:alignment horizontal="center" vertical="center" wrapText="1"/>
    </x:xf>
    <x:xf numFmtId="0" fontId="4" fillId="186" xfId="0" applyNumberFormat="1" applyFont="1" applyFill="1" applyBorder="0" applyAlignment="1">
      <x:alignment horizontal="center" vertical="center" wrapText="1"/>
    </x:xf>
    <x:xf numFmtId="0" fontId="58" fillId="187" borderId="0" xfId="0" applyNumberFormat="1" applyFont="1" applyFill="1" applyBorder="1" applyAlignment="1">
      <x:alignment horizontal="center" vertical="center"/>
    </x:xf>
    <x:xf numFmtId="0" fontId="76" fillId="188" borderId="0" xfId="0" applyNumberFormat="1" applyFont="1" applyFill="1" applyBorder="1" applyAlignment="1">
      <x:alignment horizontal="center" vertical="center" wrapText="1"/>
    </x:xf>
    <x:xf numFmtId="0" fontId="69" fillId="189" xfId="0" applyNumberFormat="1" applyFont="1" applyFill="1" applyBorder="0" applyAlignment="1">
      <x:alignment horizontal="center" vertical="center" wrapText="1"/>
    </x:xf>
    <x:xf numFmtId="0" fontId="3" fillId="190" borderId="0" xfId="0" applyNumberFormat="1" applyFont="1" applyFill="1" applyBorder="1" applyAlignment="1">
      <x:alignment horizontal="center" vertical="center"/>
    </x:xf>
    <x:xf numFmtId="0" fontId="77" fillId="191" xfId="0" applyNumberFormat="1" applyFont="1" applyFill="1" applyBorder="0" applyAlignment="1">
      <x:alignment horizontal="center" vertical="center" wrapText="1"/>
    </x:xf>
    <x:xf numFmtId="0" fontId="78" fillId="192" xfId="0" applyNumberFormat="1" applyFont="1" applyFill="1" applyBorder="0" applyAlignment="1">
      <x:alignment horizontal="left" vertical="top" wrapText="1"/>
    </x:xf>
    <x:xf numFmtId="0" fontId="80" fillId="193" xfId="0" applyNumberFormat="1" applyFont="1" applyFill="1" applyBorder="0" applyAlignment="1">
      <x:alignment horizontal="left" vertical="top" wrapText="1"/>
    </x:xf>
    <x:xf numFmtId="0" fontId="80" fillId="194" borderId="49" xfId="0" applyNumberFormat="1" applyFont="1" applyFill="1" applyBorder="1" applyAlignment="1">
      <x:alignment horizontal="left" vertical="top" wrapText="1"/>
    </x:xf>
    <x:xf numFmtId="0" fontId="80" fillId="195" xfId="0" applyNumberFormat="1" applyFont="1" applyFill="1" applyBorder="0" applyAlignment="1">
      <x:alignment horizontal="left" vertical="top" wrapText="1"/>
    </x:xf>
    <x:xf numFmtId="0" fontId="80" fillId="196" xfId="0" applyNumberFormat="1" applyFont="1" applyFill="1" applyBorder="0" applyAlignment="1">
      <x:alignment horizontal="left" vertical="top" wrapText="1"/>
    </x:xf>
    <x:xf numFmtId="0" fontId="80" fillId="197" borderId="45" xfId="0" applyNumberFormat="1" applyFont="1" applyFill="1" applyBorder="1" applyAlignment="1">
      <x:alignment horizontal="left" vertical="top" wrapText="1"/>
    </x:xf>
    <x:xf numFmtId="0" fontId="80" fillId="197" borderId="44" xfId="0" applyNumberFormat="1" applyFont="1" applyFill="1" applyBorder="1" applyAlignment="1">
      <x:alignment horizontal="left" vertical="top" wrapText="1"/>
    </x:xf>
    <x:xf numFmtId="0" fontId="80" fillId="196" borderId="45" xfId="0" applyNumberFormat="1" applyFont="1" applyFill="1" applyBorder="1" applyAlignment="1">
      <x:alignment horizontal="left" vertical="top" wrapText="1"/>
    </x:xf>
    <x:xf numFmtId="0" fontId="80" fillId="193" borderId="38" xfId="0" applyNumberFormat="1" applyFont="1" applyFill="1" applyBorder="1" applyAlignment="1">
      <x:alignment horizontal="left" vertical="top" wrapText="1"/>
    </x:xf>
    <x:xf numFmtId="0" fontId="80" fillId="193" borderId="36" xfId="0" applyNumberFormat="1" applyFont="1" applyFill="1" applyBorder="1" applyAlignment="1">
      <x:alignment horizontal="left" vertical="top" wrapText="1"/>
    </x:xf>
    <x:xf numFmtId="0" fontId="80" fillId="197" borderId="54" xfId="0" applyNumberFormat="1" applyFont="1" applyFill="1" applyBorder="1" applyAlignment="1">
      <x:alignment horizontal="left" vertical="top" wrapText="1"/>
    </x:xf>
    <x:xf numFmtId="0" fontId="80" fillId="197" borderId="50" xfId="0" applyNumberFormat="1" applyFont="1" applyFill="1" applyBorder="1" applyAlignment="1">
      <x:alignment horizontal="left" vertical="top" wrapText="1"/>
    </x:xf>
    <x:xf numFmtId="0" fontId="80" fillId="197" borderId="52" xfId="0" applyNumberFormat="1" applyFont="1" applyFill="1" applyBorder="1" applyAlignment="1">
      <x:alignment horizontal="left" vertical="top" wrapText="1"/>
    </x:xf>
    <x:xf numFmtId="0" fontId="80" fillId="197" borderId="55" xfId="0" applyNumberFormat="1" applyFont="1" applyFill="1" applyBorder="1" applyAlignment="1">
      <x:alignment horizontal="left" vertical="top" wrapText="1"/>
    </x:xf>
    <x:xf numFmtId="0" fontId="80" fillId="193" borderId="39" xfId="0" applyNumberFormat="1" applyFont="1" applyFill="1" applyBorder="1" applyAlignment="1">
      <x:alignment horizontal="left" vertical="top" wrapText="1"/>
    </x:xf>
    <x:xf numFmtId="0" fontId="80" fillId="197" borderId="56" xfId="0" applyNumberFormat="1" applyFont="1" applyFill="1" applyBorder="1" applyAlignment="1">
      <x:alignment horizontal="left" vertical="top" wrapText="1"/>
    </x:xf>
    <x:xf numFmtId="0" fontId="80" fillId="197" xfId="0" applyNumberFormat="1" applyFont="1" applyFill="1" applyBorder="0" applyAlignment="1">
      <x:alignment horizontal="left" vertical="top" wrapText="1"/>
    </x:xf>
    <x:xf numFmtId="0" fontId="80" fillId="197" borderId="42" xfId="0" applyNumberFormat="1" applyFont="1" applyFill="1" applyBorder="1" applyAlignment="1">
      <x:alignment horizontal="left" vertical="top" wrapText="1"/>
    </x:xf>
    <x:xf numFmtId="0" fontId="80" fillId="197" borderId="57" xfId="0" applyNumberFormat="1" applyFont="1" applyFill="1" applyBorder="1" applyAlignment="1">
      <x:alignment horizontal="left" vertical="top" wrapText="1"/>
    </x:xf>
    <x:xf numFmtId="0" fontId="80" fillId="198" xfId="0" applyNumberFormat="1" applyFont="1" applyFill="1" applyBorder="0" applyAlignment="1">
      <x:alignment horizontal="left" vertical="top" wrapText="1"/>
    </x:xf>
    <x:xf numFmtId="0" fontId="80" fillId="198" borderId="39" xfId="0" applyNumberFormat="1" applyFont="1" applyFill="1" applyBorder="1" applyAlignment="1">
      <x:alignment horizontal="left" vertical="top" wrapText="1"/>
    </x:xf>
    <x:xf numFmtId="0" fontId="80" fillId="197" borderId="49" xfId="0" applyNumberFormat="1" applyFont="1" applyFill="1" applyBorder="1" applyAlignment="1">
      <x:alignment horizontal="left" vertical="top" wrapText="1"/>
    </x:xf>
    <x:xf numFmtId="0" fontId="80" fillId="193" borderId="40" xfId="0" applyNumberFormat="1" applyFont="1" applyFill="1" applyBorder="1" applyAlignment="1">
      <x:alignment horizontal="left" vertical="top" wrapText="1"/>
    </x:xf>
    <x:xf numFmtId="0" fontId="80" fillId="193" borderId="37" xfId="0" applyNumberFormat="1" applyFont="1" applyFill="1" applyBorder="1" applyAlignment="1">
      <x:alignment horizontal="left" vertical="top" wrapText="1"/>
    </x:xf>
    <x:xf numFmtId="0" fontId="80" fillId="197" borderId="58" xfId="0" applyNumberFormat="1" applyFont="1" applyFill="1" applyBorder="1" applyAlignment="1">
      <x:alignment horizontal="left" vertical="top" wrapText="1"/>
    </x:xf>
    <x:xf numFmtId="0" fontId="80" fillId="197" borderId="51" xfId="0" applyNumberFormat="1" applyFont="1" applyFill="1" applyBorder="1" applyAlignment="1">
      <x:alignment horizontal="left" vertical="top" wrapText="1"/>
    </x:xf>
    <x:xf numFmtId="0" fontId="80" fillId="197" borderId="53" xfId="0" applyNumberFormat="1" applyFont="1" applyFill="1" applyBorder="1" applyAlignment="1">
      <x:alignment horizontal="left" vertical="top" wrapText="1"/>
    </x:xf>
    <x:xf numFmtId="0" fontId="80" fillId="197" borderId="59" xfId="0" applyNumberFormat="1" applyFont="1" applyFill="1" applyBorder="1" applyAlignment="1">
      <x:alignment horizontal="left" vertical="top" wrapText="1"/>
    </x:xf>
    <x:xf numFmtId="0" fontId="80" fillId="197" borderId="47" xfId="0" applyNumberFormat="1" applyFont="1" applyFill="1" applyBorder="1" applyAlignment="1">
      <x:alignment horizontal="left" vertical="top" wrapText="1"/>
    </x:xf>
    <x:xf numFmtId="0" fontId="80" fillId="197" borderId="48" xfId="0" applyNumberFormat="1" applyFont="1" applyFill="1" applyBorder="1" applyAlignment="1">
      <x:alignment horizontal="left" vertical="top" wrapText="1"/>
    </x:xf>
    <x:xf numFmtId="0" fontId="81" fillId="195" borderId="62" xfId="0" applyNumberFormat="1" applyFont="1" applyFill="1" applyBorder="1" applyAlignment="1">
      <x:alignment horizontal="left" vertical="top" wrapText="1"/>
    </x:xf>
    <x:xf numFmtId="0" fontId="80" fillId="195" borderId="62" xfId="0" applyNumberFormat="1" applyFont="1" applyFill="1" applyBorder="1" applyAlignment="1">
      <x:alignment horizontal="left" vertical="top" wrapText="1"/>
    </x:xf>
    <x:xf numFmtId="0" fontId="80" fillId="197" borderId="46" xfId="0" applyNumberFormat="1" applyFont="1" applyFill="1" applyBorder="1" applyAlignment="1">
      <x:alignment horizontal="left" vertical="top" wrapText="1"/>
    </x:xf>
    <x:xf numFmtId="0" fontId="80" fillId="199" xfId="0" applyNumberFormat="1" applyFont="1" applyFill="1" applyBorder="0" applyAlignment="1">
      <x:alignment horizontal="left" vertical="top" wrapText="1"/>
    </x:xf>
    <x:xf numFmtId="0" fontId="80" fillId="193" borderId="22" xfId="0" applyNumberFormat="1" applyFont="1" applyFill="1" applyBorder="1" applyAlignment="1">
      <x:alignment horizontal="left" vertical="top" wrapText="1"/>
    </x:xf>
    <x:xf numFmtId="0" fontId="80" fillId="193" borderId="20" xfId="0" applyNumberFormat="1" applyFont="1" applyFill="1" applyBorder="1" applyAlignment="1">
      <x:alignment horizontal="left" vertical="top" wrapText="1"/>
    </x:xf>
    <x:xf numFmtId="0" fontId="80" fillId="193" borderId="25" xfId="0" applyNumberFormat="1" applyFont="1" applyFill="1" applyBorder="1" applyAlignment="1">
      <x:alignment horizontal="left" vertical="top" wrapText="1"/>
    </x:xf>
    <x:xf numFmtId="0" fontId="80" fillId="200" borderId="14" xfId="0" applyNumberFormat="1" applyFont="1" applyFill="1" applyBorder="1" applyAlignment="1">
      <x:alignment horizontal="left" vertical="top" wrapText="1"/>
    </x:xf>
    <x:xf numFmtId="0" fontId="80" fillId="200" borderId="12" xfId="0" applyNumberFormat="1" applyFont="1" applyFill="1" applyBorder="1" applyAlignment="1">
      <x:alignment horizontal="left" vertical="top" wrapText="1"/>
    </x:xf>
    <x:xf numFmtId="0" fontId="80" fillId="200" borderId="17" xfId="0" applyNumberFormat="1" applyFont="1" applyFill="1" applyBorder="1" applyAlignment="1">
      <x:alignment horizontal="left" vertical="top" wrapText="1"/>
    </x:xf>
    <x:xf numFmtId="0" fontId="80" fillId="194" borderId="30" xfId="0" applyNumberFormat="1" applyFont="1" applyFill="1" applyBorder="1" applyAlignment="1">
      <x:alignment horizontal="left" vertical="top" wrapText="1"/>
    </x:xf>
    <x:xf numFmtId="0" fontId="80" fillId="194" borderId="28" xfId="0" applyNumberFormat="1" applyFont="1" applyFill="1" applyBorder="1" applyAlignment="1">
      <x:alignment horizontal="left" vertical="top" wrapText="1"/>
    </x:xf>
    <x:xf numFmtId="0" fontId="80" fillId="194" borderId="33" xfId="0" applyNumberFormat="1" applyFont="1" applyFill="1" applyBorder="1" applyAlignment="1">
      <x:alignment horizontal="left" vertical="top" wrapText="1"/>
    </x:xf>
    <x:xf numFmtId="0" fontId="80" fillId="200" xfId="0" applyNumberFormat="1" applyFont="1" applyFill="1" applyBorder="0" applyAlignment="1">
      <x:alignment horizontal="left" vertical="top" wrapText="1"/>
    </x:xf>
    <x:xf numFmtId="0" fontId="80" fillId="193" borderId="23" xfId="0" applyNumberFormat="1" applyFont="1" applyFill="1" applyBorder="1" applyAlignment="1">
      <x:alignment horizontal="left" vertical="top" wrapText="1"/>
    </x:xf>
    <x:xf numFmtId="0" fontId="80" fillId="193" borderId="26" xfId="0" applyNumberFormat="1" applyFont="1" applyFill="1" applyBorder="1" applyAlignment="1">
      <x:alignment horizontal="left" vertical="top" wrapText="1"/>
    </x:xf>
    <x:xf numFmtId="0" fontId="80" fillId="200" borderId="15" xfId="0" applyNumberFormat="1" applyFont="1" applyFill="1" applyBorder="1" applyAlignment="1">
      <x:alignment horizontal="left" vertical="top" wrapText="1"/>
    </x:xf>
    <x:xf numFmtId="0" fontId="80" fillId="200" borderId="49" xfId="0" applyNumberFormat="1" applyFont="1" applyFill="1" applyBorder="1" applyAlignment="1">
      <x:alignment horizontal="left" vertical="top" wrapText="1"/>
    </x:xf>
    <x:xf numFmtId="0" fontId="80" fillId="200" borderId="18" xfId="0" applyNumberFormat="1" applyFont="1" applyFill="1" applyBorder="1" applyAlignment="1">
      <x:alignment horizontal="left" vertical="top" wrapText="1"/>
    </x:xf>
    <x:xf numFmtId="0" fontId="80" fillId="194" borderId="31" xfId="0" applyNumberFormat="1" applyFont="1" applyFill="1" applyBorder="1" applyAlignment="1">
      <x:alignment horizontal="left" vertical="top" wrapText="1"/>
    </x:xf>
    <x:xf numFmtId="0" fontId="80" fillId="200" borderId="45" xfId="0" applyNumberFormat="1" applyFont="1" applyFill="1" applyBorder="1" applyAlignment="1">
      <x:alignment horizontal="left" vertical="top" wrapText="1"/>
    </x:xf>
    <x:xf numFmtId="0" fontId="80" fillId="200" borderId="44" xfId="0" applyNumberFormat="1" applyFont="1" applyFill="1" applyBorder="1" applyAlignment="1">
      <x:alignment horizontal="left" vertical="top" wrapText="1"/>
    </x:xf>
    <x:xf numFmtId="0" fontId="80" fillId="193" borderId="24" xfId="0" applyNumberFormat="1" applyFont="1" applyFill="1" applyBorder="1" applyAlignment="1">
      <x:alignment horizontal="left" vertical="top" wrapText="1"/>
    </x:xf>
    <x:xf numFmtId="0" fontId="80" fillId="193" borderId="21" xfId="0" applyNumberFormat="1" applyFont="1" applyFill="1" applyBorder="1" applyAlignment="1">
      <x:alignment horizontal="left" vertical="top" wrapText="1"/>
    </x:xf>
    <x:xf numFmtId="0" fontId="80" fillId="193" borderId="27" xfId="0" applyNumberFormat="1" applyFont="1" applyFill="1" applyBorder="1" applyAlignment="1">
      <x:alignment horizontal="left" vertical="top" wrapText="1"/>
    </x:xf>
    <x:xf numFmtId="0" fontId="80" fillId="200" borderId="16" xfId="0" applyNumberFormat="1" applyFont="1" applyFill="1" applyBorder="1" applyAlignment="1">
      <x:alignment horizontal="left" vertical="top" wrapText="1"/>
    </x:xf>
    <x:xf numFmtId="0" fontId="80" fillId="200" borderId="13" xfId="0" applyNumberFormat="1" applyFont="1" applyFill="1" applyBorder="1" applyAlignment="1">
      <x:alignment horizontal="left" vertical="top" wrapText="1"/>
    </x:xf>
    <x:xf numFmtId="0" fontId="80" fillId="200" borderId="19" xfId="0" applyNumberFormat="1" applyFont="1" applyFill="1" applyBorder="1" applyAlignment="1">
      <x:alignment horizontal="left" vertical="top" wrapText="1"/>
    </x:xf>
    <x:xf numFmtId="0" fontId="80" fillId="194" borderId="32" xfId="0" applyNumberFormat="1" applyFont="1" applyFill="1" applyBorder="1" applyAlignment="1">
      <x:alignment horizontal="left" vertical="top" wrapText="1"/>
    </x:xf>
    <x:xf numFmtId="0" fontId="80" fillId="194" borderId="29" xfId="0" applyNumberFormat="1" applyFont="1" applyFill="1" applyBorder="1" applyAlignment="1">
      <x:alignment horizontal="left" vertical="top" wrapText="1"/>
    </x:xf>
    <x:xf numFmtId="0" fontId="80" fillId="194" borderId="35" xfId="0" applyNumberFormat="1" applyFont="1" applyFill="1" applyBorder="1" applyAlignment="1">
      <x:alignment horizontal="left" vertical="top" wrapText="1"/>
    </x:xf>
    <x:xf numFmtId="0" fontId="80" fillId="201" xfId="0" applyNumberFormat="1" applyFont="1" applyFill="1" applyBorder="0" applyAlignment="1">
      <x:alignment horizontal="left" vertical="top" wrapText="1"/>
    </x:xf>
    <x:xf numFmtId="0" fontId="85" fillId="202" borderId="63" xfId="0" applyNumberFormat="1" applyFont="1" applyFill="1" applyBorder="1" applyAlignment="1">
      <x:alignment horizontal="left" vertical="top" wrapText="1"/>
    </x:xf>
    <x:xf numFmtId="0" fontId="80" fillId="202" borderId="63" xfId="0" applyNumberFormat="1" applyFont="1" applyFill="1" applyBorder="1" applyAlignment="1">
      <x:alignment horizontal="left" vertical="top" wrapText="1"/>
    </x:xf>
    <x:xf numFmtId="0" fontId="86" fillId="186" borderId="64" xfId="0" applyNumberFormat="1" applyFont="1" applyFill="1" applyBorder="1" applyAlignment="1">
      <x:alignment horizontal="left" vertical="top" wrapText="1"/>
    </x:xf>
    <x:xf numFmtId="0" fontId="80" fillId="186" borderId="64" xfId="0" applyNumberFormat="1" applyFont="1" applyFill="1" applyBorder="1" applyAlignment="1">
      <x:alignment horizontal="left" vertical="top" wrapText="1"/>
    </x:xf>
    <x:xf numFmtId="0" fontId="86" fillId="193" xfId="0" applyNumberFormat="1" applyFont="1" applyFill="1" applyBorder="0" applyAlignment="1">
      <x:alignment horizontal="left" vertical="top" wrapText="1"/>
    </x:xf>
    <x:xf numFmtId="0" fontId="80" fillId="186" xfId="0" applyNumberFormat="1" applyFont="1" applyFill="1" applyBorder="0" applyAlignment="1">
      <x:alignment horizontal="left" vertical="top" wrapText="1"/>
    </x:xf>
    <x:xf numFmtId="0" fontId="80" fillId="197" borderId="60" xfId="0" applyNumberFormat="1" applyFont="1" applyFill="1" applyBorder="1" applyAlignment="1">
      <x:alignment horizontal="left" vertical="top" wrapText="1"/>
    </x:xf>
    <x:xf numFmtId="0" fontId="80" fillId="186" borderId="49" xfId="0" applyNumberFormat="1" applyFont="1" applyFill="1" applyBorder="1" applyAlignment="1">
      <x:alignment horizontal="left" vertical="top" wrapText="1"/>
    </x:xf>
    <x:xf numFmtId="0" fontId="80" fillId="195" borderId="49" xfId="0" applyNumberFormat="1" applyFont="1" applyFill="1" applyBorder="1" applyAlignment="1">
      <x:alignment horizontal="left" vertical="top" wrapText="1"/>
    </x:xf>
    <x:xf numFmtId="0" fontId="80" fillId="186" borderId="65" xfId="0" applyNumberFormat="1" applyFont="1" applyFill="1" applyBorder="1" applyAlignment="1">
      <x:alignment horizontal="left" vertical="top" wrapText="1"/>
    </x:xf>
    <x:xf numFmtId="0" fontId="81" fillId="134" borderId="62" xfId="0" applyNumberFormat="1" applyFont="1" applyFill="1" applyBorder="1" applyAlignment="1">
      <x:alignment horizontal="left" vertical="top" wrapText="1"/>
    </x:xf>
    <x:xf numFmtId="0" fontId="80" fillId="134" borderId="62" xfId="0" applyNumberFormat="1" applyFont="1" applyFill="1" applyBorder="1" applyAlignment="1">
      <x:alignment horizontal="left" vertical="top" wrapText="1"/>
    </x:xf>
    <x:xf numFmtId="0" fontId="80" fillId="184" borderId="63" xfId="0" applyNumberFormat="1" applyFont="1" applyFill="1" applyBorder="1" applyAlignment="1">
      <x:alignment horizontal="left" vertical="top" wrapText="1"/>
    </x:xf>
    <x:xf numFmtId="0" fontId="80" fillId="10" borderId="64" xfId="0" applyNumberFormat="1" applyFont="1" applyFill="1" applyBorder="1" applyAlignment="1">
      <x:alignment horizontal="left" vertical="top" wrapText="1"/>
    </x:xf>
    <x:xf numFmtId="0" fontId="80" fillId="10" xfId="0" applyNumberFormat="1" applyFont="1" applyFill="1" applyBorder="0" applyAlignment="1">
      <x:alignment horizontal="left" vertical="top" wrapText="1"/>
    </x:xf>
    <x:xf numFmtId="0" fontId="80" fillId="134" borderId="49" xfId="0" applyNumberFormat="1" applyFont="1" applyFill="1" applyBorder="1" applyAlignment="1">
      <x:alignment horizontal="left" vertical="top" wrapText="1"/>
    </x:xf>
    <x:xf numFmtId="0" fontId="80" fillId="10" borderId="65" xfId="0" applyNumberFormat="1" applyFont="1" applyFill="1" applyBorder="1" applyAlignment="1">
      <x:alignment horizontal="left" vertical="top" wrapText="1"/>
    </x:xf>
    <x:xf numFmtId="0" fontId="5" fillId="203" borderId="1" xfId="0" applyNumberFormat="1" applyFont="1" applyFill="1" applyBorder="1" applyAlignment="1">
      <x:alignment horizontal="center" vertical="center"/>
    </x:xf>
    <x:xf numFmtId="0" fontId="83" fillId="204" borderId="1" xfId="0" applyNumberFormat="1" applyFont="1" applyFill="1" applyBorder="1" applyAlignment="1">
      <x:alignment horizontal="left" vertical="center" wrapText="1"/>
    </x:xf>
    <x:xf numFmtId="0" fontId="84" fillId="204" borderId="1" xfId="0" applyNumberFormat="1" applyFont="1" applyFill="1" applyBorder="1" applyAlignment="1">
      <x:alignment horizontal="left" vertical="center" wrapText="1"/>
    </x:xf>
    <x:xf numFmtId="0" fontId="0" fillId="205" borderId="0" xfId="0" applyNumberFormat="1" applyFont="1" applyFill="1" applyBorder="1"/>
    <x:xf numFmtId="0" fontId="26" fillId="205" borderId="0" xfId="0" applyNumberFormat="1" applyFont="1" applyFill="1" applyBorder="1"/>
    <x:xf numFmtId="0" fontId="26" fillId="205" xfId="0" applyNumberFormat="1" applyFont="1" applyFill="1" applyBorder="0"/>
    <x:xf numFmtId="0" fontId="26" fillId="205" xfId="0" applyNumberFormat="1" applyFont="1" applyFill="1" applyBorder="0" applyAlignment="1">
      <x:alignment wrapText="1"/>
    </x:xf>
    <x:xf numFmtId="0" fontId="26" fillId="205" xfId="0" applyNumberFormat="1" applyFont="1" applyFill="1" applyBorder="0" applyAlignment="1">
      <x:alignment horizontal="center" wrapText="1"/>
    </x:xf>
    <x:xf numFmtId="0" fontId="26" fillId="205" xfId="0" applyNumberFormat="1" applyFont="1" applyFill="1" applyBorder="0" applyAlignment="1">
      <x:alignment horizontal="center" vertical="center" wrapText="1"/>
    </x:xf>
    <x:xf numFmtId="0" fontId="25" fillId="205" xfId="0" applyNumberFormat="1" applyFont="1" applyFill="1" applyBorder="0" applyAlignment="1">
      <x:alignment horizontal="center" vertical="center" wrapText="1"/>
    </x:xf>
    <x:xf numFmtId="0" fontId="22" fillId="205" xfId="0" applyNumberFormat="1" applyFont="1" applyFill="1" applyBorder="0" applyAlignment="1">
      <x:alignment horizontal="center" vertical="center" wrapText="1"/>
    </x:xf>
    <x:xf numFmtId="0" fontId="4" fillId="205" xfId="0" applyNumberFormat="1" applyFont="1" applyFill="1" applyBorder="0" applyAlignment="1">
      <x:alignment horizontal="center" vertical="center" wrapText="1"/>
    </x:xf>
    <x:xf numFmtId="0" fontId="58" fillId="206" borderId="0" xfId="0" applyNumberFormat="1" applyFont="1" applyFill="1" applyBorder="1" applyAlignment="1">
      <x:alignment horizontal="center" vertical="center"/>
    </x:xf>
    <x:xf numFmtId="0" fontId="76" fillId="207" borderId="0" xfId="0" applyNumberFormat="1" applyFont="1" applyFill="1" applyBorder="1" applyAlignment="1">
      <x:alignment horizontal="center" vertical="center" wrapText="1"/>
    </x:xf>
    <x:xf numFmtId="0" fontId="69" fillId="208" xfId="0" applyNumberFormat="1" applyFont="1" applyFill="1" applyBorder="0" applyAlignment="1">
      <x:alignment horizontal="center" vertical="center" wrapText="1"/>
    </x:xf>
    <x:xf numFmtId="0" fontId="3" fillId="209" borderId="0" xfId="0" applyNumberFormat="1" applyFont="1" applyFill="1" applyBorder="1" applyAlignment="1">
      <x:alignment horizontal="center" vertical="center"/>
    </x:xf>
    <x:xf numFmtId="0" fontId="77" fillId="210" xfId="0" applyNumberFormat="1" applyFont="1" applyFill="1" applyBorder="0" applyAlignment="1">
      <x:alignment horizontal="center" vertical="center" wrapText="1"/>
    </x:xf>
    <x:xf numFmtId="0" fontId="78" fillId="211" xfId="0" applyNumberFormat="1" applyFont="1" applyFill="1" applyBorder="0" applyAlignment="1">
      <x:alignment horizontal="left" vertical="top" wrapText="1"/>
    </x:xf>
    <x:xf numFmtId="0" fontId="80" fillId="212" xfId="0" applyNumberFormat="1" applyFont="1" applyFill="1" applyBorder="0" applyAlignment="1">
      <x:alignment horizontal="left" vertical="top" wrapText="1"/>
    </x:xf>
    <x:xf numFmtId="0" fontId="80" fillId="205" xfId="0" applyNumberFormat="1" applyFont="1" applyFill="1" applyBorder="0" applyAlignment="1">
      <x:alignment horizontal="left" vertical="top" wrapText="1"/>
    </x:xf>
    <x:xf numFmtId="0" fontId="80" fillId="205" borderId="49" xfId="0" applyNumberFormat="1" applyFont="1" applyFill="1" applyBorder="1" applyAlignment="1">
      <x:alignment horizontal="left" vertical="top" wrapText="1"/>
    </x:xf>
    <x:xf numFmtId="0" fontId="80" fillId="213" xfId="0" applyNumberFormat="1" applyFont="1" applyFill="1" applyBorder="0" applyAlignment="1">
      <x:alignment horizontal="left" vertical="top" wrapText="1"/>
    </x:xf>
    <x:xf numFmtId="0" fontId="80" fillId="214" xfId="0" applyNumberFormat="1" applyFont="1" applyFill="1" applyBorder="0" applyAlignment="1">
      <x:alignment horizontal="left" vertical="top" wrapText="1"/>
    </x:xf>
    <x:xf numFmtId="0" fontId="80" fillId="215" borderId="45" xfId="0" applyNumberFormat="1" applyFont="1" applyFill="1" applyBorder="1" applyAlignment="1">
      <x:alignment horizontal="left" vertical="top" wrapText="1"/>
    </x:xf>
    <x:xf numFmtId="0" fontId="80" fillId="215" borderId="44" xfId="0" applyNumberFormat="1" applyFont="1" applyFill="1" applyBorder="1" applyAlignment="1">
      <x:alignment horizontal="left" vertical="top" wrapText="1"/>
    </x:xf>
    <x:xf numFmtId="0" fontId="80" fillId="214" borderId="45" xfId="0" applyNumberFormat="1" applyFont="1" applyFill="1" applyBorder="1" applyAlignment="1">
      <x:alignment horizontal="left" vertical="top" wrapText="1"/>
    </x:xf>
    <x:xf numFmtId="0" fontId="80" fillId="212" borderId="38" xfId="0" applyNumberFormat="1" applyFont="1" applyFill="1" applyBorder="1" applyAlignment="1">
      <x:alignment horizontal="left" vertical="top" wrapText="1"/>
    </x:xf>
    <x:xf numFmtId="0" fontId="80" fillId="212" borderId="36" xfId="0" applyNumberFormat="1" applyFont="1" applyFill="1" applyBorder="1" applyAlignment="1">
      <x:alignment horizontal="left" vertical="top" wrapText="1"/>
    </x:xf>
    <x:xf numFmtId="0" fontId="80" fillId="215" borderId="54" xfId="0" applyNumberFormat="1" applyFont="1" applyFill="1" applyBorder="1" applyAlignment="1">
      <x:alignment horizontal="left" vertical="top" wrapText="1"/>
    </x:xf>
    <x:xf numFmtId="0" fontId="80" fillId="215" borderId="50" xfId="0" applyNumberFormat="1" applyFont="1" applyFill="1" applyBorder="1" applyAlignment="1">
      <x:alignment horizontal="left" vertical="top" wrapText="1"/>
    </x:xf>
    <x:xf numFmtId="0" fontId="80" fillId="215" borderId="52" xfId="0" applyNumberFormat="1" applyFont="1" applyFill="1" applyBorder="1" applyAlignment="1">
      <x:alignment horizontal="left" vertical="top" wrapText="1"/>
    </x:xf>
    <x:xf numFmtId="0" fontId="80" fillId="215" borderId="55" xfId="0" applyNumberFormat="1" applyFont="1" applyFill="1" applyBorder="1" applyAlignment="1">
      <x:alignment horizontal="left" vertical="top" wrapText="1"/>
    </x:xf>
    <x:xf numFmtId="0" fontId="80" fillId="212" borderId="39" xfId="0" applyNumberFormat="1" applyFont="1" applyFill="1" applyBorder="1" applyAlignment="1">
      <x:alignment horizontal="left" vertical="top" wrapText="1"/>
    </x:xf>
    <x:xf numFmtId="0" fontId="80" fillId="215" borderId="56" xfId="0" applyNumberFormat="1" applyFont="1" applyFill="1" applyBorder="1" applyAlignment="1">
      <x:alignment horizontal="left" vertical="top" wrapText="1"/>
    </x:xf>
    <x:xf numFmtId="0" fontId="80" fillId="215" xfId="0" applyNumberFormat="1" applyFont="1" applyFill="1" applyBorder="0" applyAlignment="1">
      <x:alignment horizontal="left" vertical="top" wrapText="1"/>
    </x:xf>
    <x:xf numFmtId="0" fontId="80" fillId="215" borderId="42" xfId="0" applyNumberFormat="1" applyFont="1" applyFill="1" applyBorder="1" applyAlignment="1">
      <x:alignment horizontal="left" vertical="top" wrapText="1"/>
    </x:xf>
    <x:xf numFmtId="0" fontId="80" fillId="215" borderId="57" xfId="0" applyNumberFormat="1" applyFont="1" applyFill="1" applyBorder="1" applyAlignment="1">
      <x:alignment horizontal="left" vertical="top" wrapText="1"/>
    </x:xf>
    <x:xf numFmtId="0" fontId="80" fillId="216" xfId="0" applyNumberFormat="1" applyFont="1" applyFill="1" applyBorder="0" applyAlignment="1">
      <x:alignment horizontal="left" vertical="top" wrapText="1"/>
    </x:xf>
    <x:xf numFmtId="0" fontId="80" fillId="216" borderId="39" xfId="0" applyNumberFormat="1" applyFont="1" applyFill="1" applyBorder="1" applyAlignment="1">
      <x:alignment horizontal="left" vertical="top" wrapText="1"/>
    </x:xf>
    <x:xf numFmtId="0" fontId="80" fillId="215" borderId="49" xfId="0" applyNumberFormat="1" applyFont="1" applyFill="1" applyBorder="1" applyAlignment="1">
      <x:alignment horizontal="left" vertical="top" wrapText="1"/>
    </x:xf>
    <x:xf numFmtId="0" fontId="80" fillId="212" borderId="40" xfId="0" applyNumberFormat="1" applyFont="1" applyFill="1" applyBorder="1" applyAlignment="1">
      <x:alignment horizontal="left" vertical="top" wrapText="1"/>
    </x:xf>
    <x:xf numFmtId="0" fontId="80" fillId="212" borderId="37" xfId="0" applyNumberFormat="1" applyFont="1" applyFill="1" applyBorder="1" applyAlignment="1">
      <x:alignment horizontal="left" vertical="top" wrapText="1"/>
    </x:xf>
    <x:xf numFmtId="0" fontId="80" fillId="215" borderId="58" xfId="0" applyNumberFormat="1" applyFont="1" applyFill="1" applyBorder="1" applyAlignment="1">
      <x:alignment horizontal="left" vertical="top" wrapText="1"/>
    </x:xf>
    <x:xf numFmtId="0" fontId="80" fillId="215" borderId="51" xfId="0" applyNumberFormat="1" applyFont="1" applyFill="1" applyBorder="1" applyAlignment="1">
      <x:alignment horizontal="left" vertical="top" wrapText="1"/>
    </x:xf>
    <x:xf numFmtId="0" fontId="80" fillId="215" borderId="53" xfId="0" applyNumberFormat="1" applyFont="1" applyFill="1" applyBorder="1" applyAlignment="1">
      <x:alignment horizontal="left" vertical="top" wrapText="1"/>
    </x:xf>
    <x:xf numFmtId="0" fontId="80" fillId="215" borderId="59" xfId="0" applyNumberFormat="1" applyFont="1" applyFill="1" applyBorder="1" applyAlignment="1">
      <x:alignment horizontal="left" vertical="top" wrapText="1"/>
    </x:xf>
    <x:xf numFmtId="0" fontId="80" fillId="215" borderId="47" xfId="0" applyNumberFormat="1" applyFont="1" applyFill="1" applyBorder="1" applyAlignment="1">
      <x:alignment horizontal="left" vertical="top" wrapText="1"/>
    </x:xf>
    <x:xf numFmtId="0" fontId="80" fillId="215" borderId="48" xfId="0" applyNumberFormat="1" applyFont="1" applyFill="1" applyBorder="1" applyAlignment="1">
      <x:alignment horizontal="left" vertical="top" wrapText="1"/>
    </x:xf>
    <x:xf numFmtId="0" fontId="80" fillId="213" borderId="49" xfId="0" applyNumberFormat="1" applyFont="1" applyFill="1" applyBorder="1" applyAlignment="1">
      <x:alignment horizontal="left" vertical="top" wrapText="1"/>
    </x:xf>
    <x:xf numFmtId="0" fontId="80" fillId="215" borderId="46" xfId="0" applyNumberFormat="1" applyFont="1" applyFill="1" applyBorder="1" applyAlignment="1">
      <x:alignment horizontal="left" vertical="top" wrapText="1"/>
    </x:xf>
    <x:xf numFmtId="0" fontId="80" fillId="217" xfId="0" applyNumberFormat="1" applyFont="1" applyFill="1" applyBorder="0" applyAlignment="1">
      <x:alignment horizontal="left" vertical="top" wrapText="1"/>
    </x:xf>
    <x:xf numFmtId="0" fontId="80" fillId="212" borderId="22" xfId="0" applyNumberFormat="1" applyFont="1" applyFill="1" applyBorder="1" applyAlignment="1">
      <x:alignment horizontal="left" vertical="top" wrapText="1"/>
    </x:xf>
    <x:xf numFmtId="0" fontId="80" fillId="212" borderId="20" xfId="0" applyNumberFormat="1" applyFont="1" applyFill="1" applyBorder="1" applyAlignment="1">
      <x:alignment horizontal="left" vertical="top" wrapText="1"/>
    </x:xf>
    <x:xf numFmtId="0" fontId="80" fillId="212" borderId="25" xfId="0" applyNumberFormat="1" applyFont="1" applyFill="1" applyBorder="1" applyAlignment="1">
      <x:alignment horizontal="left" vertical="top" wrapText="1"/>
    </x:xf>
    <x:xf numFmtId="0" fontId="80" fillId="218" borderId="14" xfId="0" applyNumberFormat="1" applyFont="1" applyFill="1" applyBorder="1" applyAlignment="1">
      <x:alignment horizontal="left" vertical="top" wrapText="1"/>
    </x:xf>
    <x:xf numFmtId="0" fontId="80" fillId="218" borderId="12" xfId="0" applyNumberFormat="1" applyFont="1" applyFill="1" applyBorder="1" applyAlignment="1">
      <x:alignment horizontal="left" vertical="top" wrapText="1"/>
    </x:xf>
    <x:xf numFmtId="0" fontId="80" fillId="218" borderId="17" xfId="0" applyNumberFormat="1" applyFont="1" applyFill="1" applyBorder="1" applyAlignment="1">
      <x:alignment horizontal="left" vertical="top" wrapText="1"/>
    </x:xf>
    <x:xf numFmtId="0" fontId="80" fillId="219" borderId="30" xfId="0" applyNumberFormat="1" applyFont="1" applyFill="1" applyBorder="1" applyAlignment="1">
      <x:alignment horizontal="left" vertical="top" wrapText="1"/>
    </x:xf>
    <x:xf numFmtId="0" fontId="80" fillId="219" borderId="28" xfId="0" applyNumberFormat="1" applyFont="1" applyFill="1" applyBorder="1" applyAlignment="1">
      <x:alignment horizontal="left" vertical="top" wrapText="1"/>
    </x:xf>
    <x:xf numFmtId="0" fontId="80" fillId="219" borderId="33" xfId="0" applyNumberFormat="1" applyFont="1" applyFill="1" applyBorder="1" applyAlignment="1">
      <x:alignment horizontal="left" vertical="top" wrapText="1"/>
    </x:xf>
    <x:xf numFmtId="0" fontId="80" fillId="218" xfId="0" applyNumberFormat="1" applyFont="1" applyFill="1" applyBorder="0" applyAlignment="1">
      <x:alignment horizontal="left" vertical="top" wrapText="1"/>
    </x:xf>
    <x:xf numFmtId="0" fontId="80" fillId="212" borderId="23" xfId="0" applyNumberFormat="1" applyFont="1" applyFill="1" applyBorder="1" applyAlignment="1">
      <x:alignment horizontal="left" vertical="top" wrapText="1"/>
    </x:xf>
    <x:xf numFmtId="0" fontId="80" fillId="212" borderId="26" xfId="0" applyNumberFormat="1" applyFont="1" applyFill="1" applyBorder="1" applyAlignment="1">
      <x:alignment horizontal="left" vertical="top" wrapText="1"/>
    </x:xf>
    <x:xf numFmtId="0" fontId="80" fillId="218" borderId="15" xfId="0" applyNumberFormat="1" applyFont="1" applyFill="1" applyBorder="1" applyAlignment="1">
      <x:alignment horizontal="left" vertical="top" wrapText="1"/>
    </x:xf>
    <x:xf numFmtId="0" fontId="80" fillId="218" borderId="49" xfId="0" applyNumberFormat="1" applyFont="1" applyFill="1" applyBorder="1" applyAlignment="1">
      <x:alignment horizontal="left" vertical="top" wrapText="1"/>
    </x:xf>
    <x:xf numFmtId="0" fontId="80" fillId="218" borderId="18" xfId="0" applyNumberFormat="1" applyFont="1" applyFill="1" applyBorder="1" applyAlignment="1">
      <x:alignment horizontal="left" vertical="top" wrapText="1"/>
    </x:xf>
    <x:xf numFmtId="0" fontId="80" fillId="219" borderId="31" xfId="0" applyNumberFormat="1" applyFont="1" applyFill="1" applyBorder="1" applyAlignment="1">
      <x:alignment horizontal="left" vertical="top" wrapText="1"/>
    </x:xf>
    <x:xf numFmtId="0" fontId="80" fillId="219" borderId="49" xfId="0" applyNumberFormat="1" applyFont="1" applyFill="1" applyBorder="1" applyAlignment="1">
      <x:alignment horizontal="left" vertical="top" wrapText="1"/>
    </x:xf>
    <x:xf numFmtId="0" fontId="80" fillId="218" borderId="45" xfId="0" applyNumberFormat="1" applyFont="1" applyFill="1" applyBorder="1" applyAlignment="1">
      <x:alignment horizontal="left" vertical="top" wrapText="1"/>
    </x:xf>
    <x:xf numFmtId="0" fontId="80" fillId="218" borderId="44" xfId="0" applyNumberFormat="1" applyFont="1" applyFill="1" applyBorder="1" applyAlignment="1">
      <x:alignment horizontal="left" vertical="top" wrapText="1"/>
    </x:xf>
    <x:xf numFmtId="0" fontId="80" fillId="212" borderId="24" xfId="0" applyNumberFormat="1" applyFont="1" applyFill="1" applyBorder="1" applyAlignment="1">
      <x:alignment horizontal="left" vertical="top" wrapText="1"/>
    </x:xf>
    <x:xf numFmtId="0" fontId="80" fillId="212" borderId="21" xfId="0" applyNumberFormat="1" applyFont="1" applyFill="1" applyBorder="1" applyAlignment="1">
      <x:alignment horizontal="left" vertical="top" wrapText="1"/>
    </x:xf>
    <x:xf numFmtId="0" fontId="80" fillId="212" borderId="27" xfId="0" applyNumberFormat="1" applyFont="1" applyFill="1" applyBorder="1" applyAlignment="1">
      <x:alignment horizontal="left" vertical="top" wrapText="1"/>
    </x:xf>
    <x:xf numFmtId="0" fontId="80" fillId="218" borderId="16" xfId="0" applyNumberFormat="1" applyFont="1" applyFill="1" applyBorder="1" applyAlignment="1">
      <x:alignment horizontal="left" vertical="top" wrapText="1"/>
    </x:xf>
    <x:xf numFmtId="0" fontId="80" fillId="218" borderId="13" xfId="0" applyNumberFormat="1" applyFont="1" applyFill="1" applyBorder="1" applyAlignment="1">
      <x:alignment horizontal="left" vertical="top" wrapText="1"/>
    </x:xf>
    <x:xf numFmtId="0" fontId="80" fillId="218" borderId="19" xfId="0" applyNumberFormat="1" applyFont="1" applyFill="1" applyBorder="1" applyAlignment="1">
      <x:alignment horizontal="left" vertical="top" wrapText="1"/>
    </x:xf>
    <x:xf numFmtId="0" fontId="80" fillId="219" borderId="32" xfId="0" applyNumberFormat="1" applyFont="1" applyFill="1" applyBorder="1" applyAlignment="1">
      <x:alignment horizontal="left" vertical="top" wrapText="1"/>
    </x:xf>
    <x:xf numFmtId="0" fontId="80" fillId="219" borderId="29" xfId="0" applyNumberFormat="1" applyFont="1" applyFill="1" applyBorder="1" applyAlignment="1">
      <x:alignment horizontal="left" vertical="top" wrapText="1"/>
    </x:xf>
    <x:xf numFmtId="0" fontId="80" fillId="219" borderId="35" xfId="0" applyNumberFormat="1" applyFont="1" applyFill="1" applyBorder="1" applyAlignment="1">
      <x:alignment horizontal="left" vertical="top" wrapText="1"/>
    </x:xf>
    <x:xf numFmtId="0" fontId="80" fillId="220" xfId="0" applyNumberFormat="1" applyFont="1" applyFill="1" applyBorder="0" applyAlignment="1">
      <x:alignment horizontal="left" vertical="top" wrapText="1"/>
    </x:xf>
    <x:xf numFmtId="0" fontId="80" fillId="221" borderId="63" xfId="0" applyNumberFormat="1" applyFont="1" applyFill="1" applyBorder="1" applyAlignment="1">
      <x:alignment horizontal="left" vertical="top" wrapText="1"/>
    </x:xf>
    <x:xf numFmtId="0" fontId="80" fillId="205" borderId="65" xfId="0" applyNumberFormat="1" applyFont="1" applyFill="1" applyBorder="1" applyAlignment="1">
      <x:alignment horizontal="left" vertical="top" wrapText="1"/>
    </x:xf>
    <x:xf numFmtId="0" fontId="80" fillId="215" borderId="60" xfId="0" applyNumberFormat="1" applyFont="1" applyFill="1" applyBorder="1" applyAlignment="1">
      <x:alignment horizontal="left" vertical="top" wrapText="1"/>
    </x:xf>
    <x:xf numFmtId="0" fontId="5" fillId="222" borderId="1" xfId="0" applyNumberFormat="1" applyFont="1" applyFill="1" applyBorder="1" applyAlignment="1">
      <x:alignment horizontal="center" vertical="center"/>
    </x:xf>
    <x:xf numFmtId="0" fontId="83" fillId="205" borderId="1" xfId="0" applyNumberFormat="1" applyFont="1" applyFill="1" applyBorder="1" applyAlignment="1">
      <x:alignment horizontal="left" vertical="center" wrapText="1"/>
    </x:xf>
    <x:xf numFmtId="0" fontId="84" fillId="205" borderId="1" xfId="0" applyNumberFormat="1" applyFont="1" applyFill="1" applyBorder="1" applyAlignment="1">
      <x:alignment horizontal="left" vertical="center" wrapText="1"/>
    </x:xf>
    <x:xf numFmtId="0" fontId="46" fillId="223" borderId="0" xfId="0" applyNumberFormat="1" applyFont="1" applyFill="1" applyBorder="1" applyAlignment="1">
      <x:alignment vertical="top" wrapText="1"/>
    </x:xf>
    <x:xf numFmtId="0" fontId="0" fillId="223" borderId="0" xfId="0" applyNumberFormat="1" applyFont="1" applyFill="1" applyBorder="1"/>
    <x:xf numFmtId="0" fontId="87" fillId="223" borderId="0" xfId="0" applyNumberFormat="1" applyFont="1" applyFill="1" applyBorder="1" applyAlignment="1">
      <x:alignment vertical="top" wrapText="1"/>
    </x:xf>
    <x:xf numFmtId="0" fontId="87" fillId="223" borderId="0" xfId="0" applyNumberFormat="1" applyFont="1" applyFill="1" applyBorder="1"/>
    <x:xf numFmtId="0" fontId="87" fillId="223" borderId="0" xfId="0" applyNumberFormat="1" applyFont="1" applyFill="1" applyBorder="1" applyAlignment="1">
      <x:alignment wrapText="1"/>
    </x:xf>
    <x:xf numFmtId="0" fontId="87" fillId="223" borderId="0" xfId="0" applyNumberFormat="1" applyFont="1" applyFill="1" applyBorder="1" applyAlignment="1">
      <x:alignment horizontal="left" vertical="top" wrapText="1"/>
    </x:xf>
    <x:xf numFmtId="0" fontId="87" fillId="223" borderId="0" xfId="0" applyNumberFormat="1" applyFont="1" applyFill="1" applyBorder="1" applyAlignment="1">
      <x:alignment horizontal="left" wrapText="1"/>
    </x:xf>
    <x:xf numFmtId="0" fontId="87" fillId="223" borderId="0" xfId="0" applyNumberFormat="1" applyFont="1" applyFill="1" applyBorder="1" applyAlignment="1">
      <x:alignment horizontal="lef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56">
    <x:dxf/>
    <x:dxf/>
    <x:dxf/>
    <x:dxf/>
    <x:dxf/>
    <x:dxf/>
    <x:dxf/>
    <x:dxf/>
    <x:dxf/>
    <x:dxf/>
    <x:dxf/>
    <x:dxf/>
    <x:dxf/>
    <x:dxf/>
    <x:dxf/>
    <x:dxf/>
    <x:dxf/>
    <x:dxf/>
    <x:dxf/>
    <x:dxf/>
    <x:dxf/>
    <x:dxf/>
    <x:dxf/>
    <x:dxf/>
    <x:dxf/>
    <x:dxf/>
    <x:dxf/>
    <x:dxf/>
    <x:dxf/>
    <x:dxf/>
    <x:dxf/>
    <x:dxf/>
    <x:dxf/>
    <x:dxf/>
    <x:dxf/>
    <x:dxf/>
    <x:dxf>
      <x:font>
        <x:color rgb="FF7F6000"/>
      </x:font>
      <x:fill>
        <x:patternFill>
          <x:bgColor rgb="FFFFF2CC"/>
        </x:patternFill>
      </x:fill>
    </x:dxf>
    <x:dxf>
      <x:font>
        <x:b/>
        <x:color rgb="FF274E13"/>
      </x:font>
      <x:fill>
        <x:patternFill>
          <x:bgColor rgb="FFD9EAD3"/>
        </x:patternFill>
      </x:fill>
    </x:dxf>
    <x:dxf>
      <x:font>
        <x:color rgb="FF783F04"/>
      </x:font>
      <x:fill>
        <x:patternFill>
          <x:bgColor rgb="FFFCE5C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15b59a7f65364699" /><Relationship Type="http://schemas.openxmlformats.org/officeDocument/2006/relationships/theme" Target="/xl/theme/theme1.xml" Id="R1e241ec0e30f45b8" /><Relationship Type="http://schemas.openxmlformats.org/officeDocument/2006/relationships/sharedStrings" Target="/xl/sharedStrings.xml" Id="Rb7e73f21400848ab" /><Relationship Type="http://schemas.openxmlformats.org/officeDocument/2006/relationships/worksheet" Target="/xl/worksheets/sheet1.xml" Id="R5ae95f1eb6e44f93" /><Relationship Type="http://schemas.openxmlformats.org/officeDocument/2006/relationships/worksheet" Target="/xl/worksheets/sheet2.xml" Id="R6d0121a6373443f3" /><Relationship Type="http://schemas.openxmlformats.org/officeDocument/2006/relationships/worksheet" Target="/xl/worksheets/sheet3.xml" Id="R86fd4bf7e1fc462f" /></Relationships>
</file>

<file path=xl/tables/table1.xml><?xml version="1.0" encoding="utf-8"?>
<x:table xmlns:x="http://schemas.openxmlformats.org/spreadsheetml/2006/main" id="1" name="DuguangCoreTable" displayName="DuguangCoreTable" ref="A8:AJ74" headerRowCount="1">
  <x:tableColumns count="36">
    <x:tableColumn id="1" name=" X、Y坐标"/>
    <x:tableColumn id="2" name=" 地名"/>
    <x:tableColumn id="3" name="类型"/>
    <x:tableColumn id="4" name="所属经篇"/>
    <x:tableColumn id="5" name="所属区域／山系"/>
    <x:tableColumn id="6" name="相对都广方向"/>
    <x:tableColumn id="7" name="距都广距离（里）"/>
    <x:tableColumn id="8" name="直接参照地和原文方向"/>
    <x:tableColumn id="9" name=" 原文距离"/>
    <x:tableColumn id="10" name="坐标性质"/>
    <x:tableColumn id="11" name="锁定状态"/>
    <x:tableColumn id="12" name="对象范围／占地"/>
    <x:tableColumn id="13" name="地貌"/>
    <x:tableColumn id="14" name="水系"/>
    <x:tableColumn id="15" name="植物"/>
    <x:tableColumn id="16" name="动物"/>
    <x:tableColumn id="17" name="矿物"/>
    <x:tableColumn id="18" name=" 野兽"/>
    <x:tableColumn id="19" name="怪物／异兽"/>
    <x:tableColumn id="20" name="人物"/>
    <x:tableColumn id="21" name="神祇"/>
    <x:tableColumn id="22" name="族群居民"/>
    <x:tableColumn id="23" name="外形特征"/>
    <x:tableColumn id="24" name="能力／功效／征兆"/>
    <x:tableColumn id="25" name="事件"/>
    <x:tableColumn id="26" name="原文段落／跳转"/>
    <x:tableColumn id="27" name="全书同名检索"/>
    <x:tableColumn id="28" name="古注"/>
    <x:tableColumn id="29" name="其他古籍"/>
    <x:tableColumn id="30" name="异文"/>
    <x:tableColumn id="31" name=" 现代考证"/>
    <x:tableColumn id="32" name="常见定位说"/>
    <x:tableColumn id="33" name="百度／维基补充"/>
    <x:tableColumn id="34" name="误传辨析"/>
    <x:tableColumn id="35" name="设定与推导"/>
    <x:tableColumn id="36" name="来源 URL"/>
  </x:tableColumns>
  <x:tableStyleInfo name="TableStyleMedium2"/>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c47a9c3944b4908" /></Relationships>
</file>

<file path=xl/worksheets/sheet1.xml><?xml version="1.0" encoding="utf-8"?>
<x:worksheet xmlns:x="http://schemas.openxmlformats.org/spreadsheetml/2006/main">
  <x:sheetFormatPr defaultColWidth="9" defaultRowHeight="13.5"/>
  <x:cols>
    <x:col min="1" max="1" width="16.008333206176758" style="123" customWidth="1"/>
    <x:col min="2" max="2" width="15.125" style="123" customWidth="1"/>
    <x:col min="3" max="3" width="10.008333206176758" style="123" customWidth="1"/>
    <x:col min="4" max="4" width="14.441666603088379" style="123" customWidth="1"/>
    <x:col min="5" max="5" width="14.191666603088379" style="123" customWidth="1"/>
    <x:col min="6" max="6" width="11.441666603088379" style="123" customWidth="1"/>
    <x:col min="7" max="7" width="15.258333206176758" style="123" customWidth="1"/>
    <x:col min="8" max="8" width="19.200000762939453" style="123" customWidth="1"/>
    <x:col min="9" max="9" width="7.949999809265137" style="123" customWidth="1"/>
    <x:col min="10" max="10" width="10.824999809265137" style="123" customWidth="1"/>
    <x:col min="11" max="11" width="12.758333206176758" style="123" customWidth="1"/>
    <x:col min="12" max="12" width="21.633333206176758" style="123" customWidth="1"/>
    <x:col min="13" max="13" width="15.691666603088379" style="123" customWidth="1"/>
    <x:col min="14" max="14" width="16.941667556762695" style="123" customWidth="1"/>
    <x:col min="15" max="15" width="23.816667556762695" style="123" customWidth="1"/>
    <x:col min="16" max="16" width="13.441666603088379" style="123" customWidth="1"/>
    <x:col min="17" max="17" width="13.508333206176758" style="123" customWidth="1"/>
    <x:col min="18" max="18" width="11.633333206176758" style="123" customWidth="1"/>
    <x:col min="19" max="19" width="14.133333206176758" style="123" customWidth="1"/>
    <x:col min="20" max="20" width="10.949999809265137" style="123" customWidth="1"/>
    <x:col min="21" max="21" width="14.949999809265137" style="123" customWidth="1"/>
    <x:col min="22" max="22" width="10.625" style="123" customWidth="1"/>
    <x:col min="23" max="23" width="14.941666603088379" style="123" customWidth="1"/>
    <x:col min="24" max="24" width="20.575000762939453" style="123" customWidth="1"/>
    <x:col min="25" max="25" width="16.375" style="123" customWidth="1"/>
    <x:col min="26" max="26" width="15.625" style="123" customWidth="1"/>
    <x:col min="27" max="27" width="23.950000762939453" style="123" customWidth="1"/>
    <x:col min="28" max="28" width="21.008333206176758" style="123" customWidth="1"/>
    <x:col min="29" max="29" width="18.258333206176758" style="123" customWidth="1"/>
    <x:col min="30" max="30" width="17.633333206176758" style="123" customWidth="1"/>
    <x:col min="31" max="31" width="20.883333206176758" style="123" customWidth="1"/>
    <x:col min="32" max="32" width="16.383333206176758" style="123" customWidth="1"/>
    <x:col min="33" max="33" width="18.008333206176758" style="123" customWidth="1"/>
    <x:col min="34" max="34" width="19.066667556762695" style="123" customWidth="1"/>
    <x:col min="35" max="35" width="58" style="123" customWidth="1"/>
    <x:col min="36" max="36" width="44" style="123" customWidth="1"/>
    <x:col min="37" max="45" width="2" style="123" customWidth="1"/>
    <x:col min="46" max="16384" width="9" style="123" customWidth="0"/>
  </x:cols>
  <x:sheetData>
    <x:row r="1" ht="28.5" customHeight="1">
      <x:c r="A1" s="124" t="str">
        <x:v>《山海经》原典地图｜都广之野核心区 v031 卷十八《海内经》闭合校验修复</x:v>
      </x:c>
      <x:c r="B1" s="124"/>
      <x:c r="C1" s="124"/>
      <x:c r="D1" s="124"/>
      <x:c r="E1" s="124"/>
      <x:c r="F1" s="124"/>
      <x:c r="G1" s="124"/>
      <x:c r="H1" s="124"/>
      <x:c r="I1" s="124"/>
      <x:c r="J1" s="124"/>
      <x:c r="K1" s="124"/>
      <x:c r="L1" s="124"/>
      <x:c r="M1" s="124"/>
      <x:c r="N1" s="124"/>
      <x:c r="O1" s="124"/>
      <x:c r="P1" s="124"/>
      <x:c r="Q1" s="124"/>
      <x:c r="R1" s="124"/>
      <x:c r="S1" s="124"/>
      <x:c r="T1" s="124"/>
      <x:c r="U1" s="124"/>
      <x:c r="V1" s="124"/>
      <x:c r="W1" s="124"/>
      <x:c r="X1" s="124"/>
      <x:c r="Y1" s="124"/>
      <x:c r="Z1" s="124"/>
      <x:c r="AA1" s="124"/>
      <x:c r="AB1" s="124"/>
      <x:c r="AC1" s="124"/>
      <x:c r="AD1" s="124"/>
      <x:c r="AE1" s="124"/>
      <x:c r="AF1" s="124"/>
      <x:c r="AG1" s="124"/>
      <x:c r="AH1" s="124"/>
      <x:c r="AI1" s="124"/>
      <x:c r="AJ1" s="124"/>
    </x:row>
    <x:row r="2" ht="25.5" customHeight="1">
      <x:c r="A2" s="125" t="s">
        <x:v>0</x:v>
      </x:c>
      <x:c r="B2" s="125"/>
      <x:c r="C2" s="125"/>
      <x:c r="D2" s="126" t="s">
        <x:v>1</x:v>
      </x:c>
      <x:c r="E2" s="126"/>
      <x:c r="F2" s="126"/>
      <x:c r="G2" s="126"/>
      <x:c r="H2" s="126"/>
      <x:c r="I2" s="126"/>
      <x:c r="J2" s="126"/>
      <x:c r="K2" s="126"/>
      <x:c r="L2" s="126"/>
      <x:c r="M2" s="126"/>
      <x:c r="N2" s="126"/>
      <x:c r="O2" s="126"/>
      <x:c r="P2" s="126"/>
      <x:c r="Q2" s="126"/>
      <x:c r="R2" s="126"/>
      <x:c r="S2" s="126"/>
      <x:c r="T2" s="126"/>
      <x:c r="U2" s="126"/>
      <x:c r="V2" s="126"/>
      <x:c r="W2" s="126"/>
      <x:c r="X2" s="126"/>
      <x:c r="Y2" s="126"/>
      <x:c r="Z2" s="126"/>
      <x:c r="AA2" s="126"/>
      <x:c r="AB2" s="126"/>
      <x:c r="AC2" s="126"/>
      <x:c r="AD2" s="126"/>
      <x:c r="AE2" s="126"/>
      <x:c r="AF2" s="126"/>
      <x:c r="AG2" s="126"/>
      <x:c r="AH2" s="126"/>
      <x:c r="AI2" s="126"/>
      <x:c r="AJ2" s="126"/>
    </x:row>
    <x:row r="3" ht="25.5" customHeight="1">
      <x:c r="A3" s="125" t="s">
        <x:v>2</x:v>
      </x:c>
      <x:c r="B3" s="125"/>
      <x:c r="C3" s="125"/>
      <x:c r="D3" s="126" t="s">
        <x:v>3</x:v>
      </x:c>
      <x:c r="E3" s="126"/>
      <x:c r="F3" s="126"/>
      <x:c r="G3" s="126"/>
      <x:c r="H3" s="126"/>
      <x:c r="I3" s="126"/>
      <x:c r="J3" s="126"/>
      <x:c r="K3" s="126"/>
      <x:c r="L3" s="126"/>
      <x:c r="M3" s="126"/>
      <x:c r="N3" s="126"/>
      <x:c r="O3" s="126"/>
      <x:c r="P3" s="126"/>
      <x:c r="Q3" s="126"/>
      <x:c r="R3" s="126"/>
      <x:c r="S3" s="126"/>
      <x:c r="T3" s="126"/>
      <x:c r="U3" s="126"/>
      <x:c r="V3" s="126"/>
      <x:c r="W3" s="126"/>
      <x:c r="X3" s="126"/>
      <x:c r="Y3" s="126"/>
      <x:c r="Z3" s="126"/>
      <x:c r="AA3" s="126"/>
      <x:c r="AB3" s="126"/>
      <x:c r="AC3" s="126"/>
      <x:c r="AD3" s="126"/>
      <x:c r="AE3" s="126"/>
      <x:c r="AF3" s="126"/>
      <x:c r="AG3" s="126"/>
      <x:c r="AH3" s="126"/>
      <x:c r="AI3" s="126"/>
      <x:c r="AJ3" s="126"/>
    </x:row>
    <x:row r="4" ht="25.5" customHeight="1">
      <x:c r="A4" s="125" t="s">
        <x:v>4</x:v>
      </x:c>
      <x:c r="B4" s="125"/>
      <x:c r="C4" s="125"/>
      <x:c r="D4" s="126" t="s">
        <x:v>5</x:v>
      </x:c>
      <x:c r="E4" s="126"/>
      <x:c r="F4" s="126"/>
      <x:c r="G4" s="126"/>
      <x:c r="H4" s="126"/>
      <x:c r="I4" s="126"/>
      <x:c r="J4" s="126"/>
      <x:c r="K4" s="126"/>
      <x:c r="L4" s="126"/>
      <x:c r="M4" s="126"/>
      <x:c r="N4" s="126"/>
      <x:c r="O4" s="126"/>
      <x:c r="P4" s="126"/>
      <x:c r="Q4" s="126"/>
      <x:c r="R4" s="126"/>
      <x:c r="S4" s="126"/>
      <x:c r="T4" s="126"/>
      <x:c r="U4" s="126"/>
      <x:c r="V4" s="126"/>
      <x:c r="W4" s="126"/>
      <x:c r="X4" s="126"/>
      <x:c r="Y4" s="126"/>
      <x:c r="Z4" s="126"/>
      <x:c r="AA4" s="126"/>
      <x:c r="AB4" s="126"/>
      <x:c r="AC4" s="126"/>
      <x:c r="AD4" s="126"/>
      <x:c r="AE4" s="126"/>
      <x:c r="AF4" s="126"/>
      <x:c r="AG4" s="126"/>
      <x:c r="AH4" s="126"/>
      <x:c r="AI4" s="126"/>
      <x:c r="AJ4" s="126"/>
    </x:row>
    <x:row r="5" ht="25.5" customHeight="1">
      <x:c r="A5" s="125" t="str">
        <x:v>v031校验结论</x:v>
      </x:c>
      <x:c r="B5" s="125"/>
      <x:c r="C5" s="125"/>
      <x:c r="D5" s="126" t="str">
        <x:v>卷十八110条拆分记录已全部清算：97条已建档，13条为非地图／谱系／文明概念；待办0条，未分类0条。原V030的98条统计漏计1个原文段，并有11个已落图对象未独立拆行。</x:v>
      </x:c>
      <x:c r="E5" s="126"/>
      <x:c r="F5" s="126"/>
      <x:c r="G5" s="126"/>
      <x:c r="H5" s="126"/>
      <x:c r="I5" s="126"/>
      <x:c r="J5" s="126"/>
      <x:c r="K5" s="126"/>
      <x:c r="L5" s="126"/>
      <x:c r="M5" s="126"/>
      <x:c r="N5" s="126"/>
      <x:c r="O5" s="126"/>
      <x:c r="P5" s="126"/>
      <x:c r="Q5" s="126"/>
      <x:c r="R5" s="126"/>
      <x:c r="S5" s="126"/>
      <x:c r="T5" s="126"/>
      <x:c r="U5" s="126"/>
      <x:c r="V5" s="126"/>
      <x:c r="W5" s="126"/>
      <x:c r="X5" s="126"/>
      <x:c r="Y5" s="126"/>
      <x:c r="Z5" s="126"/>
      <x:c r="AA5" s="126"/>
      <x:c r="AB5" s="126"/>
      <x:c r="AC5" s="126"/>
      <x:c r="AD5" s="126"/>
      <x:c r="AE5" s="126"/>
      <x:c r="AF5" s="126"/>
      <x:c r="AG5" s="126"/>
      <x:c r="AH5" s="126"/>
      <x:c r="AI5" s="126"/>
      <x:c r="AJ5" s="126"/>
    </x:row>
    <x:row r="6" ht="42" customHeight="1">
      <x:c r="A6" s="1694" t="str">
        <x:v>覆盖率</x:v>
      </x:c>
      <x:c r="B6" s="1694"/>
      <x:c r="C6" s="1694"/>
      <x:c r="D6" s="1695" t="str">
        <x:v>原文拆分记录110条；已建档97条；非地图／概念条目13条；待办0条；未分类0条。卷十八覆盖率100%。</x:v>
      </x:c>
      <x:c r="E6" s="1695"/>
      <x:c r="F6" s="1695"/>
      <x:c r="G6" s="1695"/>
      <x:c r="H6" s="1695"/>
      <x:c r="I6" s="1695" t="s">
        <x:v>6</x:v>
      </x:c>
      <x:c r="J6" s="1695"/>
      <x:c r="K6" s="1695"/>
      <x:c r="L6" s="1695"/>
      <x:c r="M6" s="1695"/>
      <x:c r="N6" s="1695" t="s">
        <x:v>7</x:v>
      </x:c>
      <x:c r="O6" s="1695"/>
      <x:c r="P6" s="1695"/>
      <x:c r="Q6" s="1695"/>
      <x:c r="R6" s="1695"/>
      <x:c r="S6" s="1696" t="s">
        <x:v>8</x:v>
      </x:c>
      <x:c r="T6" s="1696"/>
      <x:c r="U6" s="1696"/>
      <x:c r="V6" s="1696"/>
      <x:c r="W6" s="1696"/>
      <x:c r="X6" s="1696"/>
      <x:c r="Y6" s="1696"/>
      <x:c r="Z6" s="1696"/>
      <x:c r="AA6" s="1696"/>
      <x:c r="AB6" s="1696"/>
      <x:c r="AC6" s="1696"/>
      <x:c r="AD6" s="1696"/>
      <x:c r="AE6" s="1696"/>
      <x:c r="AF6" s="1696"/>
      <x:c r="AG6" s="1696"/>
      <x:c r="AH6" s="1696"/>
      <x:c r="AI6" s="1696"/>
      <x:c r="AJ6" s="1696"/>
    </x:row>
    <x:row r="7" ht="42" customHeight="1">
      <x:c r="A7" s="1694" t="str">
        <x:v>闭合边界</x:v>
      </x:c>
      <x:c r="B7" s="1694" t="s">
        <x:v>9</x:v>
      </x:c>
      <x:c r="C7" s="1694"/>
      <x:c r="D7" s="1695" t="str">
        <x:v>“闭合”表示卷十八文本对象与关系全部有归档状态，不表示所有局部拓扑已获得全局绝对坐标。西海、东海、北海、南方等未锚定模块仍须在后续跨卷审计中寻找真实接口。</x:v>
      </x:c>
      <x:c r="E7" s="1695"/>
      <x:c r="F7" s="1695"/>
      <x:c r="G7" s="1695" t="s">
        <x:v>10</x:v>
      </x:c>
      <x:c r="H7" s="1695"/>
      <x:c r="I7" s="1695"/>
      <x:c r="J7" s="1695"/>
      <x:c r="K7" s="1695"/>
      <x:c r="L7" s="1695"/>
      <x:c r="M7" s="1695" t="s">
        <x:v>11</x:v>
      </x:c>
      <x:c r="N7" s="1695"/>
      <x:c r="O7" s="1695"/>
      <x:c r="P7" s="1695"/>
      <x:c r="Q7" s="1695"/>
      <x:c r="R7" s="1695"/>
      <x:c r="S7" s="1695"/>
      <x:c r="T7" s="1695"/>
      <x:c r="U7" s="1695"/>
      <x:c r="V7" s="1695"/>
      <x:c r="W7" s="1695"/>
      <x:c r="X7" s="1695"/>
      <x:c r="Y7" s="1695"/>
      <x:c r="Z7" s="1695" t="s">
        <x:v>12</x:v>
      </x:c>
      <x:c r="AA7" s="1695"/>
      <x:c r="AB7" s="1695"/>
      <x:c r="AC7" s="1695"/>
      <x:c r="AD7" s="1695"/>
      <x:c r="AE7" s="1695"/>
      <x:c r="AF7" s="1695"/>
      <x:c r="AG7" s="1695"/>
      <x:c r="AH7" s="1695"/>
      <x:c r="AI7" s="1695" t="s">
        <x:v>13</x:v>
      </x:c>
      <x:c r="AJ7" s="1695"/>
    </x:row>
    <x:row r="8" ht="45" customHeight="1">
      <x:c r="A8" s="138" t="s">
        <x:v>14</x:v>
      </x:c>
      <x:c r="B8" s="138" t="s">
        <x:v>15</x:v>
      </x:c>
      <x:c r="C8" s="139" t="s">
        <x:v>16</x:v>
      </x:c>
      <x:c r="D8" s="139" t="s">
        <x:v>17</x:v>
      </x:c>
      <x:c r="E8" s="139" t="s">
        <x:v>18</x:v>
      </x:c>
      <x:c r="F8" s="139" t="s">
        <x:v>19</x:v>
      </x:c>
      <x:c r="G8" s="139" t="s">
        <x:v>20</x:v>
      </x:c>
      <x:c r="H8" s="139" t="s">
        <x:v>21</x:v>
      </x:c>
      <x:c r="I8" s="138" t="s">
        <x:v>22</x:v>
      </x:c>
      <x:c r="J8" s="139" t="s">
        <x:v>23</x:v>
      </x:c>
      <x:c r="K8" s="139" t="s">
        <x:v>24</x:v>
      </x:c>
      <x:c r="L8" s="139" t="s">
        <x:v>25</x:v>
      </x:c>
      <x:c r="M8" s="139" t="s">
        <x:v>26</x:v>
      </x:c>
      <x:c r="N8" s="139" t="s">
        <x:v>27</x:v>
      </x:c>
      <x:c r="O8" s="139" t="s">
        <x:v>28</x:v>
      </x:c>
      <x:c r="P8" s="139" t="s">
        <x:v>29</x:v>
      </x:c>
      <x:c r="Q8" s="139" t="s">
        <x:v>30</x:v>
      </x:c>
      <x:c r="R8" s="138" t="s">
        <x:v>31</x:v>
      </x:c>
      <x:c r="S8" s="139" t="s">
        <x:v>32</x:v>
      </x:c>
      <x:c r="T8" s="139" t="s">
        <x:v>33</x:v>
      </x:c>
      <x:c r="U8" s="139" t="s">
        <x:v>34</x:v>
      </x:c>
      <x:c r="V8" s="139" t="s">
        <x:v>35</x:v>
      </x:c>
      <x:c r="W8" s="139" t="s">
        <x:v>36</x:v>
      </x:c>
      <x:c r="X8" s="139" t="s">
        <x:v>37</x:v>
      </x:c>
      <x:c r="Y8" s="139" t="s">
        <x:v>38</x:v>
      </x:c>
      <x:c r="Z8" s="139" t="s">
        <x:v>39</x:v>
      </x:c>
      <x:c r="AA8" s="139" t="s">
        <x:v>40</x:v>
      </x:c>
      <x:c r="AB8" s="139" t="s">
        <x:v>41</x:v>
      </x:c>
      <x:c r="AC8" s="139" t="s">
        <x:v>42</x:v>
      </x:c>
      <x:c r="AD8" s="139" t="s">
        <x:v>43</x:v>
      </x:c>
      <x:c r="AE8" s="138" t="s">
        <x:v>44</x:v>
      </x:c>
      <x:c r="AF8" s="139" t="s">
        <x:v>45</x:v>
      </x:c>
      <x:c r="AG8" s="139" t="s">
        <x:v>46</x:v>
      </x:c>
      <x:c r="AH8" s="139" t="s">
        <x:v>47</x:v>
      </x:c>
      <x:c r="AI8" s="139" t="s">
        <x:v>13</x:v>
      </x:c>
      <x:c r="AJ8" s="139" t="s">
        <x:v>48</x:v>
      </x:c>
    </x:row>
    <x:row r="9" ht="103.5" customHeight="1">
      <x:c r="A9" s="140" t="str">
        <x:v>X=0里，Y=0里（0，0格）</x:v>
      </x:c>
      <x:c r="B9" s="141" t="str">
        <x:v>都广之野</x:v>
      </x:c>
      <x:c r="C9" s="142" t="str">
        <x:v>野／中央区域</x:v>
      </x:c>
      <x:c r="D9" s="142" t="str">
        <x:v>《海内经》</x:v>
      </x:c>
      <x:c r="E9" s="142" t="str">
        <x:v>都广00核心区</x:v>
      </x:c>
      <x:c r="F9" s="142" t="str">
        <x:v>中央</x:v>
      </x:c>
      <x:c r="G9" s="142" t="n">
        <x:v>0</x:v>
      </x:c>
      <x:c r="H9" s="142" t="str">
        <x:v>直接参照地：项目原点；黑水
原文方向：“西南黑水之间”</x:v>
      </x:c>
      <x:c r="I9" s="142" t="str">
        <x:v>校勘恢复候选：其城方三百里</x:v>
      </x:c>
      <x:c r="J9" s="142" t="str">
        <x:v>项目原点＋校勘恢复文本</x:v>
      </x:c>
      <x:c r="K9" s="142" t="str">
        <x:v>都广中心锁定；都广之野边界未知；核心城3×3为校勘候选层；候选范围不产生内部对象归属
V026：后稷之葬已回归都广内部同格；都广生态层拆为R140。</x:v>
      </x:c>
      <x:c r="L9" s="142" t="str">
        <x:v>都广之野范围未知；核心城候选方300里，棋盘占3×3格，边界X=-150至+150、Y=-150至+150里</x:v>
      </x:c>
      <x:c r="M9" s="142" t="str">
        <x:v>丰饶广野；核心城可按300里见方表现；百谷与草木终年繁盛</x:v>
      </x:c>
      <x:c r="N9" s="142" t="str">
        <x:v>处于黑水相关区域</x:v>
      </x:c>
      <x:c r="O9" s="142" t="str">
        <x:v>膏菽、膏稻、膏黍、膏稷；灵寿木；草木冬夏不死</x:v>
      </x:c>
      <x:c r="P9" s="142" t="str">
        <x:v>鸾鸟、凤鸟、百兽群居</x:v>
      </x:c>
      <x:c r="Q9" s="142"/>
      <x:c r="R9" s="142" t="str">
        <x:v>百兽</x:v>
      </x:c>
      <x:c r="S9" s="142"/>
      <x:c r="T9" s="142" t="str">
        <x:v>后稷；素女（见校勘恢复句）</x:v>
      </x:c>
      <x:c r="U9" s="142"/>
      <x:c r="V9" s="142"/>
      <x:c r="W9" s="142" t="str">
        <x:v>生态特征是百谷自生、鸾凤歌舞、草木不死</x:v>
      </x:c>
      <x:c r="X9" s="142" t="str">
        <x:v>能力：百谷自然生长；生态不受冬夏凋亡限制
功效：食物丰饶、生态恒定</x:v>
      </x:c>
      <x:c r="Y9" s="142" t="str">
        <x:v>事件：后稷葬于此；郭璞图赞称“后稷托终”</x:v>
      </x:c>
      <x:c r="Z9" s="143" t="e">
        <x:f>HYPERLINK("#'山海经原文总库'!A1848","查看对应原文段落")</x:f>
        <x:v>HYPERLINK is not implemented. linkLocation=#'山海经原文总库'!A1848, friendlyName=查看对应原文段落</x:v>
      </x:c>
      <x:c r="AA9" s="142" t="str">
        <x:v>古籍有“都广”“广都”两种写法；郭璞注后稷葬作“广都之野”</x:v>
      </x:c>
      <x:c r="AB9" s="142" t="str">
        <x:v>郭注解释膏谷味甘滑如膏、灵寿为有节木；“其城方三百里，盖天下之中，素女所出”在传本中位于注文，王念孙、郝懿行主张恢复为经文</x:v>
      </x:c>
      <x:c r="AC9" s="142" t="str">
        <x:v>《淮南子·墬形训》：“建木在都广，众帝所自上下……盖天地之中也。”郭璞《图赞》称其“珍怪所聚，鸾歌凤舞”</x:v>
      </x:c>
      <x:c r="AD9" s="142" t="str">
        <x:v>西南黑水之闲/间；都广/广都；“其城方三百里”经注归属有争议</x:v>
      </x:c>
      <x:c r="AE9" s="142" t="str">
        <x:v>常被解释为理想化农业乐园与天地中心；以它为全图原点是本项目制图选择</x:v>
      </x:c>
      <x:c r="AF9" s="142" t="str">
        <x:v>杨慎以后有“都广/广都即成都平原或成都—双流一带”的解释，但不是正文定位</x:v>
      </x:c>
      <x:c r="AG9" s="142" t="str">
        <x:v>大众资料常把都广、建木与成都平原、三星堆神树联系；只可作为视觉与研究线索</x:v>
      </x:c>
      <x:c r="AH9" s="142" t="str">
        <x:v>不得把核心城候选3×3格当成整个都广之野的边界。
氐人国、窫窳、弱水与犀牛等点位落入核心城候选3×3，不等于原文说它们位于都广城内。</x:v>
      </x:c>
      <x:c r="AI9" s="142" t="str">
        <x:v>v019面积规则：都广之野只保留开放区域中心；“其城方三百里”按校勘候选绘制3×3虚线范围，与九丘3×3项目模型叠层，但两者都不等于都广全域。
v020将核心城3×3仅作为校勘候选边界；与九丘项目模型重叠时，优先显示两种证据等级，不推导行政归属。
V026将后稷墓与丰饶生态全部作为都广内部叠层，不再沿用旧100里方向链。</x:v>
      </x:c>
      <x:c r="AJ9" s="142" t="str">
        <x:v>https://ctext.org/shan-hai-jing/hai-nei-jing/zh
https://zh.wikisource.org/zh-hans/山海經/海內經
https://zh.wikisource.org/zh-hans/山海經_(四庫全書本)/卷18
https://ctext.org/huainanzi/di-xing-xun/zh
https://zh.wikisource.org/wiki/全晉文/卷一百二十三
https://e.thecover.cn/shtml/hxdsb/20210107/146979.shtml</x:v>
      </x:c>
    </x:row>
    <x:row r="10" ht="103.5" customHeight="1">
      <x:c r="A10" s="140" t="s">
        <x:v>49</x:v>
      </x:c>
      <x:c r="B10" s="141" t="s">
        <x:v>50</x:v>
      </x:c>
      <x:c r="C10" s="142" t="s">
        <x:v>51</x:v>
      </x:c>
      <x:c r="D10" s="142" t="s">
        <x:v>52</x:v>
      </x:c>
      <x:c r="E10" s="142" t="s">
        <x:v>53</x:v>
      </x:c>
      <x:c r="F10" s="142" t="s">
        <x:v>54</x:v>
      </x:c>
      <x:c r="G10" s="142">
        <x:v>0</x:v>
      </x:c>
      <x:c r="H10" s="142" t="s">
        <x:v>55</x:v>
      </x:c>
      <x:c r="I10" s="142"/>
      <x:c r="J10" s="142" t="s">
        <x:v>56</x:v>
      </x:c>
      <x:c r="K10" s="142" t="s">
        <x:v>57</x:v>
      </x:c>
      <x:c r="L10" s="142" t="s">
        <x:v>58</x:v>
      </x:c>
      <x:c r="M10" s="142" t="s">
        <x:v>59</x:v>
      </x:c>
      <x:c r="N10" s="142" t="s">
        <x:v>60</x:v>
      </x:c>
      <x:c r="O10" s="142" t="s">
        <x:v>61</x:v>
      </x:c>
      <x:c r="P10" s="142"/>
      <x:c r="Q10" s="142"/>
      <x:c r="R10" s="142"/>
      <x:c r="S10" s="142"/>
      <x:c r="T10" s="142" t="s">
        <x:v>62</x:v>
      </x:c>
      <x:c r="U10" s="142" t="s">
        <x:v>63</x:v>
      </x:c>
      <x:c r="V10" s="142"/>
      <x:c r="W10" s="142" t="s">
        <x:v>64</x:v>
      </x:c>
      <x:c r="X10" s="142" t="s">
        <x:v>65</x:v>
      </x:c>
      <x:c r="Y10" s="142" t="s">
        <x:v>66</x:v>
      </x:c>
      <x:c r="Z10" s="143" t="e">
        <x:f>HYPERLINK("#'山海经原文总库'!A1234","查看对应原文段落")</x:f>
        <x:v>HYPERLINK is not implemented. linkLocation=#'山海经原文总库'!A1234, friendlyName=查看对应原文段落</x:v>
      </x:c>
      <x:c r="AA10" s="142" t="s">
        <x:v>67</x:v>
      </x:c>
      <x:c r="AB10" s="142" t="s">
        <x:v>68</x:v>
      </x:c>
      <x:c r="AC10" s="142" t="s">
        <x:v>69</x:v>
      </x:c>
      <x:c r="AD10" s="142" t="s">
        <x:v>70</x:v>
      </x:c>
      <x:c r="AE10" s="142" t="s">
        <x:v>71</x:v>
      </x:c>
      <x:c r="AF10" s="142" t="s">
        <x:v>72</x:v>
      </x:c>
      <x:c r="AG10" s="142" t="s">
        <x:v>73</x:v>
      </x:c>
      <x:c r="AH10" s="142" t="s">
        <x:v>74</x:v>
      </x:c>
      <x:c r="AI10" s="142" t="s">
        <x:v>75</x:v>
      </x:c>
      <x:c r="AJ10" s="142" t="s">
        <x:v>76</x:v>
      </x:c>
    </x:row>
    <x:row r="11" ht="103.5" customHeight="1">
      <x:c r="A11" s="140" t="str">
        <x:v>X=0里，Y=0里（0，0格）</x:v>
      </x:c>
      <x:c r="B11" s="141" t="str">
        <x:v>九丘（整体）</x:v>
      </x:c>
      <x:c r="C11" s="142" t="str">
        <x:v>丘群／水网区域</x:v>
      </x:c>
      <x:c r="D11" s="142" t="str">
        <x:v>《海内经》</x:v>
      </x:c>
      <x:c r="E11" s="142" t="str">
        <x:v>都广00核心区／建木基座</x:v>
      </x:c>
      <x:c r="F11" s="142" t="str">
        <x:v>中央</x:v>
      </x:c>
      <x:c r="G11" s="142" t="n">
        <x:v>0</x:v>
      </x:c>
      <x:c r="H11" s="142" t="str">
        <x:v>直接参照地：建木；都广之野
原文方向：只说“以水络之”</x:v>
      </x:c>
      <x:c r="I11" s="142"/>
      <x:c r="J11" s="142" t="str">
        <x:v>文本邻接＋九宫格制图模型</x:v>
      </x:c>
      <x:c r="K11" s="142" t="str">
        <x:v>九丘名称与水络关系锁定；3×3内部排列为项目模型；模型范围不产生其他对象归属</x:v>
      </x:c>
      <x:c r="L11" s="142" t="str">
        <x:v>项目推定300×300里九宫格；与都广核心城候选叠层，不作为原文明载面积</x:v>
      </x:c>
      <x:c r="M11" s="142" t="str">
        <x:v>九座丘陵组成的中央高地群</x:v>
      </x:c>
      <x:c r="N11" s="142" t="str">
        <x:v>以水络之：水流围绕或连接九丘</x:v>
      </x:c>
      <x:c r="O11" s="142" t="str">
        <x:v>建木生长于九丘系统</x:v>
      </x:c>
      <x:c r="P11" s="142"/>
      <x:c r="Q11" s="142" t="str">
        <x:v>昆吾丘有名金传统；武夫丘有美石传统</x:v>
      </x:c>
      <x:c r="R11" s="142"/>
      <x:c r="S11" s="142"/>
      <x:c r="T11" s="142" t="str">
        <x:v>大皞、黄帝与建木相关</x:v>
      </x:c>
      <x:c r="U11" s="142" t="str">
        <x:v>建木及众帝上下系统</x:v>
      </x:c>
      <x:c r="V11" s="142" t="str">
        <x:v>神民丘可能有神人</x:v>
      </x:c>
      <x:c r="W11" s="142"/>
      <x:c r="X11" s="142" t="str">
        <x:v>能力：作为建木根基与环水高地</x:v>
      </x:c>
      <x:c r="Y11" s="142" t="str">
        <x:v>事件：大皞由建木上下；黄帝造作/护持建木</x:v>
      </x:c>
      <x:c r="Z11" s="143" t="e">
        <x:f>HYPERLINK("#'山海经原文总库'!A1863","查看对应原文段落")</x:f>
        <x:v>HYPERLINK is not implemented. linkLocation=#'山海经原文总库'!A1863, friendlyName=查看对应原文段落</x:v>
      </x:c>
      <x:c r="AA11" s="142" t="str">
        <x:v>昆吾、陶唐等名称在其他典籍另有政治、族群与地名含义</x:v>
      </x:c>
      <x:c r="AB11" s="142" t="str">
        <x:v>郭璞：“络犹绕也。”袁珂认为建木生于九丘之上，上九欘、下九枸与九丘相应</x:v>
      </x:c>
      <x:c r="AC11" s="142" t="str">
        <x:v>《淮南子》只直接连接建木与都广，没有列出九丘内部方位</x:v>
      </x:c>
      <x:c r="AD11" s="142" t="str">
        <x:v>叔得句有“有”字疑衍；神民丘有神人之丘异文</x:v>
      </x:c>
      <x:c r="AE11" s="142" t="str">
        <x:v>可理解为中央圣山群或复合水利高地，但排列无法从原文恢复</x:v>
      </x:c>
      <x:c r="AF11" s="142"/>
      <x:c r="AG11" s="142"/>
      <x:c r="AH11" s="142" t="str">
        <x:v>九丘原文没有方三百里，也没有九宫格方位；棋盘3×3只是一种可撤销的布局模型。
位于九丘九宫格内的非九丘对象，不得自动解释为某一丘上的居民、河流或国度。</x:v>
      </x:c>
      <x:c r="AI11" s="142" t="str">
        <x:v>v019保留3×3九丘布局，但改用项目模型边框，不再与昆仑、氾林、流黄国等原文明载面积使用同一视觉等级。
v020保留九丘3×3视觉模型，但所有非九丘对象均标为候选面积叠层，而不是九丘内部成员。</x:v>
      </x:c>
      <x:c r="AJ11" s="142" t="str">
        <x:v>https://ctext.org/shan-hai-jing/hai-nei-jing/zh
https://zh.wikisource.org/zh-hans/山海經/海內經
https://ctext.org/wiki.pl?chapter=714485&amp;if=gb
https://ctext.org/huainanzi/di-xing-xun/zh</x:v>
      </x:c>
    </x:row>
    <x:row r="12" ht="103.5" customHeight="1">
      <x:c r="A12" s="140" t="s">
        <x:v>49</x:v>
      </x:c>
      <x:c r="B12" s="141" t="s">
        <x:v>77</x:v>
      </x:c>
      <x:c r="C12" s="142" t="s">
        <x:v>78</x:v>
      </x:c>
      <x:c r="D12" s="142" t="s">
        <x:v>79</x:v>
      </x:c>
      <x:c r="E12" s="142" t="s">
        <x:v>80</x:v>
      </x:c>
      <x:c r="F12" s="142" t="s">
        <x:v>54</x:v>
      </x:c>
      <x:c r="G12" s="142">
        <x:v>0</x:v>
      </x:c>
      <x:c r="H12" s="142" t="s">
        <x:v>81</x:v>
      </x:c>
      <x:c r="I12" s="142"/>
      <x:c r="J12" s="142" t="s">
        <x:v>82</x:v>
      </x:c>
      <x:c r="K12" s="142" t="s">
        <x:v>83</x:v>
      </x:c>
      <x:c r="L12" s="142" t="s">
        <x:v>84</x:v>
      </x:c>
      <x:c r="M12" s="142"/>
      <x:c r="N12" s="142" t="s">
        <x:v>85</x:v>
      </x:c>
      <x:c r="O12" s="142"/>
      <x:c r="P12" s="142"/>
      <x:c r="Q12" s="142"/>
      <x:c r="R12" s="142"/>
      <x:c r="S12" s="142"/>
      <x:c r="T12" s="142"/>
      <x:c r="U12" s="142"/>
      <x:c r="V12" s="142"/>
      <x:c r="W12" s="142"/>
      <x:c r="X12" s="142"/>
      <x:c r="Y12" s="142"/>
      <x:c r="Z12" s="143" t="e">
        <x:f t="shared" ref="Z12:Z21" si="0">HYPERLINK("#'山海经原文总库'!A1864","查看对应原文段落")</x:f>
        <x:v>HYPERLINK is not implemented. linkLocation=#'山海经原文总库'!A1864, friendlyName=查看对应原文段落</x:v>
      </x:c>
      <x:c r="AA12" s="142"/>
      <x:c r="AB12" s="142" t="s">
        <x:v>86</x:v>
      </x:c>
      <x:c r="AC12" s="142"/>
      <x:c r="AD12" s="142"/>
      <x:c r="AE12" s="142"/>
      <x:c r="AF12" s="142"/>
      <x:c r="AG12" s="142"/>
      <x:c r="AH12" s="142" t="s">
        <x:v>87</x:v>
      </x:c>
      <x:c r="AI12" s="142" t="s">
        <x:v>88</x:v>
      </x:c>
      <x:c r="AJ12" s="142" t="s">
        <x:v>89</x:v>
      </x:c>
    </x:row>
    <x:row r="13" ht="103.5" customHeight="1">
      <x:c r="A13" s="140" t="s">
        <x:v>90</x:v>
      </x:c>
      <x:c r="B13" s="141" t="s">
        <x:v>91</x:v>
      </x:c>
      <x:c r="C13" s="142" t="s">
        <x:v>92</x:v>
      </x:c>
      <x:c r="D13" s="142" t="s">
        <x:v>79</x:v>
      </x:c>
      <x:c r="E13" s="142" t="s">
        <x:v>80</x:v>
      </x:c>
      <x:c r="F13" s="142" t="s">
        <x:v>93</x:v>
      </x:c>
      <x:c r="G13" s="142" t="n">
        <x:v>141.4</x:v>
      </x:c>
      <x:c r="H13" s="142" t="s">
        <x:v>94</x:v>
      </x:c>
      <x:c r="I13" s="142"/>
      <x:c r="J13" s="142" t="s">
        <x:v>95</x:v>
      </x:c>
      <x:c r="K13" s="142" t="s">
        <x:v>96</x:v>
      </x:c>
      <x:c r="L13" s="142" t="s">
        <x:v>97</x:v>
      </x:c>
      <x:c r="M13" s="142" t="s">
        <x:v>98</x:v>
      </x:c>
      <x:c r="N13" s="142" t="s">
        <x:v>99</x:v>
      </x:c>
      <x:c r="O13" s="142"/>
      <x:c r="P13" s="142"/>
      <x:c r="Q13" s="142"/>
      <x:c r="R13" s="142"/>
      <x:c r="S13" s="142"/>
      <x:c r="T13" s="142" t="s">
        <x:v>100</x:v>
      </x:c>
      <x:c r="U13" s="142"/>
      <x:c r="V13" s="142"/>
      <x:c r="W13" s="142"/>
      <x:c r="X13" s="142"/>
      <x:c r="Y13" s="142"/>
      <x:c r="Z13" s="143" t="e">
        <x:f t="shared" si="0">HYPERLINK("#'山海经原文总库'!A1865","查看对应原文段落")</x:f>
        <x:v>HYPERLINK is not implemented. linkLocation=#'山海经原文总库'!A1865, friendlyName=查看对应原文段落</x:v>
      </x:c>
      <x:c r="AA13" s="142" t="s">
        <x:v>101</x:v>
      </x:c>
      <x:c r="AB13" s="142" t="s">
        <x:v>102</x:v>
      </x:c>
      <x:c r="AC13" s="142" t="s">
        <x:v>103</x:v>
      </x:c>
      <x:c r="AD13" s="142"/>
      <x:c r="AE13" s="142"/>
      <x:c r="AF13" s="142"/>
      <x:c r="AG13" s="142"/>
      <x:c r="AH13" s="142" t="s">
        <x:v>104</x:v>
      </x:c>
      <x:c r="AI13" s="142" t="s">
        <x:v>105</x:v>
      </x:c>
      <x:c r="AJ13" s="142" t="s">
        <x:v>106</x:v>
      </x:c>
    </x:row>
    <x:row r="14" ht="103.5" customHeight="1">
      <x:c r="A14" s="140" t="s">
        <x:v>107</x:v>
      </x:c>
      <x:c r="B14" s="141" t="s">
        <x:v>108</x:v>
      </x:c>
      <x:c r="C14" s="142" t="s">
        <x:v>92</x:v>
      </x:c>
      <x:c r="D14" s="142" t="s">
        <x:v>79</x:v>
      </x:c>
      <x:c r="E14" s="142" t="s">
        <x:v>80</x:v>
      </x:c>
      <x:c r="F14" s="142" t="s">
        <x:v>109</x:v>
      </x:c>
      <x:c r="G14" s="142">
        <x:v>100</x:v>
      </x:c>
      <x:c r="H14" s="142" t="s">
        <x:v>94</x:v>
      </x:c>
      <x:c r="I14" s="142"/>
      <x:c r="J14" s="142" t="s">
        <x:v>95</x:v>
      </x:c>
      <x:c r="K14" s="142" t="s">
        <x:v>96</x:v>
      </x:c>
      <x:c r="L14" s="142" t="s">
        <x:v>97</x:v>
      </x:c>
      <x:c r="M14" s="142" t="s">
        <x:v>98</x:v>
      </x:c>
      <x:c r="N14" s="142" t="s">
        <x:v>99</x:v>
      </x:c>
      <x:c r="O14" s="142"/>
      <x:c r="P14" s="142"/>
      <x:c r="Q14" s="142"/>
      <x:c r="R14" s="142"/>
      <x:c r="S14" s="142"/>
      <x:c r="T14" s="142" t="s">
        <x:v>110</x:v>
      </x:c>
      <x:c r="U14" s="142"/>
      <x:c r="V14" s="142"/>
      <x:c r="W14" s="142"/>
      <x:c r="X14" s="142"/>
      <x:c r="Y14" s="142"/>
      <x:c r="Z14" s="143" t="e">
        <x:f t="shared" si="0">HYPERLINK("#'山海经原文总库'!A1866","查看对应原文段落")</x:f>
        <x:v>HYPERLINK is not implemented. linkLocation=#'山海经原文总库'!A1866, friendlyName=查看对应原文段落</x:v>
      </x:c>
      <x:c r="AA14" s="142" t="s">
        <x:v>101</x:v>
      </x:c>
      <x:c r="AB14" s="142" t="s">
        <x:v>111</x:v>
      </x:c>
      <x:c r="AC14" s="142" t="s">
        <x:v>103</x:v>
      </x:c>
      <x:c r="AD14" s="142"/>
      <x:c r="AE14" s="142"/>
      <x:c r="AF14" s="142"/>
      <x:c r="AG14" s="142"/>
      <x:c r="AH14" s="142" t="s">
        <x:v>104</x:v>
      </x:c>
      <x:c r="AI14" s="142" t="s">
        <x:v>112</x:v>
      </x:c>
      <x:c r="AJ14" s="142" t="s">
        <x:v>106</x:v>
      </x:c>
    </x:row>
    <x:row r="15" ht="103.5" customHeight="1">
      <x:c r="A15" s="140" t="s">
        <x:v>113</x:v>
      </x:c>
      <x:c r="B15" s="141" t="s">
        <x:v>114</x:v>
      </x:c>
      <x:c r="C15" s="142" t="s">
        <x:v>92</x:v>
      </x:c>
      <x:c r="D15" s="142" t="s">
        <x:v>79</x:v>
      </x:c>
      <x:c r="E15" s="142" t="s">
        <x:v>80</x:v>
      </x:c>
      <x:c r="F15" s="142" t="s">
        <x:v>115</x:v>
      </x:c>
      <x:c r="G15" s="142" t="n">
        <x:v>141.4</x:v>
      </x:c>
      <x:c r="H15" s="142" t="s">
        <x:v>94</x:v>
      </x:c>
      <x:c r="I15" s="142"/>
      <x:c r="J15" s="142" t="s">
        <x:v>95</x:v>
      </x:c>
      <x:c r="K15" s="142" t="s">
        <x:v>96</x:v>
      </x:c>
      <x:c r="L15" s="142" t="s">
        <x:v>97</x:v>
      </x:c>
      <x:c r="M15" s="142" t="s">
        <x:v>98</x:v>
      </x:c>
      <x:c r="N15" s="142" t="s">
        <x:v>99</x:v>
      </x:c>
      <x:c r="O15" s="142"/>
      <x:c r="P15" s="142"/>
      <x:c r="Q15" s="142"/>
      <x:c r="R15" s="142"/>
      <x:c r="S15" s="142"/>
      <x:c r="T15" s="142" t="s">
        <x:v>116</x:v>
      </x:c>
      <x:c r="U15" s="142"/>
      <x:c r="V15" s="142"/>
      <x:c r="W15" s="142"/>
      <x:c r="X15" s="142"/>
      <x:c r="Y15" s="142"/>
      <x:c r="Z15" s="143" t="e">
        <x:f t="shared" si="0">HYPERLINK("#'山海经原文总库'!A1867","查看对应原文段落")</x:f>
        <x:v>HYPERLINK is not implemented. linkLocation=#'山海经原文总库'!A1867, friendlyName=查看对应原文段落</x:v>
      </x:c>
      <x:c r="AA15" s="142" t="s">
        <x:v>101</x:v>
      </x:c>
      <x:c r="AB15" s="142" t="s">
        <x:v>117</x:v>
      </x:c>
      <x:c r="AC15" s="142" t="s">
        <x:v>103</x:v>
      </x:c>
      <x:c r="AD15" s="142"/>
      <x:c r="AE15" s="142"/>
      <x:c r="AF15" s="142"/>
      <x:c r="AG15" s="142"/>
      <x:c r="AH15" s="142" t="s">
        <x:v>104</x:v>
      </x:c>
      <x:c r="AI15" s="142" t="s">
        <x:v>118</x:v>
      </x:c>
      <x:c r="AJ15" s="142" t="s">
        <x:v>106</x:v>
      </x:c>
    </x:row>
    <x:row r="16" ht="103.5" customHeight="1">
      <x:c r="A16" s="140" t="s">
        <x:v>119</x:v>
      </x:c>
      <x:c r="B16" s="141" t="s">
        <x:v>120</x:v>
      </x:c>
      <x:c r="C16" s="142" t="s">
        <x:v>92</x:v>
      </x:c>
      <x:c r="D16" s="142" t="s">
        <x:v>79</x:v>
      </x:c>
      <x:c r="E16" s="142" t="s">
        <x:v>80</x:v>
      </x:c>
      <x:c r="F16" s="142" t="s">
        <x:v>121</x:v>
      </x:c>
      <x:c r="G16" s="142">
        <x:v>100</x:v>
      </x:c>
      <x:c r="H16" s="142" t="s">
        <x:v>94</x:v>
      </x:c>
      <x:c r="I16" s="142"/>
      <x:c r="J16" s="142" t="s">
        <x:v>95</x:v>
      </x:c>
      <x:c r="K16" s="142" t="s">
        <x:v>96</x:v>
      </x:c>
      <x:c r="L16" s="142" t="s">
        <x:v>97</x:v>
      </x:c>
      <x:c r="M16" s="142" t="s">
        <x:v>98</x:v>
      </x:c>
      <x:c r="N16" s="142" t="s">
        <x:v>99</x:v>
      </x:c>
      <x:c r="O16" s="142"/>
      <x:c r="P16" s="142"/>
      <x:c r="Q16" s="142" t="s">
        <x:v>122</x:v>
      </x:c>
      <x:c r="R16" s="142"/>
      <x:c r="S16" s="142"/>
      <x:c r="T16" s="142" t="s">
        <x:v>123</x:v>
      </x:c>
      <x:c r="U16" s="142"/>
      <x:c r="V16" s="142"/>
      <x:c r="W16" s="142"/>
      <x:c r="X16" s="142"/>
      <x:c r="Y16" s="142"/>
      <x:c r="Z16" s="143" t="e">
        <x:f t="shared" si="0">HYPERLINK("#'山海经原文总库'!A1868","查看对应原文段落")</x:f>
        <x:v>HYPERLINK is not implemented. linkLocation=#'山海经原文总库'!A1868, friendlyName=查看对应原文段落</x:v>
      </x:c>
      <x:c r="AA16" s="142" t="s">
        <x:v>101</x:v>
      </x:c>
      <x:c r="AB16" s="142" t="s">
        <x:v>124</x:v>
      </x:c>
      <x:c r="AC16" s="142" t="s">
        <x:v>103</x:v>
      </x:c>
      <x:c r="AD16" s="142"/>
      <x:c r="AE16" s="142"/>
      <x:c r="AF16" s="142"/>
      <x:c r="AG16" s="142"/>
      <x:c r="AH16" s="142" t="s">
        <x:v>104</x:v>
      </x:c>
      <x:c r="AI16" s="142" t="s">
        <x:v>125</x:v>
      </x:c>
      <x:c r="AJ16" s="142" t="s">
        <x:v>106</x:v>
      </x:c>
    </x:row>
    <x:row r="17" ht="103.5" customHeight="1">
      <x:c r="A17" s="140" t="s">
        <x:v>49</x:v>
      </x:c>
      <x:c r="B17" s="141" t="s">
        <x:v>126</x:v>
      </x:c>
      <x:c r="C17" s="142" t="s">
        <x:v>92</x:v>
      </x:c>
      <x:c r="D17" s="142" t="s">
        <x:v>79</x:v>
      </x:c>
      <x:c r="E17" s="142" t="s">
        <x:v>80</x:v>
      </x:c>
      <x:c r="F17" s="142" t="s">
        <x:v>54</x:v>
      </x:c>
      <x:c r="G17" s="142">
        <x:v>0</x:v>
      </x:c>
      <x:c r="H17" s="142" t="s">
        <x:v>94</x:v>
      </x:c>
      <x:c r="I17" s="142"/>
      <x:c r="J17" s="142" t="s">
        <x:v>95</x:v>
      </x:c>
      <x:c r="K17" s="142" t="s">
        <x:v>96</x:v>
      </x:c>
      <x:c r="L17" s="142" t="s">
        <x:v>97</x:v>
      </x:c>
      <x:c r="M17" s="142" t="s">
        <x:v>98</x:v>
      </x:c>
      <x:c r="N17" s="142" t="s">
        <x:v>99</x:v>
      </x:c>
      <x:c r="O17" s="142"/>
      <x:c r="P17" s="142"/>
      <x:c r="Q17" s="142"/>
      <x:c r="R17" s="142"/>
      <x:c r="S17" s="142"/>
      <x:c r="T17" s="142"/>
      <x:c r="U17" s="142"/>
      <x:c r="V17" s="142"/>
      <x:c r="W17" s="142"/>
      <x:c r="X17" s="142"/>
      <x:c r="Y17" s="142"/>
      <x:c r="Z17" s="143" t="e">
        <x:f t="shared" si="0">HYPERLINK("#'山海经原文总库'!A1869","查看对应原文段落")</x:f>
        <x:v>HYPERLINK is not implemented. linkLocation=#'山海经原文总库'!A1869, friendlyName=查看对应原文段落</x:v>
      </x:c>
      <x:c r="AA17" s="142" t="s">
        <x:v>101</x:v>
      </x:c>
      <x:c r="AB17" s="142"/>
      <x:c r="AC17" s="142" t="s">
        <x:v>103</x:v>
      </x:c>
      <x:c r="AD17" s="142"/>
      <x:c r="AE17" s="142"/>
      <x:c r="AF17" s="142"/>
      <x:c r="AG17" s="142"/>
      <x:c r="AH17" s="142" t="s">
        <x:v>104</x:v>
      </x:c>
      <x:c r="AI17" s="142" t="s">
        <x:v>127</x:v>
      </x:c>
      <x:c r="AJ17" s="142" t="s">
        <x:v>106</x:v>
      </x:c>
    </x:row>
    <x:row r="18" ht="103.5" customHeight="1">
      <x:c r="A18" s="140" t="s">
        <x:v>128</x:v>
      </x:c>
      <x:c r="B18" s="141" t="s">
        <x:v>129</x:v>
      </x:c>
      <x:c r="C18" s="142" t="s">
        <x:v>92</x:v>
      </x:c>
      <x:c r="D18" s="142" t="s">
        <x:v>79</x:v>
      </x:c>
      <x:c r="E18" s="142" t="s">
        <x:v>80</x:v>
      </x:c>
      <x:c r="F18" s="142" t="s">
        <x:v>130</x:v>
      </x:c>
      <x:c r="G18" s="142">
        <x:v>100</x:v>
      </x:c>
      <x:c r="H18" s="142" t="s">
        <x:v>94</x:v>
      </x:c>
      <x:c r="I18" s="142"/>
      <x:c r="J18" s="142" t="s">
        <x:v>95</x:v>
      </x:c>
      <x:c r="K18" s="142" t="s">
        <x:v>96</x:v>
      </x:c>
      <x:c r="L18" s="142" t="s">
        <x:v>97</x:v>
      </x:c>
      <x:c r="M18" s="142" t="s">
        <x:v>98</x:v>
      </x:c>
      <x:c r="N18" s="142" t="s">
        <x:v>99</x:v>
      </x:c>
      <x:c r="O18" s="142"/>
      <x:c r="P18" s="142"/>
      <x:c r="Q18" s="142"/>
      <x:c r="R18" s="142"/>
      <x:c r="S18" s="142"/>
      <x:c r="T18" s="142"/>
      <x:c r="U18" s="142"/>
      <x:c r="V18" s="142"/>
      <x:c r="W18" s="142"/>
      <x:c r="X18" s="142"/>
      <x:c r="Y18" s="142"/>
      <x:c r="Z18" s="143" t="e">
        <x:f t="shared" si="0">HYPERLINK("#'山海经原文总库'!A1870","查看对应原文段落")</x:f>
        <x:v>HYPERLINK is not implemented. linkLocation=#'山海经原文总库'!A1870, friendlyName=查看对应原文段落</x:v>
      </x:c>
      <x:c r="AA18" s="142" t="s">
        <x:v>101</x:v>
      </x:c>
      <x:c r="AB18" s="142"/>
      <x:c r="AC18" s="142" t="s">
        <x:v>103</x:v>
      </x:c>
      <x:c r="AD18" s="142"/>
      <x:c r="AE18" s="142"/>
      <x:c r="AF18" s="142"/>
      <x:c r="AG18" s="142"/>
      <x:c r="AH18" s="142" t="s">
        <x:v>104</x:v>
      </x:c>
      <x:c r="AI18" s="142" t="s">
        <x:v>131</x:v>
      </x:c>
      <x:c r="AJ18" s="142" t="s">
        <x:v>106</x:v>
      </x:c>
    </x:row>
    <x:row r="19" ht="103.5" customHeight="1">
      <x:c r="A19" s="140" t="s">
        <x:v>132</x:v>
      </x:c>
      <x:c r="B19" s="141" t="s">
        <x:v>133</x:v>
      </x:c>
      <x:c r="C19" s="142" t="s">
        <x:v>92</x:v>
      </x:c>
      <x:c r="D19" s="142" t="s">
        <x:v>79</x:v>
      </x:c>
      <x:c r="E19" s="142" t="s">
        <x:v>80</x:v>
      </x:c>
      <x:c r="F19" s="142" t="s">
        <x:v>134</x:v>
      </x:c>
      <x:c r="G19" s="142" t="n">
        <x:v>141.4</x:v>
      </x:c>
      <x:c r="H19" s="142" t="s">
        <x:v>94</x:v>
      </x:c>
      <x:c r="I19" s="142"/>
      <x:c r="J19" s="142" t="s">
        <x:v>95</x:v>
      </x:c>
      <x:c r="K19" s="142" t="s">
        <x:v>96</x:v>
      </x:c>
      <x:c r="L19" s="142" t="s">
        <x:v>97</x:v>
      </x:c>
      <x:c r="M19" s="142" t="s">
        <x:v>98</x:v>
      </x:c>
      <x:c r="N19" s="142" t="s">
        <x:v>99</x:v>
      </x:c>
      <x:c r="O19" s="142"/>
      <x:c r="P19" s="142"/>
      <x:c r="Q19" s="142"/>
      <x:c r="R19" s="142"/>
      <x:c r="S19" s="142"/>
      <x:c r="T19" s="142"/>
      <x:c r="U19" s="142"/>
      <x:c r="V19" s="142"/>
      <x:c r="W19" s="142"/>
      <x:c r="X19" s="142"/>
      <x:c r="Y19" s="142"/>
      <x:c r="Z19" s="143" t="e">
        <x:f t="shared" si="0">HYPERLINK("#'山海经原文总库'!A1871","查看对应原文段落")</x:f>
        <x:v>HYPERLINK is not implemented. linkLocation=#'山海经原文总库'!A1871, friendlyName=查看对应原文段落</x:v>
      </x:c>
      <x:c r="AA19" s="142" t="s">
        <x:v>101</x:v>
      </x:c>
      <x:c r="AB19" s="142"/>
      <x:c r="AC19" s="142" t="s">
        <x:v>103</x:v>
      </x:c>
      <x:c r="AD19" s="142"/>
      <x:c r="AE19" s="142"/>
      <x:c r="AF19" s="142"/>
      <x:c r="AG19" s="142"/>
      <x:c r="AH19" s="142" t="s">
        <x:v>104</x:v>
      </x:c>
      <x:c r="AI19" s="142" t="s">
        <x:v>135</x:v>
      </x:c>
      <x:c r="AJ19" s="142" t="s">
        <x:v>106</x:v>
      </x:c>
    </x:row>
    <x:row r="20" ht="103.5" customHeight="1">
      <x:c r="A20" s="140" t="s">
        <x:v>136</x:v>
      </x:c>
      <x:c r="B20" s="141" t="s">
        <x:v>137</x:v>
      </x:c>
      <x:c r="C20" s="142" t="s">
        <x:v>92</x:v>
      </x:c>
      <x:c r="D20" s="142" t="s">
        <x:v>79</x:v>
      </x:c>
      <x:c r="E20" s="142" t="s">
        <x:v>80</x:v>
      </x:c>
      <x:c r="F20" s="142" t="s">
        <x:v>138</x:v>
      </x:c>
      <x:c r="G20" s="142">
        <x:v>100</x:v>
      </x:c>
      <x:c r="H20" s="142" t="s">
        <x:v>94</x:v>
      </x:c>
      <x:c r="I20" s="142"/>
      <x:c r="J20" s="142" t="s">
        <x:v>95</x:v>
      </x:c>
      <x:c r="K20" s="142" t="s">
        <x:v>96</x:v>
      </x:c>
      <x:c r="L20" s="142" t="s">
        <x:v>97</x:v>
      </x:c>
      <x:c r="M20" s="142" t="s">
        <x:v>98</x:v>
      </x:c>
      <x:c r="N20" s="142" t="s">
        <x:v>99</x:v>
      </x:c>
      <x:c r="O20" s="142"/>
      <x:c r="P20" s="142"/>
      <x:c r="Q20" s="142" t="s">
        <x:v>139</x:v>
      </x:c>
      <x:c r="R20" s="142"/>
      <x:c r="S20" s="142"/>
      <x:c r="T20" s="142"/>
      <x:c r="U20" s="142"/>
      <x:c r="V20" s="142"/>
      <x:c r="W20" s="142"/>
      <x:c r="X20" s="142"/>
      <x:c r="Y20" s="142"/>
      <x:c r="Z20" s="143" t="e">
        <x:f t="shared" si="0">HYPERLINK("#'山海经原文总库'!A1872","查看对应原文段落")</x:f>
        <x:v>HYPERLINK is not implemented. linkLocation=#'山海经原文总库'!A1872, friendlyName=查看对应原文段落</x:v>
      </x:c>
      <x:c r="AA20" s="142" t="s">
        <x:v>101</x:v>
      </x:c>
      <x:c r="AB20" s="142" t="s">
        <x:v>140</x:v>
      </x:c>
      <x:c r="AC20" s="142" t="s">
        <x:v>103</x:v>
      </x:c>
      <x:c r="AD20" s="142"/>
      <x:c r="AE20" s="142"/>
      <x:c r="AF20" s="142"/>
      <x:c r="AG20" s="142"/>
      <x:c r="AH20" s="142" t="s">
        <x:v>104</x:v>
      </x:c>
      <x:c r="AI20" s="142" t="s">
        <x:v>141</x:v>
      </x:c>
      <x:c r="AJ20" s="142" t="s">
        <x:v>106</x:v>
      </x:c>
    </x:row>
    <x:row r="21" ht="103.5" customHeight="1">
      <x:c r="A21" s="140" t="s">
        <x:v>142</x:v>
      </x:c>
      <x:c r="B21" s="141" t="s">
        <x:v>143</x:v>
      </x:c>
      <x:c r="C21" s="142" t="s">
        <x:v>92</x:v>
      </x:c>
      <x:c r="D21" s="142" t="s">
        <x:v>79</x:v>
      </x:c>
      <x:c r="E21" s="142" t="s">
        <x:v>80</x:v>
      </x:c>
      <x:c r="F21" s="142" t="s">
        <x:v>144</x:v>
      </x:c>
      <x:c r="G21" s="142" t="n">
        <x:v>141.4</x:v>
      </x:c>
      <x:c r="H21" s="142" t="s">
        <x:v>94</x:v>
      </x:c>
      <x:c r="I21" s="142"/>
      <x:c r="J21" s="142" t="s">
        <x:v>95</x:v>
      </x:c>
      <x:c r="K21" s="142" t="s">
        <x:v>96</x:v>
      </x:c>
      <x:c r="L21" s="142" t="s">
        <x:v>97</x:v>
      </x:c>
      <x:c r="M21" s="142" t="s">
        <x:v>98</x:v>
      </x:c>
      <x:c r="N21" s="142" t="s">
        <x:v>99</x:v>
      </x:c>
      <x:c r="O21" s="142"/>
      <x:c r="P21" s="142"/>
      <x:c r="Q21" s="142"/>
      <x:c r="R21" s="142"/>
      <x:c r="S21" s="142"/>
      <x:c r="T21" s="142"/>
      <x:c r="U21" s="142"/>
      <x:c r="V21" s="142" t="s">
        <x:v>145</x:v>
      </x:c>
      <x:c r="W21" s="142"/>
      <x:c r="X21" s="142"/>
      <x:c r="Y21" s="142"/>
      <x:c r="Z21" s="143" t="e">
        <x:f t="shared" si="0">HYPERLINK("#'山海经原文总库'!A1873","查看对应原文段落")</x:f>
        <x:v>HYPERLINK is not implemented. linkLocation=#'山海经原文总库'!A1873, friendlyName=查看对应原文段落</x:v>
      </x:c>
      <x:c r="AA21" s="142" t="s">
        <x:v>101</x:v>
      </x:c>
      <x:c r="AB21" s="142" t="s">
        <x:v>146</x:v>
      </x:c>
      <x:c r="AC21" s="142" t="s">
        <x:v>103</x:v>
      </x:c>
      <x:c r="AD21" s="142" t="s">
        <x:v>147</x:v>
      </x:c>
      <x:c r="AE21" s="142"/>
      <x:c r="AF21" s="142"/>
      <x:c r="AG21" s="142"/>
      <x:c r="AH21" s="142" t="s">
        <x:v>104</x:v>
      </x:c>
      <x:c r="AI21" s="142" t="s">
        <x:v>148</x:v>
      </x:c>
      <x:c r="AJ21" s="142" t="s">
        <x:v>106</x:v>
      </x:c>
    </x:row>
    <x:row r="22" ht="103.5" customHeight="1">
      <x:c r="A22" s="140" t="str">
        <x:v>X=-20里，Y=0里（-0.2，0格）</x:v>
      </x:c>
      <x:c r="B22" s="141" t="s">
        <x:v>149</x:v>
      </x:c>
      <x:c r="C22" s="142" t="s">
        <x:v>150</x:v>
      </x:c>
      <x:c r="D22" s="142" t="s">
        <x:v>151</x:v>
      </x:c>
      <x:c r="E22" s="142" t="s">
        <x:v>152</x:v>
      </x:c>
      <x:c r="F22" s="142" t="str">
        <x:v>都广内部／中心西侧格内位</x:v>
      </x:c>
      <x:c r="G22" s="142" t="n">
        <x:v>20</x:v>
      </x:c>
      <x:c r="H22" s="142" t="str">
        <x:v>直接参照地：都广之野
原文关系：西南黑水之间，有都广之野，后稷葬焉</x:v>
      </x:c>
      <x:c r="I22" s="142" t="str">
        <x:v>与都广共域；无独立里数</x:v>
      </x:c>
      <x:c r="J22" s="142" t="str">
        <x:v>原文包含共域＋格内20里排版偏移（非文本距离）</x:v>
      </x:c>
      <x:c r="K22" s="142" t="str">
        <x:v>后稷葬于都广之野关系锁定；精确墓位未锁
V026：旧X=-200里的方向链坐标撤销，改为都广核心同格表达</x:v>
      </x:c>
      <x:c r="L22" s="142" t="str">
        <x:v>墓葬／农业圣域；位于都广之野内部。100里主格只作索引，不表示墓域大小</x:v>
      </x:c>
      <x:c r="M22" s="142" t="s">
        <x:v>153</x:v>
      </x:c>
      <x:c r="N22" s="142" t="s">
        <x:v>154</x:v>
      </x:c>
      <x:c r="O22" s="142" t="s">
        <x:v>155</x:v>
      </x:c>
      <x:c r="P22" s="142"/>
      <x:c r="Q22" s="142"/>
      <x:c r="R22" s="142"/>
      <x:c r="S22" s="142"/>
      <x:c r="T22" s="142" t="s">
        <x:v>156</x:v>
      </x:c>
      <x:c r="U22" s="142" t="s">
        <x:v>157</x:v>
      </x:c>
      <x:c r="V22" s="142"/>
      <x:c r="W22" s="142"/>
      <x:c r="X22" s="142" t="s">
        <x:v>158</x:v>
      </x:c>
      <x:c r="Y22" s="142" t="s">
        <x:v>159</x:v>
      </x:c>
      <x:c r="Z22" s="143" t="e">
        <x:f>HYPERLINK("#'山海经原文总库'!A1850","查看对应原文段落")</x:f>
        <x:v>HYPERLINK is not implemented. linkLocation=#'山海经原文总库'!A1850, friendlyName=查看对应原文段落</x:v>
      </x:c>
      <x:c r="AA22" s="142" t="s">
        <x:v>160</x:v>
      </x:c>
      <x:c r="AB22" s="142" t="s">
        <x:v>161</x:v>
      </x:c>
      <x:c r="AC22" s="142" t="s">
        <x:v>162</x:v>
      </x:c>
      <x:c r="AD22" s="142" t="s">
        <x:v>163</x:v>
      </x:c>
      <x:c r="AE22" s="142" t="s">
        <x:v>164</x:v>
      </x:c>
      <x:c r="AF22" s="142" t="s">
        <x:v>165</x:v>
      </x:c>
      <x:c r="AG22" s="142" t="s">
        <x:v>166</x:v>
      </x:c>
      <x:c r="AH22" s="142" t="str">
        <x:v>不能把“后稷所潜大泽”直接等同“后稷葬”；可能是不同异传
“后稷葬焉”是都广之野内部包含关系，不应再画成与都广相距200里的外部墓地。
V029：卷十八“后稷是播百谷”只说明文明职能，不说明播谷行为发生在后稷葬地；不得用墓葬坐标替代后稷全部活动地点。</x:v>
      </x:c>
      <x:c r="AI22" s="142" t="str">
        <x:v>其他关系：在氐人国西；流黄国又在其西；与建木构成西向关系链
背景故事：播下百谷者最终葬在百谷自生之地，墓域被山水环绕，成为农业循环的永久核心
视觉灵感备注：自然丘冢、环河与不凋田野；避免后世帝王陵寝宫殿化
推导思路关联：建木为(0,0)；氐人国在建木西，置(-100,0)；后稷葬又在氐国西，置(-200,0)。每级100里是无里数方向关系的最小邻接规则。
V026按原文包含关系将后稷之葬移回都广核心主格，格内偏移(-20,0)里仅用于与建木、九丘及生态层错开。
V029谱系分类：R22只承载“后稷葬于都广”的明确地理关系。后稷播百谷属于非定点文明事件，不新增坐标。</x:v>
      </x:c>
      <x:c r="AJ22" s="142" t="s">
        <x:v>167</x:v>
      </x:c>
    </x:row>
    <x:row r="23" ht="103.5" customHeight="1">
      <x:c r="A23" s="144" t="s">
        <x:v>119</x:v>
      </x:c>
      <x:c r="B23" s="145" t="s">
        <x:v>168</x:v>
      </x:c>
      <x:c r="C23" s="146" t="s">
        <x:v>169</x:v>
      </x:c>
      <x:c r="D23" s="146" t="s">
        <x:v>6</x:v>
      </x:c>
      <x:c r="E23" s="146" t="s">
        <x:v>152</x:v>
      </x:c>
      <x:c r="F23" s="146" t="s">
        <x:v>121</x:v>
      </x:c>
      <x:c r="G23" s="146">
        <x:v>100</x:v>
      </x:c>
      <x:c r="H23" s="146" t="s">
        <x:v>170</x:v>
      </x:c>
      <x:c r="I23" s="146"/>
      <x:c r="J23" s="146" t="s">
        <x:v>171</x:v>
      </x:c>
      <x:c r="K23" s="146" t="str">
        <x:v>方向锁定；距离推定
v020：点位落入都广核心城候选／九丘项目3×3，分类为候选面积叠层；城内或丘内归属未锁
V022：原方向／拓扑保留；旧100里最小邻接降级为历史排版坐标，不作为文本距离证据</x:v>
      </x:c>
      <x:c r="L23" s="146" t="s">
        <x:v>172</x:v>
      </x:c>
      <x:c r="M23" s="146" t="s">
        <x:v>173</x:v>
      </x:c>
      <x:c r="N23" s="146" t="s">
        <x:v>174</x:v>
      </x:c>
      <x:c r="O23" s="146"/>
      <x:c r="P23" s="146"/>
      <x:c r="Q23" s="146"/>
      <x:c r="R23" s="146"/>
      <x:c r="S23" s="146"/>
      <x:c r="T23" s="146"/>
      <x:c r="U23" s="146"/>
      <x:c r="V23" s="146" t="s">
        <x:v>175</x:v>
      </x:c>
      <x:c r="W23" s="146" t="s">
        <x:v>176</x:v>
      </x:c>
      <x:c r="X23" s="146" t="s">
        <x:v>177</x:v>
      </x:c>
      <x:c r="Y23" s="146" t="s">
        <x:v>178</x:v>
      </x:c>
      <x:c r="Z23" s="147" t="e">
        <x:f>HYPERLINK("#'山海经原文总库'!A1235","查看对应原文段落")</x:f>
        <x:v>HYPERLINK is not implemented. linkLocation=#'山海经原文总库'!A1235, friendlyName=查看对应原文段落</x:v>
      </x:c>
      <x:c r="AA23" s="146" t="s">
        <x:v>179</x:v>
      </x:c>
      <x:c r="AB23" s="146" t="s">
        <x:v>180</x:v>
      </x:c>
      <x:c r="AC23" s="146" t="s">
        <x:v>181</x:v>
      </x:c>
      <x:c r="AD23" s="146" t="s">
        <x:v>182</x:v>
      </x:c>
      <x:c r="AE23" s="146" t="s">
        <x:v>183</x:v>
      </x:c>
      <x:c r="AF23" s="146" t="s">
        <x:v>184</x:v>
      </x:c>
      <x:c r="AG23" s="146" t="s">
        <x:v>185</x:v>
      </x:c>
      <x:c r="AH23" s="146" t="str">
        <x:v>“氐人国=历史氐族=某一现代民族”是过度直译
候选面积或项目模型不能反向制造原文包含关系。
无原文里数时，不得把当前坐标差直接解释为真实相距100里。</x:v>
      </x:c>
      <x:c r="AI23" s="146" t="s">
        <x:v>186</x:v>
      </x:c>
      <x:c r="AJ23" s="146" t="s">
        <x:v>187</x:v>
      </x:c>
    </x:row>
    <x:row r="24" ht="103.5" customHeight="1">
      <x:c r="A24" s="148" t="str">
        <x:v>X=-400里，Y=0里（-4，0格）</x:v>
      </x:c>
      <x:c r="B24" s="149" t="str">
        <x:v>流黄酆氏国／流黄辛氏国</x:v>
      </x:c>
      <x:c r="C24" s="150" t="str">
        <x:v>国</x:v>
      </x:c>
      <x:c r="D24" s="150" t="str">
        <x:v>《海内西经》《海内经》《南山经》</x:v>
      </x:c>
      <x:c r="E24" s="150" t="str">
        <x:v>都广00核心区西部</x:v>
      </x:c>
      <x:c r="F24" s="150" t="str">
        <x:v>西</x:v>
      </x:c>
      <x:c r="G24" s="150" t="n">
        <x:v>400</x:v>
      </x:c>
      <x:c r="H24" s="150" t="str">
        <x:v>直接参照地：后稷之葬
原文方向：在后稷葬西</x:v>
      </x:c>
      <x:c r="I24" s="150" t="str">
        <x:v>国域方300里</x:v>
      </x:c>
      <x:c r="J24" s="150" t="str">
        <x:v>方向硬约束＋面积避让推定</x:v>
      </x:c>
      <x:c r="K24" s="150" t="str">
        <x:v>方向锁定；中心距离推定</x:v>
      </x:c>
      <x:c r="L24" s="150" t="str">
        <x:v>原文明载方300里；严格占3×3格，格心X=-500、-400、-300里，Y=-100、0、+100里</x:v>
      </x:c>
      <x:c r="M24" s="150" t="str">
        <x:v>方形国域，中央山，四向道路</x:v>
      </x:c>
      <x:c r="N24" s="150" t="str">
        <x:v>巴遂山为源点，澠水出焉</x:v>
      </x:c>
      <x:c r="O24" s="150"/>
      <x:c r="P24" s="150"/>
      <x:c r="Q24" s="150" t="str">
        <x:v>“尘土”可能是麈字误析</x:v>
      </x:c>
      <x:c r="R24" s="150" t="str">
        <x:v>麈（袁珂采蒋知让说）</x:v>
      </x:c>
      <x:c r="S24" s="150"/>
      <x:c r="T24" s="150"/>
      <x:c r="U24" s="150"/>
      <x:c r="V24" s="150"/>
      <x:c r="W24" s="150"/>
      <x:c r="X24" s="150" t="str">
        <x:v>征兆：郭璞图赞以尘昏雾重描写环境</x:v>
      </x:c>
      <x:c r="Y24" s="150" t="str">
        <x:v>国域中央有山，道路通四方；巴遂山发源澠水</x:v>
      </x:c>
      <x:c r="Z24" s="151" t="e">
        <x:f>HYPERLINK("#'山海经原文总库'!A1243","查看对应原文段落")</x:f>
        <x:v>HYPERLINK is not implemented. linkLocation=#'山海经原文总库'!A1243, friendlyName=查看对应原文段落</x:v>
      </x:c>
      <x:c r="AA24" s="150" t="str">
        <x:v>《海内经》作流黄辛氏；《南山经》又有“流黄”</x:v>
      </x:c>
      <x:c r="AB24" s="150" t="str">
        <x:v>郭璞认辛氏即酆氏；“中方三百里”指国域/城内</x:v>
      </x:c>
      <x:c r="AC24" s="150" t="str">
        <x:v>《淮南子》有“流黄沃民”方三百里；郭璞《图赞》写城围三百、尘昏雾重</x:v>
      </x:c>
      <x:c r="AD24" s="150" t="str">
        <x:v>酆/辛；渑水/绳水；“其出是尘土”或为“出麈”</x:v>
      </x:c>
      <x:c r="AE24" s="150" t="str">
        <x:v>第一批中少数明确给出面积的国家，可用于校验棋盘比例</x:v>
      </x:c>
      <x:c r="AF24" s="150" t="str">
        <x:v>柜山接口未来可能帮助挂接南次二经</x:v>
      </x:c>
      <x:c r="AG24" s="150" t="str">
        <x:v>大众资料多分开复述酆氏与辛氏，未必说明二者是同国异文</x:v>
      </x:c>
      <x:c r="AH24" s="150" t="str">
        <x:v>不能简单画成沙尘国；校勘上可能原为出产麈兽。当前合并同国异名，但保留异文。</x:v>
      </x:c>
      <x:c r="AI24" s="150" t="str">
        <x:v>v019严格面积化：中心(-400,0)，边界X=-550至-250、Y=-150至+150里，棋盘占X=-5～-3、Y=-1～+1共9格。</x:v>
      </x:c>
      <x:c r="AJ24" s="150" t="str">
        <x:v>https://ctext.org/shan-hai-jing/hai-nei-xi-jing/zh
https://ctext.org/shan-hai-jing/hai-nei-jing/zh
https://ctext.org/wiki.pl?chapter=815632&amp;if=gb
https://ctext.org/wiki.pl?chapter=714485&amp;if=gb
https://zh.wikisource.org/wiki/全晉文/卷一百二十三</x:v>
      </x:c>
    </x:row>
    <x:row r="25" ht="103.5" customHeight="1">
      <x:c r="A25" s="140" t="s">
        <x:v>188</x:v>
      </x:c>
      <x:c r="B25" s="141" t="s">
        <x:v>189</x:v>
      </x:c>
      <x:c r="C25" s="142" t="s">
        <x:v>190</x:v>
      </x:c>
      <x:c r="D25" s="142" t="s">
        <x:v>151</x:v>
      </x:c>
      <x:c r="E25" s="142" t="s">
        <x:v>191</x:v>
      </x:c>
      <x:c r="F25" s="142" t="s">
        <x:v>121</x:v>
      </x:c>
      <x:c r="G25" s="142">
        <x:v>400</x:v>
      </x:c>
      <x:c r="H25" s="142" t="s">
        <x:v>192</x:v>
      </x:c>
      <x:c r="I25" s="142"/>
      <x:c r="J25" s="142" t="s">
        <x:v>193</x:v>
      </x:c>
      <x:c r="K25" s="142" t="s">
        <x:v>194</x:v>
      </x:c>
      <x:c r="L25" s="142" t="s">
        <x:v>195</x:v>
      </x:c>
      <x:c r="M25" s="142" t="s">
        <x:v>196</x:v>
      </x:c>
      <x:c r="N25" s="142" t="s">
        <x:v>197</x:v>
      </x:c>
      <x:c r="O25" s="142"/>
      <x:c r="P25" s="142"/>
      <x:c r="Q25" s="142"/>
      <x:c r="R25" s="142"/>
      <x:c r="S25" s="142"/>
      <x:c r="T25" s="142"/>
      <x:c r="U25" s="142"/>
      <x:c r="V25" s="142"/>
      <x:c r="W25" s="142"/>
      <x:c r="X25" s="142"/>
      <x:c r="Y25" s="142"/>
      <x:c r="Z25" s="143" t="e">
        <x:f>HYPERLINK("#'山海经原文总库'!A1879","查看对应原文段落")</x:f>
        <x:v>HYPERLINK is not implemented. linkLocation=#'山海经原文总库'!A1879, friendlyName=查看对应原文段落</x:v>
      </x:c>
      <x:c r="AA25" s="142" t="s">
        <x:v>198</x:v>
      </x:c>
      <x:c r="AB25" s="142" t="s">
        <x:v>199</x:v>
      </x:c>
      <x:c r="AC25" s="142"/>
      <x:c r="AD25" s="142" t="s">
        <x:v>200</x:v>
      </x:c>
      <x:c r="AE25" s="142" t="s">
        <x:v>201</x:v>
      </x:c>
      <x:c r="AF25" s="142"/>
      <x:c r="AG25" s="142"/>
      <x:c r="AH25" s="142" t="s">
        <x:v>202</x:v>
      </x:c>
      <x:c r="AI25" s="142" t="s">
        <x:v>203</x:v>
      </x:c>
      <x:c r="AJ25" s="142" t="s">
        <x:v>204</x:v>
      </x:c>
    </x:row>
    <x:row r="26" ht="103.5" customHeight="1">
      <x:c r="A26" s="140" t="s">
        <x:v>188</x:v>
      </x:c>
      <x:c r="B26" s="141" t="s">
        <x:v>205</x:v>
      </x:c>
      <x:c r="C26" s="142" t="s">
        <x:v>206</x:v>
      </x:c>
      <x:c r="D26" s="142" t="s">
        <x:v>79</x:v>
      </x:c>
      <x:c r="E26" s="142" t="s">
        <x:v>207</x:v>
      </x:c>
      <x:c r="F26" s="142" t="s">
        <x:v>121</x:v>
      </x:c>
      <x:c r="G26" s="142">
        <x:v>400</x:v>
      </x:c>
      <x:c r="H26" s="142" t="s">
        <x:v>208</x:v>
      </x:c>
      <x:c r="I26" s="142" t="s">
        <x:v>209</x:v>
      </x:c>
      <x:c r="J26" s="142" t="s">
        <x:v>210</x:v>
      </x:c>
      <x:c r="K26" s="142" t="s">
        <x:v>211</x:v>
      </x:c>
      <x:c r="L26" s="142" t="s">
        <x:v>212</x:v>
      </x:c>
      <x:c r="M26" s="142" t="s">
        <x:v>213</x:v>
      </x:c>
      <x:c r="N26" s="142" t="s">
        <x:v>214</x:v>
      </x:c>
      <x:c r="O26" s="142"/>
      <x:c r="P26" s="142"/>
      <x:c r="Q26" s="142"/>
      <x:c r="R26" s="142"/>
      <x:c r="S26" s="142"/>
      <x:c r="T26" s="142"/>
      <x:c r="U26" s="142"/>
      <x:c r="V26" s="142"/>
      <x:c r="W26" s="142"/>
      <x:c r="X26" s="142"/>
      <x:c r="Y26" s="142"/>
      <x:c r="Z26" s="143" t="e">
        <x:f>HYPERLINK("#'山海经原文总库'!A1880","查看对应原文段落")</x:f>
        <x:v>HYPERLINK is not implemented. linkLocation=#'山海经原文总库'!A1880, friendlyName=查看对应原文段落</x:v>
      </x:c>
      <x:c r="AA26" s="142" t="s">
        <x:v>215</x:v>
      </x:c>
      <x:c r="AB26" s="142"/>
      <x:c r="AC26" s="142"/>
      <x:c r="AD26" s="142" t="s">
        <x:v>216</x:v>
      </x:c>
      <x:c r="AE26" s="142" t="s">
        <x:v>217</x:v>
      </x:c>
      <x:c r="AF26" s="142"/>
      <x:c r="AG26" s="142"/>
      <x:c r="AH26" s="142" t="s">
        <x:v>218</x:v>
      </x:c>
      <x:c r="AI26" s="142" t="s">
        <x:v>219</x:v>
      </x:c>
      <x:c r="AJ26" s="142" t="s">
        <x:v>220</x:v>
      </x:c>
    </x:row>
    <x:row r="27" ht="103.5" customHeight="1">
      <x:c r="A27" s="140" t="s">
        <x:v>128</x:v>
      </x:c>
      <x:c r="B27" s="141" t="s">
        <x:v>221</x:v>
      </x:c>
      <x:c r="C27" s="142" t="s">
        <x:v>222</x:v>
      </x:c>
      <x:c r="D27" s="142" t="s">
        <x:v>223</x:v>
      </x:c>
      <x:c r="E27" s="142" t="s">
        <x:v>224</x:v>
      </x:c>
      <x:c r="F27" s="142" t="s">
        <x:v>130</x:v>
      </x:c>
      <x:c r="G27" s="142">
        <x:v>100</x:v>
      </x:c>
      <x:c r="H27" s="142" t="s">
        <x:v>225</x:v>
      </x:c>
      <x:c r="I27" s="142"/>
      <x:c r="J27" s="142" t="s">
        <x:v>226</x:v>
      </x:c>
      <x:c r="K27" s="142" t="str">
        <x:v>方向锁定；距离推定
v020：点位落入都广核心城候选／九丘项目3×3，分类为候选面积叠层；城内或丘内归属未锁</x:v>
      </x:c>
      <x:c r="L27" s="142" t="s">
        <x:v>227</x:v>
      </x:c>
      <x:c r="M27" s="142" t="s">
        <x:v>228</x:v>
      </x:c>
      <x:c r="N27" s="142" t="s">
        <x:v>229</x:v>
      </x:c>
      <x:c r="O27" s="142"/>
      <x:c r="P27" s="142"/>
      <x:c r="Q27" s="142"/>
      <x:c r="R27" s="142"/>
      <x:c r="S27" s="142" t="s">
        <x:v>230</x:v>
      </x:c>
      <x:c r="T27" s="142" t="s">
        <x:v>231</x:v>
      </x:c>
      <x:c r="U27" s="142" t="s">
        <x:v>232</x:v>
      </x:c>
      <x:c r="V27" s="142"/>
      <x:c r="W27" s="142" t="s">
        <x:v>233</x:v>
      </x:c>
      <x:c r="X27" s="142" t="s">
        <x:v>234</x:v>
      </x:c>
      <x:c r="Y27" s="142" t="s">
        <x:v>235</x:v>
      </x:c>
      <x:c r="Z27" s="143" t="e">
        <x:f>HYPERLINK("#'山海经原文总库'!A1231","查看对应原文段落")</x:f>
        <x:v>HYPERLINK is not implemented. linkLocation=#'山海经原文总库'!A1231, friendlyName=查看对应原文段落</x:v>
      </x:c>
      <x:c r="AA27" s="142" t="s">
        <x:v>236</x:v>
      </x:c>
      <x:c r="AB27" s="142" t="s">
        <x:v>237</x:v>
      </x:c>
      <x:c r="AC27" s="142" t="s">
        <x:v>238</x:v>
      </x:c>
      <x:c r="AD27" s="142" t="s">
        <x:v>239</x:v>
      </x:c>
      <x:c r="AE27" s="142" t="s">
        <x:v>240</x:v>
      </x:c>
      <x:c r="AF27" s="142"/>
      <x:c r="AG27" s="142" t="s">
        <x:v>241</x:v>
      </x:c>
      <x:c r="AH27" s="142" t="str">
        <x:v>不能把龙首理解为全身必是龙；不能声称六巫就在都广现场复活它
候选面积或项目模型不能反向制造原文包含关系。</x:v>
      </x:c>
      <x:c r="AI27" s="142" t="s">
        <x:v>242</x:v>
      </x:c>
      <x:c r="AJ27" s="142" t="s">
        <x:v>243</x:v>
      </x:c>
    </x:row>
    <x:row r="28" ht="103.5" customHeight="1">
      <x:c r="A28" s="144" t="s">
        <x:v>128</x:v>
      </x:c>
      <x:c r="B28" s="145" t="s">
        <x:v>244</x:v>
      </x:c>
      <x:c r="C28" s="146" t="s">
        <x:v>245</x:v>
      </x:c>
      <x:c r="D28" s="146" t="s">
        <x:v>246</x:v>
      </x:c>
      <x:c r="E28" s="146" t="s">
        <x:v>247</x:v>
      </x:c>
      <x:c r="F28" s="146" t="s">
        <x:v>130</x:v>
      </x:c>
      <x:c r="G28" s="146">
        <x:v>100</x:v>
      </x:c>
      <x:c r="H28" s="146" t="s">
        <x:v>248</x:v>
      </x:c>
      <x:c r="I28" s="146"/>
      <x:c r="J28" s="146" t="s">
        <x:v>249</x:v>
      </x:c>
      <x:c r="K28" s="146" t="str">
        <x:v>局部关系锁定；与昆仑源段未闭合
v020：点位落入都广核心城候选／九丘项目3×3，分类为候选面积叠层；城内或丘内归属未锁</x:v>
      </x:c>
      <x:c r="L28" s="146" t="s">
        <x:v>250</x:v>
      </x:c>
      <x:c r="M28" s="146" t="s">
        <x:v>251</x:v>
      </x:c>
      <x:c r="N28" s="146" t="s">
        <x:v>252</x:v>
      </x:c>
      <x:c r="O28" s="146"/>
      <x:c r="P28" s="146"/>
      <x:c r="Q28" s="146"/>
      <x:c r="R28" s="146"/>
      <x:c r="S28" s="146" t="s">
        <x:v>221</x:v>
      </x:c>
      <x:c r="T28" s="146"/>
      <x:c r="U28" s="146"/>
      <x:c r="V28" s="146"/>
      <x:c r="W28" s="146"/>
      <x:c r="X28" s="146" t="s">
        <x:v>253</x:v>
      </x:c>
      <x:c r="Y28" s="146" t="s">
        <x:v>254</x:v>
      </x:c>
      <x:c r="Z28" s="147" t="e">
        <x:f>HYPERLINK("#'山海经原文总库'!A1232","查看对应原文段落")</x:f>
        <x:v>HYPERLINK is not implemented. linkLocation=#'山海经原文总库'!A1232, friendlyName=查看对应原文段落</x:v>
      </x:c>
      <x:c r="AA28" s="146" t="s">
        <x:v>255</x:v>
      </x:c>
      <x:c r="AB28" s="146" t="s">
        <x:v>256</x:v>
      </x:c>
      <x:c r="AC28" s="146" t="s">
        <x:v>257</x:v>
      </x:c>
      <x:c r="AD28" s="146" t="s">
        <x:v>258</x:v>
      </x:c>
      <x:c r="AE28" s="146" t="s">
        <x:v>259</x:v>
      </x:c>
      <x:c r="AF28" s="146"/>
      <x:c r="AG28" s="146" t="s">
        <x:v>260</x:v>
      </x:c>
      <x:c r="AH28" s="146" t="str">
        <x:v>本格只锁建木—窫窳关系中的弱水核心段，不代表整条弱水只占一格
候选面积或项目模型不能反向制造原文包含关系。</x:v>
      </x:c>
      <x:c r="AI28" s="146" t="s">
        <x:v>261</x:v>
      </x:c>
      <x:c r="AJ28" s="146" t="s">
        <x:v>262</x:v>
      </x:c>
    </x:row>
    <x:row r="29" ht="103.5" customHeight="1">
      <x:c r="A29" s="144" t="s">
        <x:v>263</x:v>
      </x:c>
      <x:c r="B29" s="145" t="s">
        <x:v>264</x:v>
      </x:c>
      <x:c r="C29" s="146" t="s">
        <x:v>265</x:v>
      </x:c>
      <x:c r="D29" s="146" t="s">
        <x:v>266</x:v>
      </x:c>
      <x:c r="E29" s="146" t="s">
        <x:v>267</x:v>
      </x:c>
      <x:c r="F29" s="146" t="s">
        <x:v>130</x:v>
      </x:c>
      <x:c r="G29" s="146">
        <x:v>200</x:v>
      </x:c>
      <x:c r="H29" s="146" t="s">
        <x:v>268</x:v>
      </x:c>
      <x:c r="I29" s="146"/>
      <x:c r="J29" s="146" t="s">
        <x:v>269</x:v>
      </x:c>
      <x:c r="K29" s="146" t="str">
        <x:v>方向锁定；距离推定
V022：原方向／拓扑保留；旧100里最小邻接降级为历史排版坐标，不作为文本距离证据</x:v>
      </x:c>
      <x:c r="L29" s="146" t="s">
        <x:v>270</x:v>
      </x:c>
      <x:c r="M29" s="146"/>
      <x:c r="N29" s="146"/>
      <x:c r="O29" s="146"/>
      <x:c r="P29" s="146"/>
      <x:c r="Q29" s="146"/>
      <x:c r="R29" s="146" t="s">
        <x:v>271</x:v>
      </x:c>
      <x:c r="S29" s="146"/>
      <x:c r="T29" s="146"/>
      <x:c r="U29" s="146"/>
      <x:c r="V29" s="146"/>
      <x:c r="W29" s="146" t="s">
        <x:v>272</x:v>
      </x:c>
      <x:c r="X29" s="146" t="s">
        <x:v>273</x:v>
      </x:c>
      <x:c r="Y29" s="146"/>
      <x:c r="Z29" s="147" t="e">
        <x:f>HYPERLINK("#'山海经原文总库'!A1876","查看对应原文段落")</x:f>
        <x:v>HYPERLINK is not implemented. linkLocation=#'山海经原文总库'!A1876, friendlyName=查看对应原文段落</x:v>
      </x:c>
      <x:c r="AA29" s="146" t="s">
        <x:v>274</x:v>
      </x:c>
      <x:c r="AB29" s="146" t="s">
        <x:v>275</x:v>
      </x:c>
      <x:c r="AC29" s="146"/>
      <x:c r="AD29" s="146" t="s">
        <x:v>276</x:v>
      </x:c>
      <x:c r="AE29" s="146" t="s">
        <x:v>277</x:v>
      </x:c>
      <x:c r="AF29" s="146"/>
      <x:c r="AG29" s="146"/>
      <x:c r="AH29" s="146" t="str">
        <x:v>“知人名”不等于全知或读心。
无原文里数时，不得把当前坐标差直接解释为真实相距100里。</x:v>
      </x:c>
      <x:c r="AI29" s="146" t="s">
        <x:v>278</x:v>
      </x:c>
      <x:c r="AJ29" s="146" t="s">
        <x:v>279</x:v>
      </x:c>
    </x:row>
    <x:row r="30" ht="103.5" customHeight="1">
      <x:c r="A30" s="144" t="s">
        <x:v>280</x:v>
      </x:c>
      <x:c r="B30" s="145" t="s">
        <x:v>281</x:v>
      </x:c>
      <x:c r="C30" s="146" t="s">
        <x:v>282</x:v>
      </x:c>
      <x:c r="D30" s="146" t="s">
        <x:v>6</x:v>
      </x:c>
      <x:c r="E30" s="146" t="s">
        <x:v>267</x:v>
      </x:c>
      <x:c r="F30" s="146" t="s">
        <x:v>115</x:v>
      </x:c>
      <x:c r="G30" s="146">
        <x:v>147.2</x:v>
      </x:c>
      <x:c r="H30" s="146" t="s">
        <x:v>283</x:v>
      </x:c>
      <x:c r="I30" s="146"/>
      <x:c r="J30" s="146" t="s">
        <x:v>284</x:v>
      </x:c>
      <x:c r="K30" s="146" t="str">
        <x:v>方向锁定；距离推定
v020：点位落入都广核心城候选／九丘项目3×3，分类为候选面积叠层；城内或丘内归属未锁</x:v>
      </x:c>
      <x:c r="L30" s="146" t="s">
        <x:v>285</x:v>
      </x:c>
      <x:c r="M30" s="146"/>
      <x:c r="N30" s="146"/>
      <x:c r="O30" s="146"/>
      <x:c r="P30" s="146"/>
      <x:c r="Q30" s="146"/>
      <x:c r="R30" s="146" t="s">
        <x:v>286</x:v>
      </x:c>
      <x:c r="S30" s="146"/>
      <x:c r="T30" s="146"/>
      <x:c r="U30" s="146"/>
      <x:c r="V30" s="146"/>
      <x:c r="W30" s="146" t="s">
        <x:v>287</x:v>
      </x:c>
      <x:c r="X30" s="146"/>
      <x:c r="Y30" s="146"/>
      <x:c r="Z30" s="147" t="e">
        <x:f>HYPERLINK("#'山海经原文总库'!A1229","查看对应原文段落")</x:f>
        <x:v>HYPERLINK is not implemented. linkLocation=#'山海经原文总库'!A1229, friendlyName=查看对应原文段落</x:v>
      </x:c>
      <x:c r="AA30" s="146"/>
      <x:c r="AB30" s="146" t="s">
        <x:v>288</x:v>
      </x:c>
      <x:c r="AC30" s="146"/>
      <x:c r="AD30" s="146"/>
      <x:c r="AE30" s="146"/>
      <x:c r="AF30" s="146"/>
      <x:c r="AG30" s="146"/>
      <x:c r="AH30" s="146" t="str">
        <x:v>候选面积或项目模型不能反向制造原文包含关系。</x:v>
      </x:c>
      <x:c r="AI30" s="146" t="s">
        <x:v>289</x:v>
      </x:c>
      <x:c r="AJ30" s="146" t="s">
        <x:v>290</x:v>
      </x:c>
    </x:row>
    <x:row r="31" ht="103.5" customHeight="1">
      <x:c r="A31" s="144" t="s">
        <x:v>291</x:v>
      </x:c>
      <x:c r="B31" s="145" t="s">
        <x:v>292</x:v>
      </x:c>
      <x:c r="C31" s="146" t="s">
        <x:v>293</x:v>
      </x:c>
      <x:c r="D31" s="146" t="s">
        <x:v>294</x:v>
      </x:c>
      <x:c r="E31" s="146" t="s">
        <x:v>295</x:v>
      </x:c>
      <x:c r="F31" s="146" t="s">
        <x:v>130</x:v>
      </x:c>
      <x:c r="G31" s="146">
        <x:v>300</x:v>
      </x:c>
      <x:c r="H31" s="146" t="s">
        <x:v>296</x:v>
      </x:c>
      <x:c r="I31" s="146"/>
      <x:c r="J31" s="146" t="s">
        <x:v>297</x:v>
      </x:c>
      <x:c r="K31" s="146" t="str">
        <x:v>模块锚点锁定；精确距离推定
v020：坐标落入氾林3×3硬面积西部，分类为同篇／同模块链式几何叠层；氾林包含关系未锁</x:v>
      </x:c>
      <x:c r="L31" s="146" t="s">
        <x:v>298</x:v>
      </x:c>
      <x:c r="M31" s="146" t="s">
        <x:v>299</x:v>
      </x:c>
      <x:c r="N31" s="146"/>
      <x:c r="O31" s="146"/>
      <x:c r="P31" s="146"/>
      <x:c r="Q31" s="146"/>
      <x:c r="R31" s="146"/>
      <x:c r="S31" s="146"/>
      <x:c r="T31" s="146" t="s">
        <x:v>300</x:v>
      </x:c>
      <x:c r="U31" s="146"/>
      <x:c r="V31" s="146"/>
      <x:c r="W31" s="146"/>
      <x:c r="X31" s="146"/>
      <x:c r="Y31" s="146" t="s">
        <x:v>301</x:v>
      </x:c>
      <x:c r="Z31" s="147" t="e">
        <x:f>HYPERLINK("#'山海经原文总库'!A1226","查看对应原文段落")</x:f>
        <x:v>HYPERLINK is not implemented. linkLocation=#'山海经原文总库'!A1226, friendlyName=查看对应原文段落</x:v>
      </x:c>
      <x:c r="AA31" s="146" t="s">
        <x:v>302</x:v>
      </x:c>
      <x:c r="AB31" s="146" t="s">
        <x:v>303</x:v>
      </x:c>
      <x:c r="AC31" s="146" t="s">
        <x:v>304</x:v>
      </x:c>
      <x:c r="AD31" s="146" t="s">
        <x:v>305</x:v>
      </x:c>
      <x:c r="AE31" s="146" t="s">
        <x:v>306</x:v>
      </x:c>
      <x:c r="AF31" s="146" t="s">
        <x:v>307</x:v>
      </x:c>
      <x:c r="AG31" s="146"/>
      <x:c r="AH31" s="146" t="str">
        <x:v>现实九嶷山定位不能反向证明都广、建木的现实坐标。
落入氾林范围只是现有关系链与面积模型的几何结果，不能改写为“原文明载位于氾林中”。</x:v>
      </x:c>
      <x:c r="AI31" s="146" t="str">
        <x:v>狌狌置(200,0)，舜葬在其东；苍梧山作为舜葬载体与舜葬共享(300,0)。
v020重叠审计：本对象保留原坐标，不移动、不并入氾林；在棋盘中以同篇链式叠层标记。</x:v>
      </x:c>
      <x:c r="AJ31" s="146" t="s">
        <x:v>308</x:v>
      </x:c>
    </x:row>
    <x:row r="32" ht="103.5" customHeight="1">
      <x:c r="A32" s="144" t="s">
        <x:v>291</x:v>
      </x:c>
      <x:c r="B32" s="145" t="s">
        <x:v>309</x:v>
      </x:c>
      <x:c r="C32" s="146" t="s">
        <x:v>310</x:v>
      </x:c>
      <x:c r="D32" s="146" t="s">
        <x:v>294</x:v>
      </x:c>
      <x:c r="E32" s="146" t="s">
        <x:v>311</x:v>
      </x:c>
      <x:c r="F32" s="146" t="s">
        <x:v>130</x:v>
      </x:c>
      <x:c r="G32" s="146">
        <x:v>300</x:v>
      </x:c>
      <x:c r="H32" s="146" t="s">
        <x:v>312</x:v>
      </x:c>
      <x:c r="I32" s="146"/>
      <x:c r="J32" s="146" t="s">
        <x:v>313</x:v>
      </x:c>
      <x:c r="K32" s="146" t="str">
        <x:v>方向关系锁定；距离推定
v020：坐标落入氾林3×3硬面积西部，分类为同篇／同模块链式几何叠层；氾林包含关系未锁
V022：原方向／拓扑保留；旧100里最小邻接降级为历史排版坐标，不作为文本距离证据
V023：与R129叔均之葬并列处理，但两者距离未锁。</x:v>
      </x:c>
      <x:c r="L32" s="146" t="s">
        <x:v>314</x:v>
      </x:c>
      <x:c r="M32" s="146" t="s">
        <x:v>315</x:v>
      </x:c>
      <x:c r="N32" s="146"/>
      <x:c r="O32" s="146"/>
      <x:c r="P32" s="146"/>
      <x:c r="Q32" s="146"/>
      <x:c r="R32" s="146"/>
      <x:c r="S32" s="146"/>
      <x:c r="T32" s="146" t="s">
        <x:v>316</x:v>
      </x:c>
      <x:c r="U32" s="146"/>
      <x:c r="V32" s="146"/>
      <x:c r="W32" s="146"/>
      <x:c r="X32" s="146"/>
      <x:c r="Y32" s="146" t="s">
        <x:v>317</x:v>
      </x:c>
      <x:c r="Z32" s="147" t="e">
        <x:f>HYPERLINK("#'山海经原文总库'!A1228","查看对应原文段落")</x:f>
        <x:v>HYPERLINK is not implemented. linkLocation=#'山海经原文总库'!A1228, friendlyName=查看对应原文段落</x:v>
      </x:c>
      <x:c r="AA32" s="146"/>
      <x:c r="AB32" s="146" t="s">
        <x:v>318</x:v>
      </x:c>
      <x:c r="AC32" s="146" t="s">
        <x:v>319</x:v>
      </x:c>
      <x:c r="AD32" s="146"/>
      <x:c r="AE32" s="146" t="s">
        <x:v>320</x:v>
      </x:c>
      <x:c r="AF32" s="146" t="s">
        <x:v>321</x:v>
      </x:c>
      <x:c r="AG32" s="146"/>
      <x:c r="AH32" s="146" t="str">
        <x:v>不能把“舜葬西／东”的项目百里步长当成原文实测里数。
落入氾林范围只是现有关系链与面积模型的几何结果，不能改写为“原文明载位于氾林中”。
无原文里数时，不得把当前坐标差直接解释为真实相距100里。</x:v>
      </x:c>
      <x:c r="AI32" s="146" t="str">
        <x:v>狌狌为(200,0)，舜葬在其东，按最小邻接置(300,0)；与苍梧、九嶷模块共享坐标。
v020重叠审计：本对象保留原坐标，不移动、不并入氾林；在棋盘中以同篇链式叠层标记。</x:v>
      </x:c>
      <x:c r="AJ32" s="146" t="s">
        <x:v>308</x:v>
      </x:c>
    </x:row>
    <x:row r="33" ht="103.5" customHeight="1">
      <x:c r="A33" s="144" t="s">
        <x:v>291</x:v>
      </x:c>
      <x:c r="B33" s="145" t="s">
        <x:v>322</x:v>
      </x:c>
      <x:c r="C33" s="146" t="s">
        <x:v>310</x:v>
      </x:c>
      <x:c r="D33" s="146" t="s">
        <x:v>6</x:v>
      </x:c>
      <x:c r="E33" s="146" t="s">
        <x:v>323</x:v>
      </x:c>
      <x:c r="F33" s="146" t="s">
        <x:v>130</x:v>
      </x:c>
      <x:c r="G33" s="146">
        <x:v>300</x:v>
      </x:c>
      <x:c r="H33" s="146" t="s">
        <x:v>324</x:v>
      </x:c>
      <x:c r="I33" s="146"/>
      <x:c r="J33" s="146" t="s">
        <x:v>325</x:v>
      </x:c>
      <x:c r="K33" s="146" t="str">
        <x:v>内部关系锁定；比例尺内同格
v020：坐标落入氾林3×3硬面积西部，分类为同篇／同模块链式几何叠层；氾林包含关系未锁</x:v>
      </x:c>
      <x:c r="L33" s="146" t="s">
        <x:v>326</x:v>
      </x:c>
      <x:c r="M33" s="146"/>
      <x:c r="N33" s="146"/>
      <x:c r="O33" s="146"/>
      <x:c r="P33" s="146"/>
      <x:c r="Q33" s="146"/>
      <x:c r="R33" s="146"/>
      <x:c r="S33" s="146"/>
      <x:c r="T33" s="146" t="s">
        <x:v>327</x:v>
      </x:c>
      <x:c r="U33" s="146"/>
      <x:c r="V33" s="146"/>
      <x:c r="W33" s="146"/>
      <x:c r="X33" s="146"/>
      <x:c r="Y33" s="146" t="s">
        <x:v>328</x:v>
      </x:c>
      <x:c r="Z33" s="147" t="e">
        <x:f>HYPERLINK("#'山海经原文总库'!A1225","查看对应原文段落")</x:f>
        <x:v>HYPERLINK is not implemented. linkLocation=#'山海经原文总库'!A1225, friendlyName=查看对应原文段落</x:v>
      </x:c>
      <x:c r="AA33" s="146"/>
      <x:c r="AB33" s="146" t="s">
        <x:v>329</x:v>
      </x:c>
      <x:c r="AC33" s="146"/>
      <x:c r="AD33" s="146"/>
      <x:c r="AE33" s="146"/>
      <x:c r="AF33" s="146"/>
      <x:c r="AG33" s="146"/>
      <x:c r="AH33" s="146" t="str">
        <x:v>本表同格表示百里尺度内的山体南北坡，不表示两墓完全重合。
落入氾林范围只是现有关系链与面积模型的几何结果，不能改写为“原文明载位于氾林中”。</x:v>
      </x:c>
      <x:c r="AI33" s="146" t="str">
        <x:v>苍梧山模块中心为(300,0)；山体内部无里数，丹朱葬暂与模块共享格，并在范围栏标明阴面。
v020重叠审计：本对象保留原坐标，不移动、不并入氾林；在棋盘中以同篇链式叠层标记。</x:v>
      </x:c>
      <x:c r="AJ33" s="146" t="s">
        <x:v>290</x:v>
      </x:c>
    </x:row>
    <x:row r="34" ht="103.5" customHeight="1">
      <x:c r="A34" s="140" t="s">
        <x:v>291</x:v>
      </x:c>
      <x:c r="B34" s="141" t="s">
        <x:v>330</x:v>
      </x:c>
      <x:c r="C34" s="142" t="s">
        <x:v>331</x:v>
      </x:c>
      <x:c r="D34" s="142" t="s">
        <x:v>79</x:v>
      </x:c>
      <x:c r="E34" s="142" t="s">
        <x:v>332</x:v>
      </x:c>
      <x:c r="F34" s="142" t="s">
        <x:v>130</x:v>
      </x:c>
      <x:c r="G34" s="142">
        <x:v>300</x:v>
      </x:c>
      <x:c r="H34" s="142" t="s">
        <x:v>333</x:v>
      </x:c>
      <x:c r="I34" s="142"/>
      <x:c r="J34" s="142" t="s">
        <x:v>334</x:v>
      </x:c>
      <x:c r="K34" s="142" t="str">
        <x:v>模块关系锁定；精确边界未锁
v020：坐标落入氾林3×3硬面积西部，分类为同篇／同模块链式几何叠层；氾林包含关系未锁</x:v>
      </x:c>
      <x:c r="L34" s="142"/>
      <x:c r="M34" s="142" t="s">
        <x:v>335</x:v>
      </x:c>
      <x:c r="N34" s="142"/>
      <x:c r="O34" s="142"/>
      <x:c r="P34" s="142"/>
      <x:c r="Q34" s="142"/>
      <x:c r="R34" s="142"/>
      <x:c r="S34" s="142"/>
      <x:c r="T34" s="142"/>
      <x:c r="U34" s="142"/>
      <x:c r="V34" s="142"/>
      <x:c r="W34" s="142"/>
      <x:c r="X34" s="142"/>
      <x:c r="Y34" s="142"/>
      <x:c r="Z34" s="143" t="e">
        <x:f>HYPERLINK("#'山海经原文总库'!A1896","查看对应原文段落")</x:f>
        <x:v>HYPERLINK is not implemented. linkLocation=#'山海经原文总库'!A1896, friendlyName=查看对应原文段落</x:v>
      </x:c>
      <x:c r="AA34" s="142"/>
      <x:c r="AB34" s="142" t="s">
        <x:v>336</x:v>
      </x:c>
      <x:c r="AC34" s="142"/>
      <x:c r="AD34" s="142"/>
      <x:c r="AE34" s="142"/>
      <x:c r="AF34" s="142"/>
      <x:c r="AG34" s="142"/>
      <x:c r="AH34" s="142" t="str">
        <x:v>落入氾林范围只是现有关系链与面积模型的几何结果，不能改写为“原文明载位于氾林中”。</x:v>
      </x:c>
      <x:c r="AI34" s="142" t="str">
        <x:v>与《海内南经》苍梧之山、舜葬模块共享(300,0)，保留不同地貌名称，不自动删并。
v020重叠审计：本对象保留原坐标，不移动、不并入氾林；在棋盘中以同篇链式叠层标记。</x:v>
      </x:c>
      <x:c r="AJ34" s="142" t="s">
        <x:v>89</x:v>
      </x:c>
    </x:row>
    <x:row r="35" ht="103.5" customHeight="1">
      <x:c r="A35" s="140" t="s">
        <x:v>291</x:v>
      </x:c>
      <x:c r="B35" s="141" t="s">
        <x:v>337</x:v>
      </x:c>
      <x:c r="C35" s="142" t="s">
        <x:v>338</x:v>
      </x:c>
      <x:c r="D35" s="142" t="s">
        <x:v>79</x:v>
      </x:c>
      <x:c r="E35" s="142" t="s">
        <x:v>332</x:v>
      </x:c>
      <x:c r="F35" s="142" t="s">
        <x:v>130</x:v>
      </x:c>
      <x:c r="G35" s="142">
        <x:v>300</x:v>
      </x:c>
      <x:c r="H35" s="142" t="s">
        <x:v>339</x:v>
      </x:c>
      <x:c r="I35" s="142"/>
      <x:c r="J35" s="142" t="s">
        <x:v>340</x:v>
      </x:c>
      <x:c r="K35" s="142" t="str">
        <x:v>模块关系锁定
v020：坐标落入氾林3×3硬面积西部，分类为同篇／同模块链式几何叠层；氾林包含关系未锁</x:v>
      </x:c>
      <x:c r="L35" s="142" t="s">
        <x:v>341</x:v>
      </x:c>
      <x:c r="M35" s="142" t="s">
        <x:v>342</x:v>
      </x:c>
      <x:c r="N35" s="142" t="s">
        <x:v>337</x:v>
      </x:c>
      <x:c r="O35" s="142"/>
      <x:c r="P35" s="142"/>
      <x:c r="Q35" s="142"/>
      <x:c r="R35" s="142"/>
      <x:c r="S35" s="142"/>
      <x:c r="T35" s="142"/>
      <x:c r="U35" s="142"/>
      <x:c r="V35" s="142"/>
      <x:c r="W35" s="142"/>
      <x:c r="X35" s="142"/>
      <x:c r="Y35" s="142"/>
      <x:c r="Z35" s="143" t="e">
        <x:f>HYPERLINK("#'山海经原文总库'!A1897","查看对应原文段落")</x:f>
        <x:v>HYPERLINK is not implemented. linkLocation=#'山海经原文总库'!A1897, friendlyName=查看对应原文段落</x:v>
      </x:c>
      <x:c r="AA35" s="142"/>
      <x:c r="AB35" s="142"/>
      <x:c r="AC35" s="142"/>
      <x:c r="AD35" s="142"/>
      <x:c r="AE35" s="142"/>
      <x:c r="AF35" s="142"/>
      <x:c r="AG35" s="142"/>
      <x:c r="AH35" s="142" t="str">
        <x:v>“其中”可能统摄丘、渊或苍梧区域，不能强行画成九嶷山立在水中央。
落入氾林范围只是现有关系链与面积模型的几何结果，不能改写为“原文明载位于氾林中”。</x:v>
      </x:c>
      <x:c r="AI35" s="142" t="str">
        <x:v>作为苍梧模块内部水体与九嶷山共享(300,0)，具体相对位置留待后续文本闭合。
v020重叠审计：本对象保留原坐标，不移动、不并入氾林；在棋盘中以同篇链式叠层标记。</x:v>
      </x:c>
      <x:c r="AJ35" s="142" t="s">
        <x:v>89</x:v>
      </x:c>
    </x:row>
    <x:row r="36" ht="103.5" customHeight="1">
      <x:c r="A36" s="140" t="s">
        <x:v>291</x:v>
      </x:c>
      <x:c r="B36" s="141" t="s">
        <x:v>343</x:v>
      </x:c>
      <x:c r="C36" s="142" t="s">
        <x:v>190</x:v>
      </x:c>
      <x:c r="D36" s="142" t="s">
        <x:v>344</x:v>
      </x:c>
      <x:c r="E36" s="142" t="s">
        <x:v>345</x:v>
      </x:c>
      <x:c r="F36" s="142" t="s">
        <x:v>130</x:v>
      </x:c>
      <x:c r="G36" s="142">
        <x:v>300</x:v>
      </x:c>
      <x:c r="H36" s="142" t="s">
        <x:v>346</x:v>
      </x:c>
      <x:c r="I36" s="142"/>
      <x:c r="J36" s="142" t="s">
        <x:v>347</x:v>
      </x:c>
      <x:c r="K36" s="142" t="str">
        <x:v>模块锚点锁定
v020：坐标落入氾林3×3硬面积西部，分类为同篇／同模块链式几何叠层；氾林包含关系未锁</x:v>
      </x:c>
      <x:c r="L36" s="142"/>
      <x:c r="M36" s="142" t="s">
        <x:v>348</x:v>
      </x:c>
      <x:c r="N36" s="142"/>
      <x:c r="O36" s="142"/>
      <x:c r="P36" s="142"/>
      <x:c r="Q36" s="142"/>
      <x:c r="R36" s="142"/>
      <x:c r="S36" s="142"/>
      <x:c r="T36" s="142" t="s">
        <x:v>316</x:v>
      </x:c>
      <x:c r="U36" s="142"/>
      <x:c r="V36" s="142"/>
      <x:c r="W36" s="142"/>
      <x:c r="X36" s="142"/>
      <x:c r="Y36" s="142" t="s">
        <x:v>349</x:v>
      </x:c>
      <x:c r="Z36" s="143" t="e">
        <x:f>HYPERLINK("#'山海经原文总库'!A1898","查看对应原文段落")</x:f>
        <x:v>HYPERLINK is not implemented. linkLocation=#'山海经原文总库'!A1898, friendlyName=查看对应原文段落</x:v>
      </x:c>
      <x:c r="AA36" s="142"/>
      <x:c r="AB36" s="142" t="s">
        <x:v>350</x:v>
      </x:c>
      <x:c r="AC36" s="142" t="s">
        <x:v>351</x:v>
      </x:c>
      <x:c r="AD36" s="142" t="s">
        <x:v>352</x:v>
      </x:c>
      <x:c r="AE36" s="142"/>
      <x:c r="AF36" s="142" t="s">
        <x:v>321</x:v>
      </x:c>
      <x:c r="AG36" s="142"/>
      <x:c r="AH36" s="142" t="str">
        <x:v>落入氾林范围只是现有关系链与面积模型的几何结果，不能改写为“原文明载位于氾林中”。</x:v>
      </x:c>
      <x:c r="AI36" s="142" t="str">
        <x:v>作为苍梧模块核心山与舜葬共享(300,0)；这是跨篇合并锚点，不反推都广现实地理。
v020重叠审计：本对象保留原坐标，不移动、不并入氾林；在棋盘中以同篇链式叠层标记。</x:v>
      </x:c>
      <x:c r="AJ36" s="142" t="s">
        <x:v>353</x:v>
      </x:c>
    </x:row>
    <x:row r="37" ht="103.5" customHeight="1">
      <x:c r="A37" s="144" t="str">
        <x:v>X=+400里，Y=0里（+4，0格）</x:v>
      </x:c>
      <x:c r="B37" s="145" t="str">
        <x:v>氾林／汜林</x:v>
      </x:c>
      <x:c r="C37" s="146" t="str">
        <x:v>林地／区域</x:v>
      </x:c>
      <x:c r="D37" s="146" t="str">
        <x:v>《海内南经》《海内北经》</x:v>
      </x:c>
      <x:c r="E37" s="146" t="str">
        <x:v>舜葬—狌狌外接区</x:v>
      </x:c>
      <x:c r="F37" s="146" t="str">
        <x:v>东</x:v>
      </x:c>
      <x:c r="G37" s="146" t="n">
        <x:v>400</x:v>
      </x:c>
      <x:c r="H37" s="146" t="str">
        <x:v>直接参照地：狌狌；昆仑之虚
原文方向：在狌狌东；在昆仑虚南所</x:v>
      </x:c>
      <x:c r="I37" s="146" t="str">
        <x:v>方三百里</x:v>
      </x:c>
      <x:c r="J37" s="146" t="str">
        <x:v>原文面积＋狌狌东向硬约束＋昆仑南侧硬约束＋百里棋盘最小可行中心</x:v>
      </x:c>
      <x:c r="K37" s="146" t="str">
        <x:v>方300里硬面积与双锚点几何锁定；中心(+400,0)保留；范围内其他对象的文本归属未锁</x:v>
      </x:c>
      <x:c r="L37" s="146" t="str">
        <x:v>原文明载方300里，严格占3×3格；边界X=+250至+550、Y=-150至+150里。西界在狌狌(+200,0)以东，北界在昆仑南界Y=+250以南</x:v>
      </x:c>
      <x:c r="M37" s="146" t="str">
        <x:v>大型林区</x:v>
      </x:c>
      <x:c r="N37" s="146"/>
      <x:c r="O37" s="146"/>
      <x:c r="P37" s="146"/>
      <x:c r="Q37" s="146"/>
      <x:c r="R37" s="146"/>
      <x:c r="S37" s="146"/>
      <x:c r="T37" s="146"/>
      <x:c r="U37" s="146"/>
      <x:c r="V37" s="146"/>
      <x:c r="W37" s="146"/>
      <x:c r="X37" s="146"/>
      <x:c r="Y37" s="146"/>
      <x:c r="Z37" s="147" t="e">
        <x:f>HYPERLINK("#'山海经原文总库'!A1309","查看对应原文段落")</x:f>
        <x:v>HYPERLINK is not implemented. linkLocation=#'山海经原文总库'!A1309, friendlyName=查看对应原文段落</x:v>
      </x:c>
      <x:c r="AA37" s="146" t="str">
        <x:v>《海内南经》“泛林方三百里，在狌狌东”与《海内北经》“昆仑虚南所，有氾林方三百里”名称、面积相同。v020判定为同一氾林的双锚点，不再仅称高强度候选。</x:v>
      </x:c>
      <x:c r="AB37" s="146" t="str">
        <x:v>四库本作“汜林”；郭璞注狌狌或作猩猩。</x:v>
      </x:c>
      <x:c r="AC37" s="146"/>
      <x:c r="AD37" s="146" t="str">
        <x:v>氾林／汜林。</x:v>
      </x:c>
      <x:c r="AE37" s="146"/>
      <x:c r="AF37" s="146"/>
      <x:c r="AG37" s="146"/>
      <x:c r="AH37" s="146" t="str">
        <x:v>氾林面积覆盖苍梧、舜葬或湘水的项目坐标，不等于经文明确说这些对象位于林中；面积相交必须另判文本包含关系。</x:v>
      </x:c>
      <x:c r="AI37" s="146" t="str">
        <x:v>v020双锚点审计：氾林半边长150里。狌狌在X=+200，若要求林区整体在其东，则中心X必须大于+350；按100里棋盘取最小中心X=+400，西界为+250。昆仑南界Y=+250，中心Y=0时林区北界+150，整体位于昆仑以南并留100里间隔。因此(+400,0)是同时满足面积、狌狌东与昆仑南的最小可行中心。</x:v>
      </x:c>
      <x:c r="AJ37" s="146" t="str">
        <x:v>https://ctext.org/shan-hai-jing/hai-nei-nan-jing/zh
https://zh.wikisource.org/wiki/山海經_(四庫全書本)/卷10
https://ctext.org/shan-hai-jing/hai-nei-bei-jing/zh</x:v>
      </x:c>
    </x:row>
    <x:row r="38" ht="103.5" customHeight="1">
      <x:c r="A38" s="144" t="s">
        <x:v>354</x:v>
      </x:c>
      <x:c r="B38" s="145" t="s">
        <x:v>355</x:v>
      </x:c>
      <x:c r="C38" s="146" t="s">
        <x:v>282</x:v>
      </x:c>
      <x:c r="D38" s="146" t="s">
        <x:v>6</x:v>
      </x:c>
      <x:c r="E38" s="146" t="s">
        <x:v>356</x:v>
      </x:c>
      <x:c r="F38" s="146" t="s">
        <x:v>130</x:v>
      </x:c>
      <x:c r="G38" s="146">
        <x:v>400</x:v>
      </x:c>
      <x:c r="H38" s="146" t="s">
        <x:v>357</x:v>
      </x:c>
      <x:c r="I38" s="146"/>
      <x:c r="J38" s="146" t="s">
        <x:v>358</x:v>
      </x:c>
      <x:c r="K38" s="146" t="str">
        <x:v>方向锁定；距离推定
v020：点位落入氾林中心格；兕与氾林之间无原文包含关系，分类为同篇点—面积叠层</x:v>
      </x:c>
      <x:c r="L38" s="146" t="s">
        <x:v>285</x:v>
      </x:c>
      <x:c r="M38" s="146"/>
      <x:c r="N38" s="146"/>
      <x:c r="O38" s="146"/>
      <x:c r="P38" s="146"/>
      <x:c r="Q38" s="146"/>
      <x:c r="R38" s="146" t="s">
        <x:v>359</x:v>
      </x:c>
      <x:c r="S38" s="146"/>
      <x:c r="T38" s="146"/>
      <x:c r="U38" s="146"/>
      <x:c r="V38" s="146"/>
      <x:c r="W38" s="146" t="s">
        <x:v>360</x:v>
      </x:c>
      <x:c r="X38" s="146"/>
      <x:c r="Y38" s="146"/>
      <x:c r="Z38" s="147" t="e">
        <x:f>HYPERLINK("#'山海经原文总库'!A1221","查看对应原文段落")</x:f>
        <x:v>HYPERLINK is not implemented. linkLocation=#'山海经原文总库'!A1221, friendlyName=查看对应原文段落</x:v>
      </x:c>
      <x:c r="AA38" s="146"/>
      <x:c r="AB38" s="146"/>
      <x:c r="AC38" s="146"/>
      <x:c r="AD38" s="146"/>
      <x:c r="AE38" s="146"/>
      <x:c r="AF38" s="146"/>
      <x:c r="AG38" s="146"/>
      <x:c r="AH38" s="146" t="str">
        <x:v>兕不宜直接画成现代犀牛；本段另有“犀牛”独立条目。
兕与氾林同格不等于兕是氾林特有动物；本条只锁舜葬东、湘水南。</x:v>
      </x:c>
      <x:c r="AI38" s="146" t="str">
        <x:v>舜葬为(300,0)，向东最小邻接置(400,0)；湘水代表段置其北一格。
v020保留(+400,0)。该点同时满足兕相对舜葬和湘水的方向，氾林底色只表示面积覆盖。</x:v>
      </x:c>
      <x:c r="AJ38" s="146" t="s">
        <x:v>290</x:v>
      </x:c>
    </x:row>
    <x:row r="39" ht="103.5" customHeight="1">
      <x:c r="A39" s="599" t="str">
        <x:v>X=+400里，Y=+20里（+4，+0.2格）</x:v>
      </x:c>
      <x:c r="B39" s="600" t="str">
        <x:v>湘水（舜葬环流—洞庭主干）</x:v>
      </x:c>
      <x:c r="C39" s="601" t="str">
        <x:v>河流／主干与汇入段</x:v>
      </x:c>
      <x:c r="D39" s="601" t="str">
        <x:v>《海内东经》《海内南经》</x:v>
      </x:c>
      <x:c r="E39" s="601" t="str">
        <x:v>舜葬—兕北—洞庭水系</x:v>
      </x:c>
      <x:c r="F39" s="601" t="str">
        <x:v>东北</x:v>
      </x:c>
      <x:c r="G39" s="601" t="n">
        <x:v>400.5</x:v>
      </x:c>
      <x:c r="H39" s="601" t="str">
        <x:v>直接参照地：舜葬；兕；洞庭；湘水源段；湘水西环段
原文关系：《海内东经》称出舜葬东南陬，西环之，入洞庭下；《海内南经》称兕在湘水南</x:v>
      </x:c>
      <x:c r="I39" s="601" t="str">
        <x:v>无里数</x:v>
      </x:c>
      <x:c r="J39" s="601" t="str">
        <x:v>原文方向／拓扑锁定＋格内20里排版偏移（非文本距离）</x:v>
      </x:c>
      <x:c r="K39" s="601" t="str">
        <x:v>源向、环流、兕南北关系与入洞庭关系锁定；河道长度未锁
v020：路径／水域节点落入氾林硬面积，分类为跨篇水系几何叠层；穿林、源于林或属于林均未锁
V022：方向与先后关系保留；20里只用于格内排版，实际长度未锁
V023：湘水与苍梧—舜葬模块继续保持同域复核，未新造距离。</x:v>
      </x:c>
      <x:c r="L39" s="601" t="str">
        <x:v>线型水系；节点链：东南源点→西环代表段→兕北主干→洞庭汇入口。本坐标兼作兕北段与洞庭接口代表点
线型水系；100里主格仅为索引，不代表河宽或河道占满整格</x:v>
      </x:c>
      <x:c r="M39" s="601" t="str">
        <x:v>舜葬周缘环流与洞庭汇入水口</x:v>
      </x:c>
      <x:c r="N39" s="601" t="str">
        <x:v>湘水主干；上接舜葬东南源段与西环段，下入洞庭</x:v>
      </x:c>
      <x:c r="O39" s="601"/>
      <x:c r="P39" s="601"/>
      <x:c r="Q39" s="601"/>
      <x:c r="R39" s="601"/>
      <x:c r="S39" s="601"/>
      <x:c r="T39" s="601"/>
      <x:c r="U39" s="601"/>
      <x:c r="V39" s="601"/>
      <x:c r="W39" s="601"/>
      <x:c r="X39" s="601" t="str">
        <x:v>作为舜葬、兕与洞庭三组空间关系的水系骨架</x:v>
      </x:c>
      <x:c r="Y39" s="601" t="str">
        <x:v>湘水发于舜葬东南，向西环绕舜葬，最终汇入洞庭</x:v>
      </x:c>
      <x:c r="Z39" s="602" t="e">
        <x:f>HYPERLINK("#'山海经原文总库'!A1396","查看对应原文段落")</x:f>
        <x:v>HYPERLINK is not implemented. linkLocation=#'山海经原文总库'!A1396, friendlyName=查看对应原文段落</x:v>
      </x:c>
      <x:c r="AA39" s="601" t="str">
        <x:v>《海内南经》只给出兕在湘水南；《海内东经》补足源点、环流与汇入点。两段可闭合为同一舜葬水系，但河道里数仍缺失。</x:v>
      </x:c>
      <x:c r="AB39" s="601" t="str">
        <x:v>“西环之”说明水道绕行舜葬；“入洞庭下”的“下”更宜先理解为下游／汇入语义，不直接换算成南方坐标。</x:v>
      </x:c>
      <x:c r="AC39" s="601"/>
      <x:c r="AD39" s="601" t="str">
        <x:v>一曰“东南西泽”；其断句与西泽是否独立水域存在歧义。</x:v>
      </x:c>
      <x:c r="AE39" s="601" t="str">
        <x:v>本版只恢复文本内部水系拓扑，不以现实湘江—洞庭湖位置反推棋盘坐标。</x:v>
      </x:c>
      <x:c r="AF39" s="601"/>
      <x:c r="AG39" s="601"/>
      <x:c r="AH39" s="601" t="str">
        <x:v>不得把(400,100)解释为湘水真实源头或整条河流中心；它只是兕北与洞庭接口代表点。
《海内东经》湘水—洞庭关系与《海内南／北经》氾林面积相交，不足以证明湘水穿过氾林。
V022：不得把主棋盘一个100里格理解为该河宽100里；本节点的20里偏移仅为可读排版。</x:v>
      </x:c>
      <x:c r="AI39" s="601" t="str">
        <x:v>湘水源点按舜葬东南最小邻接100里作45°分解，落在(+370.7,-70.7)；随后向西设置环流代表段(+270.7,-70.7)。原有兕北段保持(+400,+100)。洞庭与西泽候选因原文只给汇入／异文关系而无方向，暂与主干接口共位，不虚构额外里数。
空间冲突记录：按现有氾林中心(+400,0)、方300里模型，本湘水节点落入氾林范围。该重叠只记录为跨篇候选冲突，不能据此证明湘水属于氾林；待氾林双锚点与范围复核时统一处理。
v020不移动水系节点；棋盘以跨篇水系叠层标记，并把“是否穿林”列为未决问题。
V022多尺度重构：原坐标“X=+400里，Y=+100里（+4，+1格）”属于旧100里最小邻接布局；现改为X=+400里，Y=+20里（+4，+0.2格）。原文只锁方向／拓扑，20里为格内视觉偏移，不是文本里数。</x:v>
      </x:c>
      <x:c r="AJ39" s="601" t="str">
        <x:v>https://ctext.org/shan-hai-jing/hai-nei-dong-jing/zh
https://ctext.org/shan-hai-jing/hai-nei-nan-jing/zh
https://zh.wikisource.org/wiki/山海經_(四庫全書本)/卷13
https://zh.wikisource.org/wiki/山海經_(四庫全書本)/卷10</x:v>
      </x:c>
    </x:row>
    <x:row r="40" ht="103.5" customHeight="1">
      <x:c r="A40" s="140" t="str">
        <x:v>X=-100里，Y=-200里（-1，-2格）</x:v>
      </x:c>
      <x:c r="B40" s="141" t="s">
        <x:v>361</x:v>
      </x:c>
      <x:c r="C40" s="142" t="s">
        <x:v>362</x:v>
      </x:c>
      <x:c r="D40" s="142" t="s">
        <x:v>363</x:v>
      </x:c>
      <x:c r="E40" s="142" t="s">
        <x:v>364</x:v>
      </x:c>
      <x:c r="F40" s="142" t="s">
        <x:v>134</x:v>
      </x:c>
      <x:c r="G40" s="142" t="n">
        <x:v>223.6</x:v>
      </x:c>
      <x:c r="H40" s="142" t="s">
        <x:v>365</x:v>
      </x:c>
      <x:c r="I40" s="142"/>
      <x:c r="J40" s="142" t="str">
        <x:v>原文夹水关系＋同主格格内排版</x:v>
      </x:c>
      <x:c r="K40" s="142" t="str">
        <x:v>若木位于黑水、青水之间，若水从其出关系锁定；与都广、南海的真实距离未锁
V027：撤销黑、青两水各占一个100里格的旧排版，改为同格20里偏移</x:v>
      </x:c>
      <x:c r="L40" s="142" t="str">
        <x:v>神木点／若水源点；与黑水、青水同一主格，仅以格内偏移表达夹持关系</x:v>
      </x:c>
      <x:c r="M40" s="142" t="s">
        <x:v>366</x:v>
      </x:c>
      <x:c r="N40" s="142" t="s">
        <x:v>367</x:v>
      </x:c>
      <x:c r="O40" s="142" t="s">
        <x:v>368</x:v>
      </x:c>
      <x:c r="P40" s="142"/>
      <x:c r="Q40" s="142"/>
      <x:c r="R40" s="142"/>
      <x:c r="S40" s="142"/>
      <x:c r="T40" s="142" t="s">
        <x:v>369</x:v>
      </x:c>
      <x:c r="U40" s="142"/>
      <x:c r="V40" s="142"/>
      <x:c r="W40" s="142" t="s">
        <x:v>370</x:v>
      </x:c>
      <x:c r="X40" s="142" t="s">
        <x:v>371</x:v>
      </x:c>
      <x:c r="Y40" s="142" t="s">
        <x:v>372</x:v>
      </x:c>
      <x:c r="Z40" s="143" t="e">
        <x:f>HYPERLINK("#'山海经原文总库'!A1855","查看对应原文段落")</x:f>
        <x:v>HYPERLINK is not implemented. linkLocation=#'山海经原文总库'!A1855, friendlyName=查看对应原文段落</x:v>
      </x:c>
      <x:c r="AA40" s="142" t="s">
        <x:v>373</x:v>
      </x:c>
      <x:c r="AB40" s="142" t="s">
        <x:v>374</x:v>
      </x:c>
      <x:c r="AC40" s="142" t="s">
        <x:v>375</x:v>
      </x:c>
      <x:c r="AD40" s="142" t="s">
        <x:v>376</x:v>
      </x:c>
      <x:c r="AE40" s="142" t="s">
        <x:v>377</x:v>
      </x:c>
      <x:c r="AF40" s="142" t="s">
        <x:v>378</x:v>
      </x:c>
      <x:c r="AG40" s="142" t="s">
        <x:v>379</x:v>
      </x:c>
      <x:c r="AH40" s="142" t="str">
        <x:v>不能把《大荒北经》的若木山地坐标直接覆盖本处；不能把若木与建木合并
黑水、若木、青水在棋盘中同格，并不表示三者重合；格内东西次序才是本版锁定内容。</x:v>
      </x:c>
      <x:c r="AI40" s="142" t="str">
        <x:v>其他关系：与建木构成中央树—西方/南方日木对照
背景故事：若木是中央区向南方日月水系扩展的第一根接口：建木负责上下，若木负责光与水外放
视觉灵感备注：赤干青叶赤花的神木立于两水之间；树下泉眼形成若水，远处以南海湿润天光处理
推导思路关联：满足《淮南子》“在建木西”，X=-100；又因位于南海之内，放在都广核心城南界外第一个完整百里行Y=-200。黑水、青水分置其西东。
V027以若木为局部中心(-100,-200)，黑水置其西20里、青水置其东20里；20里仅为排版。</x:v>
      </x:c>
      <x:c r="AJ40" s="142" t="s">
        <x:v>380</x:v>
      </x:c>
    </x:row>
    <x:row r="41" ht="103.5" customHeight="1">
      <x:c r="A41" s="140" t="str">
        <x:v>X=-100里，Y=-220里（-1，-2.2格）</x:v>
      </x:c>
      <x:c r="B41" s="141" t="s">
        <x:v>381</x:v>
      </x:c>
      <x:c r="C41" s="142" t="s">
        <x:v>206</x:v>
      </x:c>
      <x:c r="D41" s="142" t="s">
        <x:v>382</x:v>
      </x:c>
      <x:c r="E41" s="142" t="s">
        <x:v>364</x:v>
      </x:c>
      <x:c r="F41" s="142" t="s">
        <x:v>134</x:v>
      </x:c>
      <x:c r="G41" s="142" t="n">
        <x:v>241.7</x:v>
      </x:c>
      <x:c r="H41" s="142" t="s">
        <x:v>383</x:v>
      </x:c>
      <x:c r="I41" s="142" t="s">
        <x:v>384</x:v>
      </x:c>
      <x:c r="J41" s="142" t="str">
        <x:v>原文源点共位＋格内20里排版偏移（非流向）</x:v>
      </x:c>
      <x:c r="K41" s="142" t="str">
        <x:v>若水从若木发源关系锁定；下游方向、长度与昌意居处范围未锁
V027：源点以若木南侧20里错位显示，不添加流向箭头</x:v>
      </x:c>
      <x:c r="L41" s="142" t="str">
        <x:v>线型水系源点；与若木同一主格，坐标不代表河流向南</x:v>
      </x:c>
      <x:c r="M41" s="142" t="s">
        <x:v>385</x:v>
      </x:c>
      <x:c r="N41" s="142" t="s">
        <x:v>386</x:v>
      </x:c>
      <x:c r="O41" s="142"/>
      <x:c r="P41" s="142"/>
      <x:c r="Q41" s="142"/>
      <x:c r="R41" s="142"/>
      <x:c r="S41" s="142"/>
      <x:c r="T41" s="142" t="s">
        <x:v>387</x:v>
      </x:c>
      <x:c r="U41" s="142" t="s">
        <x:v>388</x:v>
      </x:c>
      <x:c r="V41" s="142"/>
      <x:c r="W41" s="142"/>
      <x:c r="X41" s="142" t="s">
        <x:v>389</x:v>
      </x:c>
      <x:c r="Y41" s="142" t="s">
        <x:v>390</x:v>
      </x:c>
      <x:c r="Z41" s="143" t="e">
        <x:f>HYPERLINK("#'山海经原文总库'!A1840","查看对应原文段落")</x:f>
        <x:v>HYPERLINK is not implemented. linkLocation=#'山海经原文总库'!A1840, friendlyName=查看对应原文段落</x:v>
      </x:c>
      <x:c r="AA41" s="142" t="s">
        <x:v>391</x:v>
      </x:c>
      <x:c r="AB41" s="142" t="s">
        <x:v>392</x:v>
      </x:c>
      <x:c r="AC41" s="142" t="s">
        <x:v>393</x:v>
      </x:c>
      <x:c r="AD41" s="142" t="s">
        <x:v>394</x:v>
      </x:c>
      <x:c r="AE41" s="142" t="s">
        <x:v>395</x:v>
      </x:c>
      <x:c r="AF41" s="142" t="s">
        <x:v>396</x:v>
      </x:c>
      <x:c r="AG41" s="142" t="s">
        <x:v>397</x:v>
      </x:c>
      <x:c r="AH41" s="142" t="str">
        <x:v>不能因现实有若水古名，就把若木、十日、南海结构全部现实化
若水显示在若木下方只是避免标签重叠，不能据此认定经文记载若水南流。</x:v>
      </x:c>
      <x:c r="AI41" s="142" t="str">
        <x:v>其他关系：与若木同源；可能接入川西现实若水传统
背景故事：昌意“降处”若水，意味着高位神族进入水域并生成颛顼谱系
视觉灵感备注：从若木根部涌出明亮水源向南外流；河岸可有昌意早期聚落，但不添加后世宫殿
V027把若水源点改为(-100,-220)，与若木相差20里仅属格内视觉偏移。</x:v>
      </x:c>
      <x:c r="AJ41" s="142" t="s">
        <x:v>398</x:v>
      </x:c>
    </x:row>
    <x:row r="42" ht="103.5" customHeight="1">
      <x:c r="A42" s="140" t="str">
        <x:v>X=-120里，Y=-200里（-1.2，-2格）</x:v>
      </x:c>
      <x:c r="B42" s="141" t="s">
        <x:v>399</x:v>
      </x:c>
      <x:c r="C42" s="142" t="s">
        <x:v>400</x:v>
      </x:c>
      <x:c r="D42" s="142" t="s">
        <x:v>401</x:v>
      </x:c>
      <x:c r="E42" s="142" t="s">
        <x:v>402</x:v>
      </x:c>
      <x:c r="F42" s="142" t="s">
        <x:v>134</x:v>
      </x:c>
      <x:c r="G42" s="142" t="n">
        <x:v>233.2</x:v>
      </x:c>
      <x:c r="H42" s="142" t="s">
        <x:v>403</x:v>
      </x:c>
      <x:c r="I42" s="142"/>
      <x:c r="J42" s="142" t="str">
        <x:v>原文西侧边界／多支候选＋同主格格内排版</x:v>
      </x:c>
      <x:c r="K42" s="142" t="str">
        <x:v>黑水位于若木西侧关系锁定；都广、朝云司彘、不死山与黑水的界面关系分层锁定；与昆仑、幽都黑水是否同一主干未锁</x:v>
      </x:c>
      <x:c r="L42" s="142" t="str">
        <x:v>线型黑水代表段／可能的多支水网；主格与蓝线均不代表实际河宽</x:v>
      </x:c>
      <x:c r="M42" s="142" t="s">
        <x:v>404</x:v>
      </x:c>
      <x:c r="N42" s="142" t="s">
        <x:v>405</x:v>
      </x:c>
      <x:c r="O42" s="142"/>
      <x:c r="P42" s="142"/>
      <x:c r="Q42" s="142"/>
      <x:c r="R42" s="142"/>
      <x:c r="S42" s="142"/>
      <x:c r="T42" s="142"/>
      <x:c r="U42" s="142"/>
      <x:c r="V42" s="142"/>
      <x:c r="W42" s="142"/>
      <x:c r="X42" s="142" t="s">
        <x:v>406</x:v>
      </x:c>
      <x:c r="Y42" s="142" t="s">
        <x:v>407</x:v>
      </x:c>
      <x:c r="Z42" s="143" t="e">
        <x:f>HYPERLINK("#'山海经原文总库'!A1849","查看对应原文段落")</x:f>
        <x:v>HYPERLINK is not implemented. linkLocation=#'山海经原文总库'!A1849, friendlyName=查看对应原文段落</x:v>
      </x:c>
      <x:c r="AA42" s="142" t="s">
        <x:v>408</x:v>
      </x:c>
      <x:c r="AB42" s="142" t="s">
        <x:v>409</x:v>
      </x:c>
      <x:c r="AC42" s="142" t="s">
        <x:v>410</x:v>
      </x:c>
      <x:c r="AD42" s="142" t="s">
        <x:v>411</x:v>
      </x:c>
      <x:c r="AE42" s="142" t="s">
        <x:v>412</x:v>
      </x:c>
      <x:c r="AF42" s="142" t="s">
        <x:v>413</x:v>
      </x:c>
      <x:c r="AG42" s="142" t="s">
        <x:v>414</x:v>
      </x:c>
      <x:c r="AH42" s="142" t="str">
        <x:v>本版坐标只是都广—若木核心段代表点，不等于整条黑水源头或全程
“黑水之间”可能涉及黑水支流或水网，不得把本行画成唯一一条笔直主河。</x:v>
      </x:c>
      <x:c r="AI42" s="142" t="str">
        <x:v>其他关系：西方、北方等篇章也有黑水；是否同一主干需后续闭合
背景故事：黑水像包围中央乐土的深色系统边界；越过水线，文本进入不死山、流沙、异国与天象区
视觉灵感备注：宽阔黑色水带沿核心区西南外缘弯曲，可分多支包绕都广；避免画成笔直现代河
推导思路关联：若木需位于黑、青两水之间。本版按文本列名顺序，黑水置若木西一格(-200,-200)，只锁核心段相对关系。
昆仑西北隅黑水源段尚不能证明与本核心段属于同一主干。
本行只保留都广—若木边界段，不向任何源头自动连线。
V027将黑水代表段移至若木西20里(-120,-200)，同时作为流沙东侧国家与不死山的东界接口。</x:v>
      </x:c>
      <x:c r="AJ42" s="142" t="s">
        <x:v>415</x:v>
      </x:c>
    </x:row>
    <x:row r="43" ht="103.5" customHeight="1">
      <x:c r="A43" s="140" t="str">
        <x:v>X=-80里，Y=-200里（-0.8，-2格）</x:v>
      </x:c>
      <x:c r="B43" s="141" t="str">
        <x:v>青水（都广—若木核心段）</x:v>
      </x:c>
      <x:c r="C43" s="142" t="str">
        <x:v>河流／边界水系</x:v>
      </x:c>
      <x:c r="D43" s="142" t="str">
        <x:v>《海内经》《海内西经》</x:v>
      </x:c>
      <x:c r="E43" s="142" t="str">
        <x:v>都广00核心区南部边界</x:v>
      </x:c>
      <x:c r="F43" s="142" t="str">
        <x:v>南</x:v>
      </x:c>
      <x:c r="G43" s="142" t="n">
        <x:v>215.4</x:v>
      </x:c>
      <x:c r="H43" s="142" t="str">
        <x:v>直接参照地：若木；黑水
原文方向：若木在黑水、青水之间</x:v>
      </x:c>
      <x:c r="I43" s="142"/>
      <x:c r="J43" s="142" t="str">
        <x:v>原文东侧边界＋同主格格内排版</x:v>
      </x:c>
      <x:c r="K43" s="142" t="str">
        <x:v>青水位于若木东侧关系锁定；与华山—肇山青水为同卷同名连续候选，尚未合并；与昆仑青水源段未锁</x:v>
      </x:c>
      <x:c r="L43" s="142" t="str">
        <x:v>线型青水代表段；与黑水共同夹持若木，主格不代表河宽</x:v>
      </x:c>
      <x:c r="M43" s="142" t="str">
        <x:v>若木另一侧的水系边界</x:v>
      </x:c>
      <x:c r="N43" s="142" t="str">
        <x:v>与黑水夹持若木；其他篇有青水自西方神山西南隅流出</x:v>
      </x:c>
      <x:c r="O43" s="142"/>
      <x:c r="P43" s="142"/>
      <x:c r="Q43" s="142"/>
      <x:c r="R43" s="142"/>
      <x:c r="S43" s="142"/>
      <x:c r="T43" s="142"/>
      <x:c r="U43" s="142"/>
      <x:c r="V43" s="142"/>
      <x:c r="W43" s="142"/>
      <x:c r="X43" s="142" t="str">
        <x:v>能力：作为区域分界与可能的跨篇水系接口</x:v>
      </x:c>
      <x:c r="Y43" s="142" t="str">
        <x:v>事件：与黑水共同定义若木位置</x:v>
      </x:c>
      <x:c r="Z43" s="143" t="e">
        <x:f>HYPERLINK("#'山海经原文总库'!A1854","查看对应原文段落")</x:f>
        <x:v>HYPERLINK is not implemented. linkLocation=#'山海经原文总库'!A1854, friendlyName=查看对应原文段落</x:v>
      </x:c>
      <x:c r="AA43" s="142" t="str">
        <x:v>《水经注》引若木句时有缺“青水”二字的版本现象。
v011新增“青水（昆仑源段）”；与若木边界段同名，暂不合并。
v016新增“青水（华山—肇山东界段）”；因同属《海内经》而具有连续河段候选，但原文无流向与中间节点，仍分段记录。</x:v>
      </x:c>
      <x:c r="AB43" s="142" t="str">
        <x:v>袁珂特别指出《水经注》引文缺青水二字</x:v>
      </x:c>
      <x:c r="AC43" s="142" t="str">
        <x:v>《海内西经》弱水、青水同出西方神山西南隅，是未来跨区域推导线索</x:v>
      </x:c>
      <x:c r="AD43" s="142" t="str">
        <x:v>青水二字可能后增，也可能是引文省略，不能定论</x:v>
      </x:c>
      <x:c r="AE43" s="142" t="str">
        <x:v>当前只作为若木另一侧的文本边界，不强制并入其他篇的青水</x:v>
      </x:c>
      <x:c r="AF43" s="142" t="str">
        <x:v>现实定位意见分散，无可靠共识</x:v>
      </x:c>
      <x:c r="AG43" s="142" t="str">
        <x:v>大众资料很少单独讨论本处青水</x:v>
      </x:c>
      <x:c r="AH43" s="142" t="str">
        <x:v>不能因为另一篇给出青水源头，就立即拉一条跨越全图的直线河道</x:v>
      </x:c>
      <x:c r="AI43" s="142" t="str">
        <x:v>若木在(-100,-200)，黑水按文本顺序置西侧，青水置若木东一格(0,-200)。v016将华山—肇山句中的青水另设于(+100,-200)作为东界候选段；两段只按同卷同名建立邻接候选，不与昆仑青水源段合并。
V027将青水代表段移至若木东20里(-80,-200)，结束旧版三格分置造成的假百里距离。</x:v>
      </x:c>
      <x:c r="AJ43" s="142" t="str">
        <x:v>https://ctext.org/shan-hai-jing/hai-nei-jing/zh
https://ctext.org/wiki.pl?chapter=714485&amp;if=gb
https://ctext.org/shan-hai-jing/hai-nei-xi-jing/zh</x:v>
      </x:c>
    </x:row>
    <x:row r="44" ht="111" customHeight="1">
      <x:c r="A44" s="148" t="str">
        <x:v>X=-1050里，Y=+650里（-10.5，+6.5格）</x:v>
      </x:c>
      <x:c r="B44" s="149" t="str">
        <x:v>昆仑复合体主体／海内昆仑之虚</x:v>
      </x:c>
      <x:c r="C44" s="150" t="str">
        <x:v>山岳核心／帝都区域</x:v>
      </x:c>
      <x:c r="D44" s="150" t="str">
        <x:v>《海内西经》《西山经》；《大荒西经》外围层</x:v>
      </x:c>
      <x:c r="E44" s="150" t="str">
        <x:v>昆仑水源接口模块</x:v>
      </x:c>
      <x:c r="F44" s="150" t="str">
        <x:v>西北</x:v>
      </x:c>
      <x:c r="G44" s="150" t="n">
        <x:v>1234.9</x:v>
      </x:c>
      <x:c r="H44" s="150" t="str">
        <x:v>直接参照地：海内西北方位；赤水、河水、洋水、黑水、弱水、青水；昆仑南渊
原文方向：海内昆仑之虚在西北；六水分别从四隅发源
北侧接口：西王母、三青鸟；东北接口：四帝台；南侧接口：氾林、从极之渊。</x:v>
      </x:c>
      <x:c r="I44" s="150" t="str">
        <x:v>方800里；高10000仞</x:v>
      </x:c>
      <x:c r="J44" s="150" t="str">
        <x:v>原文方位＋原文面积；全局模块最小避让候选</x:v>
      </x:c>
      <x:c r="K44" s="150" t="str">
        <x:v>昆仑主体同地锁定；海内内部层、西山管理分流层、大荒外围层分档</x:v>
      </x:c>
      <x:c r="L44" s="150" t="str">
        <x:v>原文明载方800里；严格占8×8格。边界X=-1450至-650、Y=+250至+1050里；实际格心为X=-1400～-700、Y=+300～+1000里，共64格</x:v>
      </x:c>
      <x:c r="M44" s="150" t="str">
        <x:v>八隅岩壁构成的高大山岳核心；南缘有深渊</x:v>
      </x:c>
      <x:c r="N44" s="150" t="str">
        <x:v>赤水出东南隅；河水出东北隅；洋水、黑水出西北隅；弱水、青水出西南隅</x:v>
      </x:c>
      <x:c r="O44" s="150" t="str">
        <x:v>木禾，长五寻、大五围
v015：木禾、珠树、文玉树、玗琪树、不死树、柏树、圣木曼兑／挺木牙交、服常树、琅玕树、鸟秩树</x:v>
      </x:c>
      <x:c r="P44" s="150" t="str">
        <x:v>开明兽守九门
v015：凤皇、鸾鸟、树鸟、诵鸟、鶽、蛟、蝮、蛇、蜼、豹</x:v>
      </x:c>
      <x:c r="Q44" s="150"/>
      <x:c r="R44" s="150"/>
      <x:c r="S44" s="150" t="str">
        <x:v>v015：开明兽、视肉、离朱</x:v>
      </x:c>
      <x:c r="T44" s="150" t="str">
        <x:v>v015：巫彭、巫抵、巫阳、巫履、巫凡、巫相；三头人</x:v>
      </x:c>
      <x:c r="U44" s="150" t="str">
        <x:v>帝之下都；百神所在</x:v>
      </x:c>
      <x:c r="V44" s="150"/>
      <x:c r="W44" s="150" t="str">
        <x:v>方八百里，高万仞；九井以玉为槛；九门由开明兽守卫</x:v>
      </x:c>
      <x:c r="X44" s="150" t="str">
        <x:v>作为帝之下都与百神会聚之地；构成四隅六水的源头核心
v015：九门由开明兽守；六巫持不死药求窫窳更生</x:v>
      </x:c>
      <x:c r="Y44" s="150" t="str">
        <x:v>非仁羿莫能登其冈岩
v015：开明东六巫夹窫窳之尸复生仪式</x:v>
      </x:c>
      <x:c r="Z44" s="151" t="e">
        <x:f>HYPERLINK("#'山海经原文总库'!A1255","查看对应原文段落")</x:f>
        <x:v>HYPERLINK is not implemented. linkLocation=#'山海经原文总库'!A1255, friendlyName=查看对应原文段落</x:v>
      </x:c>
      <x:c r="AA44" s="150" t="str">
        <x:v>v018判决：海内西经昆仑之虚与西山经昆仑之丘，凭“帝之下都＋河赤洋黑四水”正式合并主体。大荒西经昆仑并入同一复合体外围层，但弱水环渊、炎火、西王母穴居保持独立。</x:v>
      </x:c>
      <x:c r="AB44" s="150" t="str">
        <x:v>郭璞以“海内”区别海外另有昆仑；释“帝之下都”为天帝在下方的都邑。郝懿行认为海内昆仑即《西山经》昆仑之丘。</x:v>
      </x:c>
      <x:c r="AC44" s="150" t="str">
        <x:v>《淮南子·墬形训》记昆仑增城、九井及河、赤、弱、洋诸水；《西山经》昆仑之丘亦为帝之下都，并记四水出焉。</x:v>
      </x:c>
      <x:c r="AD44" s="150" t="str">
        <x:v>昆仑之虚／昆仑墟／昆仑之丘；“九门”亦有五门异文</x:v>
      </x:c>
      <x:c r="AE44" s="150" t="str">
        <x:v>本表先处理神话文本内部关系，不以现代昆仑山脉经纬度覆盖原典坐标。</x:v>
      </x:c>
      <x:c r="AF44" s="150" t="str">
        <x:v>汉以后曾附会西域、于阗及现代昆仑山系，诸说互有冲突。</x:v>
      </x:c>
      <x:c r="AG44" s="150"/>
      <x:c r="AH44" s="150" t="str">
        <x:v>主体合并不等于陆吾=开明兽，也不等于三篇水流方向只有一套。</x:v>
      </x:c>
      <x:c r="AI44" s="150" t="str">
        <x:v>v019面积重构：昆仑主体只占X=-14～-7、Y=+3～+10的64格。四隅六水坐标是山体边界顶点，不属于额外第九列或第九行；内部对象只作图层标记，不扩大山体面积。</x:v>
      </x:c>
      <x:c r="AJ44" s="150" t="str">
        <x:v>https://ctext.org/shan-hai-jing/hai-nei-xi-jing/zh
https://zh.wikisource.org/zh-hant/山海經/海內西經
https://ctext.org/shan-hai-jing/xi-shan-jing/zhs
https://ctext.org/shan-hai-jing/da-huang-xi-jing/zhs
https://ctext.org/huainanzi/di-xing-xun/zh
https://ctext.org/wiki.pl?chapter=670084&amp;if=gb&amp;remap=gb</x:v>
      </x:c>
    </x:row>
    <x:row r="45" ht="111" customHeight="1">
      <x:c r="A45" s="148" t="str">
        <x:v>X=-650里，Y=+250里（-6.5，+2.5格）</x:v>
      </x:c>
      <x:c r="B45" s="149" t="str">
        <x:v>赤水（昆仑源段）</x:v>
      </x:c>
      <x:c r="C45" s="150" t="str">
        <x:v>河流源点／源段</x:v>
      </x:c>
      <x:c r="D45" s="150" t="str">
        <x:v>《海内西经》《西山经》</x:v>
      </x:c>
      <x:c r="E45" s="150" t="str">
        <x:v>海内昆仑之虚东南隅</x:v>
      </x:c>
      <x:c r="F45" s="150" t="str">
        <x:v>西北</x:v>
      </x:c>
      <x:c r="G45" s="150" t="n">
        <x:v>696.4</x:v>
      </x:c>
      <x:c r="H45" s="150" t="str">
        <x:v>直接参照地：海内昆仑之虚
原文方向：出昆仑东南隅；先向东北，后西南注南海厌火东</x:v>
      </x:c>
      <x:c r="I45" s="150" t="str">
        <x:v>源点位于方800里区域东南隅</x:v>
      </x:c>
      <x:c r="J45" s="150" t="str">
        <x:v>模块四角硬关系；全局位置随昆仑模块</x:v>
      </x:c>
      <x:c r="K45" s="150" t="str">
        <x:v>源角与东北初始流向锁定；氾天终止为跨篇高强度候选，中段未锁</x:v>
      </x:c>
      <x:c r="L45" s="150" t="str">
        <x:v>线型水系源点；位于昆仑8×8主体的东南边界顶点，是几何顶点而非独立百里格</x:v>
      </x:c>
      <x:c r="M45" s="150" t="str">
        <x:v>昆仑东南角源区</x:v>
      </x:c>
      <x:c r="N45" s="150" t="str">
        <x:v>自东南隅发源，先东北行，后西南注南海厌火东</x:v>
      </x:c>
      <x:c r="O45" s="150"/>
      <x:c r="P45" s="150"/>
      <x:c r="Q45" s="150"/>
      <x:c r="R45" s="150"/>
      <x:c r="S45" s="150"/>
      <x:c r="T45" s="150"/>
      <x:c r="U45" s="150"/>
      <x:c r="V45" s="150"/>
      <x:c r="W45" s="150"/>
      <x:c r="X45" s="150" t="str">
        <x:v>作为昆仑东南隅神泉之一</x:v>
      </x:c>
      <x:c r="Y45" s="150" t="str">
        <x:v>标定昆仑与南海、厌火区域的水路接口</x:v>
      </x:c>
      <x:c r="Z45" s="151" t="e">
        <x:f>HYPERLINK("#'山海经原文总库'!A1263","查看对应原文段落")</x:f>
        <x:v>HYPERLINK is not implemented. linkLocation=#'山海经原文总库'!A1263, friendlyName=查看对应原文段落</x:v>
      </x:c>
      <x:c r="AA45" s="150" t="str">
        <x:v>v018新增西山经赤水东南注氾天之水的分流层；海内西经赤水东北初始流向与大荒南经氾天山终止候选仍保留。判定为同源系统的不同下游文本层，暂不强制一条唯一河道。</x:v>
      </x:c>
      <x:c r="AB45" s="150" t="str">
        <x:v>袁珂据宋本及多种传本补“西南流注南海厌火东”九字，认为今本部分版本有脱文。</x:v>
      </x:c>
      <x:c r="AC45" s="150" t="str">
        <x:v>《淮南子》记赤水出昆仑东南陬，西南注南海丹泽之东。</x:v>
      </x:c>
      <x:c r="AD45" s="150" t="str">
        <x:v>厌火／讙朱等相关区域名称需跨篇复核；部分传本缺后半段流向句。</x:v>
      </x:c>
      <x:c r="AE45" s="150"/>
      <x:c r="AF45" s="150"/>
      <x:c r="AG45" s="150"/>
      <x:c r="AH45" s="150" t="str">
        <x:v>不得因同名就与所有赤水支流合并。</x:v>
      </x:c>
      <x:c r="AI45" s="150" t="str">
        <x:v>昆仑东南源点保持(-650,+250)；v017新增东北100里节点(-579.3,+320.7)。《大荒南经》氾天山赤水穷焉，苍梧之野在赤水东，建立终止接口(+200,-100)，但源—终之间不画直线，中段仍待证。</x:v>
      </x:c>
      <x:c r="AJ45" s="150" t="str">
        <x:v>https://ctext.org/shan-hai-jing/hai-nei-xi-jing/zh
https://zh.wikisource.org/zh-hant/山海經/海內西經
https://ctext.org/shan-hai-jing/xi-shan-jing/zhs
https://ctext.org/huainanzi/di-xing-xun/zh
https://ctext.org/wiki.pl?chapter=670084&amp;if=gb&amp;remap=gb</x:v>
      </x:c>
    </x:row>
    <x:row r="46" ht="111" customHeight="1">
      <x:c r="A46" s="148" t="str">
        <x:v>X=-650里，Y=+1050里（-6.5，+10.5格）</x:v>
      </x:c>
      <x:c r="B46" s="149" t="str">
        <x:v>河水（昆仑源段）</x:v>
      </x:c>
      <x:c r="C46" s="150" t="str">
        <x:v>河流源点／源段</x:v>
      </x:c>
      <x:c r="D46" s="150" t="str">
        <x:v>《海内西经》《西山经》</x:v>
      </x:c>
      <x:c r="E46" s="150" t="str">
        <x:v>海内昆仑之虚东北隅</x:v>
      </x:c>
      <x:c r="F46" s="150" t="str">
        <x:v>西北</x:v>
      </x:c>
      <x:c r="G46" s="150" t="n">
        <x:v>1234.9</x:v>
      </x:c>
      <x:c r="H46" s="150" t="str">
        <x:v>直接参照地：海内昆仑之虚；渤海；积石山
原文方向：出东北隅，向北；再西南入渤海，出海外后西北入积石山</x:v>
      </x:c>
      <x:c r="I46" s="150" t="str">
        <x:v>源点位于方800里区域东北隅</x:v>
      </x:c>
      <x:c r="J46" s="150" t="str">
        <x:v>模块四角硬关系；全局位置随昆仑模块</x:v>
      </x:c>
      <x:c r="K46" s="150" t="str">
        <x:v>源角、北行—西南入渤海—海外西北—入积石的次序锁定；各段长度为项目推定</x:v>
      </x:c>
      <x:c r="L46" s="150" t="str">
        <x:v>线型水系源点；位于昆仑8×8主体的东北边界顶点，是几何顶点而非独立百里格</x:v>
      </x:c>
      <x:c r="M46" s="150" t="str">
        <x:v>昆仑东北角源区</x:v>
      </x:c>
      <x:c r="N46" s="150" t="str">
        <x:v>北行；西南入渤海；出海外后西而北，入禹所导积石山</x:v>
      </x:c>
      <x:c r="O46" s="150"/>
      <x:c r="P46" s="150"/>
      <x:c r="Q46" s="150"/>
      <x:c r="R46" s="150"/>
      <x:c r="S46" s="150"/>
      <x:c r="T46" s="150"/>
      <x:c r="U46" s="150"/>
      <x:c r="V46" s="150"/>
      <x:c r="W46" s="150"/>
      <x:c r="X46" s="150" t="str">
        <x:v>昆仑东北隅神泉；构成河水神话源头</x:v>
      </x:c>
      <x:c r="Y46" s="150" t="str">
        <x:v>与禹导积石的治水传统接合</x:v>
      </x:c>
      <x:c r="Z46" s="151" t="e">
        <x:f>HYPERLINK("#'山海经原文总库'!A1264","查看对应原文段落")</x:f>
        <x:v>HYPERLINK is not implemented. linkLocation=#'山海经原文总库'!A1264, friendlyName=查看对应原文段落</x:v>
      </x:c>
      <x:c r="AA46" s="150" t="str">
        <x:v>v018新增西山经河水南流东注无达层。与海内西经北行—渤海—积石路线方向冲突，按昆仑同源、下游异文／分流处理。</x:v>
      </x:c>
      <x:c r="AB46" s="150" t="str">
        <x:v>郭璞以“禹所导”解释禹曾疏导积石段；袁珂认为此积石即《西山经》积石之山。</x:v>
      </x:c>
      <x:c r="AC46" s="150" t="str">
        <x:v>《淮南子》记河水出昆仑东北陬，贯渤海，入禹所导积石山。</x:v>
      </x:c>
      <x:c r="AD46" s="150" t="str">
        <x:v>河水流向在《海内西经》《西山经》《淮南子》中叙述层级不同。</x:v>
      </x:c>
      <x:c r="AE46" s="150"/>
      <x:c r="AF46" s="150"/>
      <x:c r="AG46" s="150"/>
      <x:c r="AH46" s="150" t="str">
        <x:v>不得把源段坐标直接当作整条黄河的现实源头。</x:v>
      </x:c>
      <x:c r="AI46" s="150" t="str">
        <x:v>v017按原文次序建立六节点路径：(-650,+1050)→(-650,+1150)→(-720.7,+1079.3)→(-820.7,+1079.3)→(-820.7,+1179.3)→禹所导／所积石山(-820.7,+1279.3)。节点步长仅为无里数关系的项目最小邻接。</x:v>
      </x:c>
      <x:c r="AJ46" s="150" t="str">
        <x:v>https://ctext.org/shan-hai-jing/hai-nei-xi-jing/zh
https://zh.wikisource.org/zh-hant/山海經/海內西經
https://ctext.org/shan-hai-jing/xi-shan-jing/zhs
https://ctext.org/huainanzi/di-xing-xun/zh
https://ctext.org/wiki.pl?chapter=670084&amp;if=gb&amp;remap=gb</x:v>
      </x:c>
    </x:row>
    <x:row r="47" ht="111" customHeight="1">
      <x:c r="A47" s="148" t="str">
        <x:v>X=-1450里，Y=+1050里（-14.5，+10.5格）</x:v>
      </x:c>
      <x:c r="B47" s="149" t="str">
        <x:v>洋水（昆仑源段）</x:v>
      </x:c>
      <x:c r="C47" s="150" t="str">
        <x:v>河流源点／源段</x:v>
      </x:c>
      <x:c r="D47" s="150" t="str">
        <x:v>《海内西经》《西山经》</x:v>
      </x:c>
      <x:c r="E47" s="150" t="str">
        <x:v>海内昆仑之虚西北隅</x:v>
      </x:c>
      <x:c r="F47" s="150" t="str">
        <x:v>西北</x:v>
      </x:c>
      <x:c r="G47" s="150" t="n">
        <x:v>1790.3</x:v>
      </x:c>
      <x:c r="H47" s="150" t="str">
        <x:v>直接参照地：海内昆仑之虚；黑水；羽民
原文方向：与黑水同出西北隅，向东、东北，后南入海，位于羽民以南</x:v>
      </x:c>
      <x:c r="I47" s="150" t="str">
        <x:v>源点位于方800里区域西北隅</x:v>
      </x:c>
      <x:c r="J47" s="150" t="str">
        <x:v>模块四角硬关系；全局位置随昆仑模块</x:v>
      </x:c>
      <x:c r="K47" s="150" t="str">
        <x:v>源角、东—东—东北—南入海次序锁定；与羽民南北关系锁定</x:v>
      </x:c>
      <x:c r="L47" s="150" t="str">
        <x:v>线型水系源点；位于昆仑8×8主体的西北边界顶点，是几何顶点而非独立百里格</x:v>
      </x:c>
      <x:c r="M47" s="150" t="str">
        <x:v>昆仑西北角源区</x:v>
      </x:c>
      <x:c r="N47" s="150" t="str">
        <x:v>向东、东北，后南入海，羽民南</x:v>
      </x:c>
      <x:c r="O47" s="150"/>
      <x:c r="P47" s="150"/>
      <x:c r="Q47" s="150"/>
      <x:c r="R47" s="150"/>
      <x:c r="S47" s="150"/>
      <x:c r="T47" s="150"/>
      <x:c r="U47" s="150"/>
      <x:c r="V47" s="150"/>
      <x:c r="W47" s="150"/>
      <x:c r="X47" s="150" t="str">
        <x:v>昆仑西北隅神泉之一</x:v>
      </x:c>
      <x:c r="Y47" s="150"/>
      <x:c r="Z47" s="151" t="e">
        <x:f>HYPERLINK("#'山海经原文总库'!A1265","查看对应原文段落")</x:f>
        <x:v>HYPERLINK is not implemented. linkLocation=#'山海经原文总库'!A1265, friendlyName=查看对应原文段落</x:v>
      </x:c>
      <x:c r="AA47" s="150" t="str">
        <x:v>v018新增西山经洋水西南注丑涂之水层；与海内西经东—东北—羽民南入海层并列，不互相覆盖。</x:v>
      </x:c>
      <x:c r="AB47" s="150" t="str">
        <x:v>郭璞读“洋”为翔；郝懿行、袁珂联系洋水、漾水异名传统。</x:v>
      </x:c>
      <x:c r="AC47" s="150" t="str">
        <x:v>《淮南子》记洋水出昆仑西北陬，入南海羽民之南。</x:v>
      </x:c>
      <x:c r="AD47" s="150" t="str">
        <x:v>洋水／漾水／养水</x:v>
      </x:c>
      <x:c r="AE47" s="150"/>
      <x:c r="AF47" s="150"/>
      <x:c r="AG47" s="150"/>
      <x:c r="AH47" s="150" t="str">
        <x:v>不能在未完成水系闭合前直接等同汉水或现代漾水。</x:v>
      </x:c>
      <x:c r="AI47" s="150" t="str">
        <x:v>v017建立东行两段、东北转折及羽民南入海口；洋水与黑水共用路径节点仅表达同一方向序列。</x:v>
      </x:c>
      <x:c r="AJ47" s="150" t="str">
        <x:v>https://ctext.org/shan-hai-jing/hai-nei-xi-jing/zh
https://zh.wikisource.org/zh-hant/山海經/海內西經
https://ctext.org/shan-hai-jing/xi-shan-jing/zhs
https://ctext.org/huainanzi/di-xing-xun/zh
https://ctext.org/wiki.pl?chapter=670084&amp;if=gb&amp;remap=gb</x:v>
      </x:c>
    </x:row>
    <x:row r="48" ht="111" customHeight="1">
      <x:c r="A48" s="148" t="str">
        <x:v>X=-1450里，Y=+1050里（-14.5，+10.5格）</x:v>
      </x:c>
      <x:c r="B48" s="149" t="str">
        <x:v>黑水（昆仑源段）</x:v>
      </x:c>
      <x:c r="C48" s="150" t="str">
        <x:v>河流源点／源段</x:v>
      </x:c>
      <x:c r="D48" s="150" t="str">
        <x:v>《海内西经》《西山经》</x:v>
      </x:c>
      <x:c r="E48" s="150" t="str">
        <x:v>海内昆仑之虚西北隅</x:v>
      </x:c>
      <x:c r="F48" s="150" t="str">
        <x:v>西北</x:v>
      </x:c>
      <x:c r="G48" s="150" t="n">
        <x:v>1790.3</x:v>
      </x:c>
      <x:c r="H48" s="150" t="str">
        <x:v>直接参照地：海内昆仑之虚；洋水；羽民
原文方向：与洋水同出西北隅，向东、东北，后南入海，位于羽民以南</x:v>
      </x:c>
      <x:c r="I48" s="150" t="str">
        <x:v>源点位于方800里区域西北隅</x:v>
      </x:c>
      <x:c r="J48" s="150" t="str">
        <x:v>模块四角硬关系；全局位置随昆仑模块</x:v>
      </x:c>
      <x:c r="K48" s="150" t="str">
        <x:v>昆仑源角与东—东—东北—南入海次序锁定；与都广、幽都黑水仍未闭合</x:v>
      </x:c>
      <x:c r="L48" s="150" t="str">
        <x:v>线型水系源点；位于昆仑8×8主体的西北边界顶点，是几何顶点而非独立百里格</x:v>
      </x:c>
      <x:c r="M48" s="150" t="str">
        <x:v>昆仑西北角源区</x:v>
      </x:c>
      <x:c r="N48" s="150" t="str">
        <x:v>向东、东北，后南入海，羽民南</x:v>
      </x:c>
      <x:c r="O48" s="150"/>
      <x:c r="P48" s="150"/>
      <x:c r="Q48" s="150"/>
      <x:c r="R48" s="150"/>
      <x:c r="S48" s="150"/>
      <x:c r="T48" s="150"/>
      <x:c r="U48" s="150"/>
      <x:c r="V48" s="150"/>
      <x:c r="W48" s="150"/>
      <x:c r="X48" s="150" t="str">
        <x:v>昆仑西北隅神泉之一</x:v>
      </x:c>
      <x:c r="Y48" s="150"/>
      <x:c r="Z48" s="151" t="e">
        <x:f>HYPERLINK("#'山海经原文总库'!A1266","查看对应原文段落")</x:f>
        <x:v>HYPERLINK is not implemented. linkLocation=#'山海经原文总库'!A1266, friendlyName=查看对应原文段落</x:v>
      </x:c>
      <x:c r="AA48" s="150" t="str">
        <x:v>v018新增西山经黑水西流大杅层；与海内西经洋黑水共线路径、都广与幽都黑水继续分档。</x:v>
      </x:c>
      <x:c r="AB48" s="150" t="str">
        <x:v>袁珂联系《尚书·禹贡》黑水入南海传统，但《山海经》各段是否同一水系仍需分段验证。</x:v>
      </x:c>
      <x:c r="AC48" s="150" t="str">
        <x:v>《西山经》昆仑黑水西流于大杅；《大荒西经》昆仑位于赤水之后、黑水之前。</x:v>
      </x:c>
      <x:c r="AD48" s="150" t="str">
        <x:v>黑水在全书多次出现，必须按篇章和源段分档。</x:v>
      </x:c>
      <x:c r="AE48" s="150"/>
      <x:c r="AF48" s="150"/>
      <x:c r="AG48" s="150"/>
      <x:c r="AH48" s="150" t="str">
        <x:v>不得把昆仑黑水、幽都黑水和都广边界黑水直接画成一条无分支直线。</x:v>
      </x:c>
      <x:c r="AI48" s="150" t="str">
        <x:v>v017建立至羽民南入海口的局部路径，不连接都广边界黑水、幽都源段或不姜山终止段。</x:v>
      </x:c>
      <x:c r="AJ48" s="150" t="str">
        <x:v>https://ctext.org/shan-hai-jing/hai-nei-xi-jing/zh
https://zh.wikisource.org/zh-hant/山海經/海內西經
https://ctext.org/shan-hai-jing/xi-shan-jing/zhs
https://ctext.org/shan-hai-jing/da-huang-xi-jing/zhs
https://ctext.org/huainanzi/di-xing-xun/zh
https://ctext.org/wiki.pl?chapter=670084&amp;if=gb&amp;remap=gb</x:v>
      </x:c>
    </x:row>
    <x:row r="49" ht="111" customHeight="1">
      <x:c r="A49" s="148" t="str">
        <x:v>X=-1450里，Y=+250里（-14.5，+2.5格）</x:v>
      </x:c>
      <x:c r="B49" s="149" t="str">
        <x:v>弱水（昆仑源段）</x:v>
      </x:c>
      <x:c r="C49" s="150" t="str">
        <x:v>河流源点／源段</x:v>
      </x:c>
      <x:c r="D49" s="150" t="str">
        <x:v>《海内西经》；《大荒西经》</x:v>
      </x:c>
      <x:c r="E49" s="150" t="str">
        <x:v>海内昆仑之虚西南隅</x:v>
      </x:c>
      <x:c r="F49" s="150" t="str">
        <x:v>西北</x:v>
      </x:c>
      <x:c r="G49" s="150" t="n">
        <x:v>1471.4</x:v>
      </x:c>
      <x:c r="H49" s="150" t="str">
        <x:v>直接参照地：海内昆仑之虚；青水；毕方鸟
原文方向：与青水同出西南隅；东行、北行、再西南，经过毕方鸟东</x:v>
      </x:c>
      <x:c r="I49" s="150" t="str">
        <x:v>源点位于方800里区域西南隅</x:v>
      </x:c>
      <x:c r="J49" s="150" t="str">
        <x:v>模块四角硬关系；路径形状为原文方向示意</x:v>
      </x:c>
      <x:c r="K49" s="150" t="str">
        <x:v>源角、东—北—西南及经过毕方东的局部路径锁定；与都广核心段未闭合</x:v>
      </x:c>
      <x:c r="L49" s="150" t="str">
        <x:v>线型水系源点；位于昆仑8×8主体的西南边界顶点，是几何顶点而非独立百里格</x:v>
      </x:c>
      <x:c r="M49" s="150" t="str">
        <x:v>昆仑西南角源区</x:v>
      </x:c>
      <x:c r="N49" s="150" t="str">
        <x:v>与青水同源角；路线经过毕方鸟东</x:v>
      </x:c>
      <x:c r="O49" s="150"/>
      <x:c r="P49" s="150"/>
      <x:c r="Q49" s="150"/>
      <x:c r="R49" s="150"/>
      <x:c r="S49" s="150"/>
      <x:c r="T49" s="150"/>
      <x:c r="U49" s="150"/>
      <x:c r="V49" s="150"/>
      <x:c r="W49" s="150"/>
      <x:c r="X49" s="150" t="str">
        <x:v>昆仑西南隅神泉之一</x:v>
      </x:c>
      <x:c r="Y49" s="150"/>
      <x:c r="Z49" s="151" t="e">
        <x:f>HYPERLINK("#'山海经原文总库'!A1269","查看对应原文段落")</x:f>
        <x:v>HYPERLINK is not implemented. linkLocation=#'山海经原文总库'!A1269, friendlyName=查看对应原文段落</x:v>
      </x:c>
      <x:c r="AA49" s="150" t="str">
        <x:v>现有“弱水（都广核心段）”只锁建木—窫窳关系；《大荒西经》昆仑下又有弱水之渊环绕。源段、核心段、环山渊暂分开。
v012新增大荒昆仑“弱水之渊”；其为环山水体，不等同本河流源段。</x:v>
      </x:c>
      <x:c r="AB49" s="150" t="str">
        <x:v>郭璞引《淮南子》弱水出穷石，解释为另一派别之源；袁珂明确指出弱水此前已见建木—窫窳段。</x:v>
      </x:c>
      <x:c r="AC49" s="150" t="str">
        <x:v>《淮南子》记弱水出穷石、入流沙并南至南海；《大荒西经》记昆仑下有弱水之渊环之。</x:v>
      </x:c>
      <x:c r="AD49" s="150" t="str">
        <x:v>弱水可能包含主干、支源与环山渊等不同叙述层次。</x:v>
      </x:c>
      <x:c r="AE49" s="150"/>
      <x:c r="AF49" s="150"/>
      <x:c r="AG49" s="150"/>
      <x:c r="AH49" s="150" t="str">
        <x:v>不能因为同名就立即把昆仑源段连接到建木东侧弱水。</x:v>
      </x:c>
      <x:c r="AI49" s="150" t="str">
        <x:v>v017新增东行(-1350,+250)、北转(-1350,+350)、西南折返／毕方东(-1420.7,+279.3)三节点。</x:v>
      </x:c>
      <x:c r="AJ49" s="150" t="str">
        <x:v>https://ctext.org/shan-hai-jing/hai-nei-xi-jing/zh
https://zh.wikisource.org/zh-hant/山海經/海內西經
https://ctext.org/shan-hai-jing/da-huang-xi-jing/zhs
https://ctext.org/huainanzi/di-xing-xun/zh
https://ctext.org/wiki.pl?chapter=670084&amp;if=gb&amp;remap=gb</x:v>
      </x:c>
    </x:row>
    <x:row r="50" ht="111" customHeight="1">
      <x:c r="A50" s="148" t="str">
        <x:v>X=-1450里，Y=+250里（-14.5，+2.5格）</x:v>
      </x:c>
      <x:c r="B50" s="149" t="str">
        <x:v>青水（昆仑源段）</x:v>
      </x:c>
      <x:c r="C50" s="150" t="str">
        <x:v>河流源点／源段</x:v>
      </x:c>
      <x:c r="D50" s="150" t="str">
        <x:v>《海内西经》《海外南经》</x:v>
      </x:c>
      <x:c r="E50" s="150" t="str">
        <x:v>海内昆仑之虚西南隅</x:v>
      </x:c>
      <x:c r="F50" s="150" t="str">
        <x:v>西北</x:v>
      </x:c>
      <x:c r="G50" s="150" t="n">
        <x:v>1471.4</x:v>
      </x:c>
      <x:c r="H50" s="150" t="str">
        <x:v>直接参照地：海内昆仑之虚；弱水；毕方鸟
原文方向：与弱水同出西南隅；东行、北行、再西南；水路经过毕方鸟东</x:v>
      </x:c>
      <x:c r="I50" s="150" t="str">
        <x:v>源点位于方800里区域西南隅</x:v>
      </x:c>
      <x:c r="J50" s="150" t="str">
        <x:v>模块四角硬关系；路径形状为原文方向示意</x:v>
      </x:c>
      <x:c r="K50" s="150" t="str">
        <x:v>源角、东—北—西南及水在毕方东关系锁定；与若木边界段未闭合</x:v>
      </x:c>
      <x:c r="L50" s="150" t="str">
        <x:v>线型水系源点；位于昆仑8×8主体的西南边界顶点，是几何顶点而非独立百里格</x:v>
      </x:c>
      <x:c r="M50" s="150" t="str">
        <x:v>昆仑西南角源区</x:v>
      </x:c>
      <x:c r="N50" s="150" t="str">
        <x:v>与弱水同源角；毕方鸟位于其西侧</x:v>
      </x:c>
      <x:c r="O50" s="150"/>
      <x:c r="P50" s="150"/>
      <x:c r="Q50" s="150"/>
      <x:c r="R50" s="150"/>
      <x:c r="S50" s="150"/>
      <x:c r="T50" s="150"/>
      <x:c r="U50" s="150"/>
      <x:c r="V50" s="150"/>
      <x:c r="W50" s="150"/>
      <x:c r="X50" s="150" t="str">
        <x:v>作为昆仑西南隅水路与毕方鸟的定位轴</x:v>
      </x:c>
      <x:c r="Y50" s="150"/>
      <x:c r="Z50" s="151" t="e">
        <x:f>HYPERLINK("#'山海经原文总库'!A1270","查看对应原文段落")</x:f>
        <x:v>HYPERLINK is not implemented. linkLocation=#'山海经原文总库'!A1270, friendlyName=查看对应原文段落</x:v>
      </x:c>
      <x:c r="AA50" s="150" t="str">
        <x:v>现有“青水（都广—若木核心段）”只承担若木边界；《海外南经》又记毕方鸟在青水西。是否同一主干待跨篇闭合。
《海外南经》毕方在青水西，与本篇水过毕方东相合；只闭合昆仑—毕方局部路径。</x:v>
      </x:c>
      <x:c r="AB50" s="150" t="str">
        <x:v>袁珂以《海外南经》“毕方鸟在青水西”解释本句“过毕方鸟东”，两篇关系相合。</x:v>
      </x:c>
      <x:c r="AC50" s="150" t="str">
        <x:v>《海外南经》记毕方鸟在其东、青水西，通行解释为毕方在青水西侧。</x:v>
      </x:c>
      <x:c r="AD50" s="150" t="str">
        <x:v>《海内经》若木段的“青水”在《水经注》引文中有缺字现象。</x:v>
      </x:c>
      <x:c r="AE50" s="150"/>
      <x:c r="AF50" s="150"/>
      <x:c r="AG50" s="150"/>
      <x:c r="AH50" s="150" t="str">
        <x:v>不得用昆仑青水源段直接覆盖若木东侧青水代表段。</x:v>
      </x:c>
      <x:c r="AI50" s="150" t="str">
        <x:v>v017完成昆仑源角至毕方东的局部折线路径；仍不连接若木青水或华山—肇山东界段。</x:v>
      </x:c>
      <x:c r="AJ50" s="150" t="str">
        <x:v>https://ctext.org/shan-hai-jing/hai-nei-xi-jing/zh
https://zh.wikisource.org/zh-hant/山海經/海內西經
https://ctext.org/shan-hai-jing/hai-wai-nan-jing/zh
https://ctext.org/wiki.pl?chapter=670084&amp;if=gb&amp;remap=gb</x:v>
      </x:c>
    </x:row>
    <x:row r="51" ht="111" customHeight="1">
      <x:c r="A51" s="148" t="str">
        <x:v>X=-1450里，Y=+350里（-14.5，+3.5格）</x:v>
      </x:c>
      <x:c r="B51" s="149" t="str">
        <x:v>毕方鸟（昆仑水路参照）</x:v>
      </x:c>
      <x:c r="C51" s="150" t="str">
        <x:v>神鸟／水路参照物</x:v>
      </x:c>
      <x:c r="D51" s="150" t="str">
        <x:v>《海内西经》《海外南经》；《西山经》</x:v>
      </x:c>
      <x:c r="E51" s="150" t="str">
        <x:v>昆仑弱水—青水路径西侧</x:v>
      </x:c>
      <x:c r="F51" s="150" t="str">
        <x:v>西北</x:v>
      </x:c>
      <x:c r="G51" s="150" t="n">
        <x:v>1491.6</x:v>
      </x:c>
      <x:c r="H51" s="150" t="str">
        <x:v>直接参照地：弱水、青水
原文方向：弱水、青水经过毕方鸟东；《海外南经》记毕方鸟在青水西</x:v>
      </x:c>
      <x:c r="I51" s="150"/>
      <x:c r="J51" s="150" t="str">
        <x:v>双篇方向闭合＋模块路径示意</x:v>
      </x:c>
      <x:c r="K51" s="150" t="str">
        <x:v>相对青水西、弱青水路径东侧关系锁定；绝对点为项目推定</x:v>
      </x:c>
      <x:c r="L51" s="150" t="str">
        <x:v>鸟类参照点；不代表固定国域或山体</x:v>
      </x:c>
      <x:c r="M51" s="150"/>
      <x:c r="N51" s="150"/>
      <x:c r="O51" s="150"/>
      <x:c r="P51" s="150" t="str">
        <x:v>毕方鸟</x:v>
      </x:c>
      <x:c r="Q51" s="150"/>
      <x:c r="R51" s="150"/>
      <x:c r="S51" s="150"/>
      <x:c r="T51" s="150"/>
      <x:c r="U51" s="150"/>
      <x:c r="V51" s="150"/>
      <x:c r="W51" s="150" t="str">
        <x:v>《海外南经》：人面、一足；《西山经》：鹤状、一足、赤文青质、白喙</x:v>
      </x:c>
      <x:c r="X51" s="150" t="str">
        <x:v>《西山经》记其出现与讹火相关</x:v>
      </x:c>
      <x:c r="Y51" s="150" t="str">
        <x:v>作为昆仑弱水、青水折线路径的方位参照</x:v>
      </x:c>
      <x:c r="Z51" s="151" t="e">
        <x:f>HYPERLINK("#'山海经原文总库'!A1271","查看对应原文段落")</x:f>
        <x:v>HYPERLINK is not implemented. linkLocation=#'山海经原文总库'!A1271, friendlyName=查看对应原文段落</x:v>
      </x:c>
      <x:c r="AA51" s="150" t="str">
        <x:v>《西山经》章莪之山亦有毕方，可能是同类神鸟传统，不足以证明同一只或同一地点。</x:v>
      </x:c>
      <x:c r="AB51" s="150" t="str">
        <x:v>袁珂以《海外南经》毕方在青水西，校合《海内西经》水路经过毕方东。</x:v>
      </x:c>
      <x:c r="AC51" s="150"/>
      <x:c r="AD51" s="150" t="str">
        <x:v>毕方鸟在不同篇章形貌与语境不同。</x:v>
      </x:c>
      <x:c r="AE51" s="150"/>
      <x:c r="AF51" s="150"/>
      <x:c r="AG51" s="150"/>
      <x:c r="AH51" s="150" t="str">
        <x:v>不能把毕方鸟视为固定城市地标；其坐标仅服务于原文水路相对关系。</x:v>
      </x:c>
      <x:c r="AI51" s="150" t="str">
        <x:v>v017路径终节点(-1420.7,+279.3)保持在毕方(-1450,+350)东侧，双篇方位闭合。</x:v>
      </x:c>
      <x:c r="AJ51" s="150" t="str">
        <x:v>https://ctext.org/shan-hai-jing/hai-nei-xi-jing/zh
https://zh.wikisource.org/zh-hant/山海經/海內西經
https://ctext.org/shan-hai-jing/hai-wai-nan-jing/zh
https://ctext.org/shan-hai-jing/xi-shan-jing/zhs
https://ctext.org/wiki.pl?chapter=670084&amp;if=gb&amp;remap=gb</x:v>
      </x:c>
    </x:row>
    <x:row r="52" ht="111" customHeight="1">
      <x:c r="A52" s="148" t="str">
        <x:v>X=-1050里，Y=+250里（-10.5，+2.5格）</x:v>
      </x:c>
      <x:c r="B52" s="149" t="str">
        <x:v>昆仑南渊</x:v>
      </x:c>
      <x:c r="C52" s="150" t="str">
        <x:v>深渊／水域</x:v>
      </x:c>
      <x:c r="D52" s="150" t="str">
        <x:v>《海内西经》《海内北经》</x:v>
      </x:c>
      <x:c r="E52" s="150" t="str">
        <x:v>海内昆仑之虚南缘</x:v>
      </x:c>
      <x:c r="F52" s="150" t="str">
        <x:v>西北</x:v>
      </x:c>
      <x:c r="G52" s="150" t="n">
        <x:v>1079.4</x:v>
      </x:c>
      <x:c r="H52" s="150" t="str">
        <x:v>直接参照地：海内昆仑之虚；从极之渊
原文方向：位于昆仑南；深300仞</x:v>
      </x:c>
      <x:c r="I52" s="150" t="str">
        <x:v>深300仞</x:v>
      </x:c>
      <x:c r="J52" s="150" t="str">
        <x:v>原文南缘关系＋模块中点推定</x:v>
      </x:c>
      <x:c r="K52" s="150" t="str">
        <x:v>南缘关系锁定；与从极之渊候选叠置，未合并
V024：阳污山—凌门山—王子夜之尸—河大泽模块已接入同一主格，空间方向与距离仍未锁。</x:v>
      </x:c>
      <x:c r="L52" s="150" t="str">
        <x:v>昆仑南边界中点的深渊接口；深300仞是垂直深度，平面宽度未知，不占300里区域</x:v>
      </x:c>
      <x:c r="M52" s="150" t="str">
        <x:v>昆仑南缘深渊</x:v>
      </x:c>
      <x:c r="N52" s="150" t="str">
        <x:v>深三百仞</x:v>
      </x:c>
      <x:c r="O52" s="150"/>
      <x:c r="P52" s="150" t="str">
        <x:v>开明兽在相邻昆仑上东向而立</x:v>
      </x:c>
      <x:c r="Q52" s="150"/>
      <x:c r="R52" s="150"/>
      <x:c r="S52" s="150"/>
      <x:c r="T52" s="150"/>
      <x:c r="U52" s="150"/>
      <x:c r="V52" s="150"/>
      <x:c r="W52" s="150" t="str">
        <x:v>深300仞</x:v>
      </x:c>
      <x:c r="X52" s="150"/>
      <x:c r="Y52" s="150"/>
      <x:c r="Z52" s="151" t="e">
        <x:f>HYPERLINK("#'山海经原文总库'!A1272","查看对应原文段落")</x:f>
        <x:v>HYPERLINK is not implemented. linkLocation=#'山海经原文总库'!A1272, friendlyName=查看对应原文段落</x:v>
      </x:c>
      <x:c r="AA52" s="150" t="str">
        <x:v>郝懿行、袁珂认为可能即《海内北经》从极之渊；后者亦深300仞并在昆仑虚南所。
《大荒西经》另有弱水之渊环绕昆仑；与本南渊、从极之渊均须分档。
《海内北经》从极之渊同样深三百仞，且紧接昆仑虚南所氾林之后；形成高强度同地候选。</x:v>
      </x:c>
      <x:c r="AB52" s="150" t="str">
        <x:v>郭璞称其为灵渊。</x:v>
      </x:c>
      <x:c r="AC52" s="150" t="str">
        <x:v>《海内北经》：昆仑虚南所，有氾林方三百里；从极之渊深三百仞，冰夷恒都焉。</x:v>
      </x:c>
      <x:c r="AD52" s="150" t="str">
        <x:v>昆仑南渊／从极之渊是否同一，暂作高强度候选，不直接并名。</x:v>
      </x:c>
      <x:c r="AE52" s="150"/>
      <x:c r="AF52" s="150"/>
      <x:c r="AG52" s="150"/>
      <x:c r="AH52" s="150" t="str">
        <x:v>不得把“深三百仞”换算成平面三百里，也不得把南渊涂满昆仑南部。</x:v>
      </x:c>
      <x:c r="AI52" s="150" t="str">
        <x:v>原文只说在昆仑南，取方800里区域南边界中点(-1050,+250)作为代表点。
v013将从极之渊与本条共用代表坐标，表达候选叠置；两条仍保留独立记录。
V024沿《海内北经》连续段落扩充同域对象；仅共享主格，不把文本先后转换为实际里数。</x:v>
      </x:c>
      <x:c r="AJ52" s="150" t="str">
        <x:v>https://ctext.org/shan-hai-jing/hai-nei-xi-jing/zh
https://zh.wikisource.org/zh-hant/山海經/海內西經
https://ctext.org/wiki.pl?chapter=670084&amp;if=gb&amp;remap=gb</x:v>
      </x:c>
    </x:row>
    <x:row r="53" ht="111" customHeight="1">
      <x:c r="A53" s="152" t="str">
        <x:v>X=-1050里，Y=+650里（-10.5，+6.5格）</x:v>
      </x:c>
      <x:c r="B53" s="153" t="str">
        <x:v>昆仑之丘（大荒西经层）</x:v>
      </x:c>
      <x:c r="C53" s="154" t="str">
        <x:v>大荒山岳／昆仑候选层</x:v>
      </x:c>
      <x:c r="D53" s="154" t="str">
        <x:v>《大荒西经》</x:v>
      </x:c>
      <x:c r="E53" s="154" t="str">
        <x:v>大荒昆仑—弱水外环模块</x:v>
      </x:c>
      <x:c r="F53" s="154" t="str">
        <x:v>西北</x:v>
      </x:c>
      <x:c r="G53" s="154" t="n">
        <x:v>1234.9</x:v>
      </x:c>
      <x:c r="H53" s="154" t="str">
        <x:v>直接参照地：西海；流沙；赤水；黑水；弱水之渊；炎火之山
原文关系：在西海之南、流沙之滨、赤水之后、黑水之前；其下弱水之渊环之</x:v>
      </x:c>
      <x:c r="I53" s="154"/>
      <x:c r="J53" s="154" t="str">
        <x:v>同名同构候选叠置；绝对位置沿用海内昆仑模块</x:v>
      </x:c>
      <x:c r="K53" s="154" t="str">
        <x:v>与昆仑主体同地锁定；弱水环渊、炎火外层、西王母穴居为大荒外围层</x:v>
      </x:c>
      <x:c r="L53" s="154" t="str">
        <x:v>以海内昆仑8×8格作为候选叠置范围；大荒本文未给面积</x:v>
      </x:c>
      <x:c r="M53" s="154" t="str">
        <x:v>大山；弱水环山，外有炎火之山</x:v>
      </x:c>
      <x:c r="N53" s="154" t="str">
        <x:v>位于赤水与黑水之间；弱水之渊环绕山体</x:v>
      </x:c>
      <x:c r="O53" s="154"/>
      <x:c r="P53" s="154" t="str">
        <x:v>人面虎身、有文有尾的神</x:v>
      </x:c>
      <x:c r="Q53" s="154"/>
      <x:c r="R53" s="154"/>
      <x:c r="S53" s="154"/>
      <x:c r="T53" s="154" t="str">
        <x:v>西王母</x:v>
      </x:c>
      <x:c r="U53" s="154" t="str">
        <x:v>昆仑山神；西王母居此</x:v>
      </x:c>
      <x:c r="V53" s="154"/>
      <x:c r="W53" s="154" t="str">
        <x:v>神人面虎身、有文有尾、皆白；西王母戴胜、虎齿、豹尾、穴处</x:v>
      </x:c>
      <x:c r="X53" s="154" t="str">
        <x:v>炎火之山投物辄燃；昆仑万物尽有</x:v>
      </x:c>
      <x:c r="Y53" s="154" t="str">
        <x:v>形成“昆仑山体—弱水环渊—炎火外山”的三层结构</x:v>
      </x:c>
      <x:c r="Z53" s="155" t="e">
        <x:f>HYPERLINK("#'山海经原文总库'!A1712","查看对应原文段落")</x:f>
        <x:v>HYPERLINK is not implemented. linkLocation=#'山海经原文总库'!A1712, friendlyName=查看对应原文段落</x:v>
      </x:c>
      <x:c r="AA53" s="154" t="str">
        <x:v>v018不再把本条视为完全独立山体，而判为昆仑复合体的大荒外围层。其独特结构仍保留，不反向改写海内九门与西山陆吾层。</x:v>
      </x:c>
      <x:c r="AB53" s="154" t="str">
        <x:v>郭璞、后世校注常将数篇昆仑互证；也有研究者主张大荒昆仑并非海内昆仑。</x:v>
      </x:c>
      <x:c r="AC53" s="154" t="str">
        <x:v>《海内西经》昆仑方八百里，四隅出六水；《西山经》昆仑为帝之下都，出河、赤、洋、黑四水。</x:v>
      </x:c>
      <x:c r="AD53" s="154" t="str">
        <x:v>昆仑之丘／昆仑之虚；弱水之渊在《太平御览》引文中或作弱水泉</x:v>
      </x:c>
      <x:c r="AE53" s="154" t="str">
        <x:v>本版采用“候选叠置”而不是正式合并，等待西山经山系模块和大荒外围模块完成。</x:v>
      </x:c>
      <x:c r="AF53" s="154"/>
      <x:c r="AG53" s="154"/>
      <x:c r="AH53" s="154" t="str">
        <x:v>大荒层并入主体，不等于把弱水之渊当作海内西南隅弱水河源。</x:v>
      </x:c>
      <x:c r="AI53" s="154" t="str">
        <x:v>主体坐标继续与海内昆仑重合；外围环渊与炎火山维持范围层，西王母穴居维持大荒文本层。</x:v>
      </x:c>
      <x:c r="AJ53" s="154" t="str">
        <x:v>https://ctext.org/shan-hai-jing/da-huang-xi-jing/zhs
https://ctext.org/shan-hai-jing/hai-nei-xi-jing/zh
https://ctext.org/shan-hai-jing/xi-shan-jing/zhs
https://ctext.org/text.pl?if=gb&amp;node=84250&amp;show=parallel</x:v>
      </x:c>
    </x:row>
    <x:row r="54" ht="111" customHeight="1">
      <x:c r="A54" s="152" t="str">
        <x:v>X=-1050里，Y=+650里（-10.5，+6.5格）</x:v>
      </x:c>
      <x:c r="B54" s="153" t="str">
        <x:v>弱水之渊（昆仑环山段）</x:v>
      </x:c>
      <x:c r="C54" s="154" t="str">
        <x:v>环山深渊／水体</x:v>
      </x:c>
      <x:c r="D54" s="154" t="str">
        <x:v>《大荒西经》</x:v>
      </x:c>
      <x:c r="E54" s="154" t="str">
        <x:v>大荒昆仑之丘下层</x:v>
      </x:c>
      <x:c r="F54" s="154" t="str">
        <x:v>西北</x:v>
      </x:c>
      <x:c r="G54" s="154" t="n">
        <x:v>1234.9</x:v>
      </x:c>
      <x:c r="H54" s="154" t="str">
        <x:v>直接参照地：昆仑之丘；炎火之山
原文关系：在昆仑之丘下，环绕山体；炎火之山在其外</x:v>
      </x:c>
      <x:c r="I54" s="154"/>
      <x:c r="J54" s="154" t="str">
        <x:v>原文包含与环绕关系；代表坐标与山体中心重合</x:v>
      </x:c>
      <x:c r="K54" s="154" t="str">
        <x:v>环山关系锁定；宽度、深度与具体岸线未锁</x:v>
      </x:c>
      <x:c r="L54" s="154" t="str">
        <x:v>环绕昆仑8×8主体的边界关系层；原文未给环带宽度，棋盘仅用环界线表示，不占一格宽水域</x:v>
      </x:c>
      <x:c r="M54" s="154" t="str">
        <x:v>环山深渊</x:v>
      </x:c>
      <x:c r="N54" s="154" t="str">
        <x:v>弱水之渊环绕昆仑之丘</x:v>
      </x:c>
      <x:c r="O54" s="154"/>
      <x:c r="P54" s="154"/>
      <x:c r="Q54" s="154"/>
      <x:c r="R54" s="154"/>
      <x:c r="S54" s="154"/>
      <x:c r="T54" s="154"/>
      <x:c r="U54" s="154"/>
      <x:c r="V54" s="154"/>
      <x:c r="W54" s="154"/>
      <x:c r="X54" s="154" t="str">
        <x:v>作为昆仑山体的第一重隔绝边界</x:v>
      </x:c>
      <x:c r="Y54" s="154" t="str">
        <x:v>与外侧炎火之山共同构成双重禁入结构</x:v>
      </x:c>
      <x:c r="Z54" s="155" t="e">
        <x:f>HYPERLINK("#'山海经原文总库'!A1712","查看对应原文段落")</x:f>
        <x:v>HYPERLINK is not implemented. linkLocation=#'山海经原文总库'!A1712, friendlyName=查看对应原文段落</x:v>
      </x:c>
      <x:c r="AA54" s="154" t="str">
        <x:v>《海内西经》弱水从昆仑西南隅发源；《海内南经》窫窳居弱水中。本条明确称“渊”并“环之”，空间形态不同，暂视为昆仑环山水体。</x:v>
      </x:c>
      <x:c r="AB54" s="154" t="str">
        <x:v>《太平御览》引文作“其下有弱水泉”，显示“渊／泉”存在传本差异。</x:v>
      </x:c>
      <x:c r="AC54" s="154"/>
      <x:c r="AD54" s="154" t="str">
        <x:v>弱水之渊／弱水泉</x:v>
      </x:c>
      <x:c r="AE54" s="154" t="str">
        <x:v>可以是弱水水系的山脚水体，也可能是独立的环状神水；原文不足以决定。</x:v>
      </x:c>
      <x:c r="AF54" s="154"/>
      <x:c r="AG54" s="154"/>
      <x:c r="AH54" s="154" t="str">
        <x:v>不能把“弱水之渊”直接等同昆仑西南隅的河流源点，也不能等同建木东侧弱水核心段。</x:v>
      </x:c>
      <x:c r="AI54" s="154" t="str">
        <x:v>v019取消旧版一格宽外环。弱水之渊仅沿昆仑64格外缘显示为环界，不增加确定面积；与昆仑西南隅弱水河源继续分档。</x:v>
      </x:c>
      <x:c r="AJ54" s="154" t="str">
        <x:v>https://ctext.org/shan-hai-jing/da-huang-xi-jing/zhs
https://ctext.org/shan-hai-jing/hai-nei-xi-jing/zh
https://ctext.org/text.pl?if=gb&amp;node=84250&amp;show=parallel</x:v>
      </x:c>
    </x:row>
    <x:row r="55" ht="111" customHeight="1">
      <x:c r="A55" s="152" t="str">
        <x:v>X=-1050里，Y=+50里（-10.5，+0.5格）</x:v>
      </x:c>
      <x:c r="B55" s="153" t="str">
        <x:v>炎火之山（昆仑外层）</x:v>
      </x:c>
      <x:c r="C55" s="154" t="str">
        <x:v>火山／外部山带</x:v>
      </x:c>
      <x:c r="D55" s="154" t="str">
        <x:v>《大荒西经》</x:v>
      </x:c>
      <x:c r="E55" s="154" t="str">
        <x:v>弱水之渊外部</x:v>
      </x:c>
      <x:c r="F55" s="154" t="str">
        <x:v>西</x:v>
      </x:c>
      <x:c r="G55" s="154" t="n">
        <x:v>1051.2</x:v>
      </x:c>
      <x:c r="H55" s="154" t="str">
        <x:v>直接参照地：弱水之渊；昆仑之丘
原文关系：位于弱水之渊之外</x:v>
      </x:c>
      <x:c r="I55" s="154"/>
      <x:c r="J55" s="154" t="str">
        <x:v>原文外层关系＋南侧代表位</x:v>
      </x:c>
      <x:c r="K55" s="154" t="str">
        <x:v>外层关系锁定；具体环向位置未锁</x:v>
      </x:c>
      <x:c r="L55" s="154" t="str">
        <x:v>弱水环界之外的独立山体标志；面积与具体环向方位未知，不绘制为完整第二外环</x:v>
      </x:c>
      <x:c r="M55" s="154" t="str">
        <x:v>投物辄燃的炎火山体</x:v>
      </x:c>
      <x:c r="N55" s="154"/>
      <x:c r="O55" s="154"/>
      <x:c r="P55" s="154"/>
      <x:c r="Q55" s="154"/>
      <x:c r="R55" s="154"/>
      <x:c r="S55" s="154"/>
      <x:c r="T55" s="154"/>
      <x:c r="U55" s="154"/>
      <x:c r="V55" s="154"/>
      <x:c r="W55" s="154"/>
      <x:c r="X55" s="154" t="str">
        <x:v>投物辄然</x:v>
      </x:c>
      <x:c r="Y55" s="154" t="str">
        <x:v>构成昆仑外部第二重危险边界</x:v>
      </x:c>
      <x:c r="Z55" s="155" t="e">
        <x:f>HYPERLINK("#'山海经原文总库'!A1712","查看对应原文段落")</x:f>
        <x:v>HYPERLINK is not implemented. linkLocation=#'山海经原文总库'!A1712, friendlyName=查看对应原文段落</x:v>
      </x:c>
      <x:c r="AA55" s="154" t="str">
        <x:v>不得与其他火山、炎山自动合并。</x:v>
      </x:c>
      <x:c r="AB55" s="154" t="str">
        <x:v>“其外有炎火之山”只证明在弱水之外，未说明环绕整个昆仑。</x:v>
      </x:c>
      <x:c r="AC55" s="154"/>
      <x:c r="AD55" s="154"/>
      <x:c r="AE55" s="154"/>
      <x:c r="AF55" s="154"/>
      <x:c r="AG55" s="154"/>
      <x:c r="AH55" s="154" t="str">
        <x:v>棋盘中的南侧位置只是阅读用代表位，不是原文给出的方位。</x:v>
      </x:c>
      <x:c r="AI55" s="154" t="str">
        <x:v>为避免把炎火之山误画成完整外环，本版只在弱水环带南侧外部设置代表点(-1050,+50)。层级锁定，具体方向可随新证据移动。</x:v>
      </x:c>
      <x:c r="AJ55" s="154" t="str">
        <x:v>https://ctext.org/shan-hai-jing/da-huang-xi-jing/zhs
https://ctext.org/text.pl?if=gb&amp;node=84250&amp;show=parallel</x:v>
      </x:c>
    </x:row>
    <x:row r="56" ht="111" customHeight="1">
      <x:c r="A56" s="140" t="s">
        <x:v>416</x:v>
      </x:c>
      <x:c r="B56" s="141" t="s">
        <x:v>417</x:v>
      </x:c>
      <x:c r="C56" s="142" t="s">
        <x:v>418</x:v>
      </x:c>
      <x:c r="D56" s="142" t="s">
        <x:v>79</x:v>
      </x:c>
      <x:c r="E56" s="142" t="s">
        <x:v>419</x:v>
      </x:c>
      <x:c r="F56" s="142" t="s">
        <x:v>109</x:v>
      </x:c>
      <x:c r="G56" s="142"/>
      <x:c r="H56" s="142" t="s">
        <x:v>420</x:v>
      </x:c>
      <x:c r="I56" s="142"/>
      <x:c r="J56" s="142" t="str">
        <x:v>卷内北海模块＋主棋盘布局坐标（非绝对里数）</x:v>
      </x:c>
      <x:c r="K56" s="142" t="str">
        <x:v>北海内关系锁定；全局坐标与距都广里数未锁</x:v>
      </x:c>
      <x:c r="L56" s="142" t="s">
        <x:v>421</x:v>
      </x:c>
      <x:c r="M56" s="142" t="s">
        <x:v>422</x:v>
      </x:c>
      <x:c r="N56" s="142" t="s">
        <x:v>423</x:v>
      </x:c>
      <x:c r="O56" s="142"/>
      <x:c r="P56" s="142" t="s">
        <x:v>424</x:v>
      </x:c>
      <x:c r="Q56" s="142"/>
      <x:c r="R56" s="142"/>
      <x:c r="S56" s="142"/>
      <x:c r="T56" s="142"/>
      <x:c r="U56" s="142"/>
      <x:c r="V56" s="142" t="s">
        <x:v>425</x:v>
      </x:c>
      <x:c r="W56" s="142" t="s">
        <x:v>426</x:v>
      </x:c>
      <x:c r="X56" s="142" t="s">
        <x:v>427</x:v>
      </x:c>
      <x:c r="Y56" s="142" t="s">
        <x:v>428</x:v>
      </x:c>
      <x:c r="Z56" s="143" t="e">
        <x:f>HYPERLINK("#'山海经原文总库'!A1911","查看对应原文段落")</x:f>
        <x:v>HYPERLINK is not implemented. linkLocation=#'山海经原文总库'!A1911, friendlyName=查看对应原文段落</x:v>
      </x:c>
      <x:c r="AA56" s="142" t="s">
        <x:v>429</x:v>
      </x:c>
      <x:c r="AB56" s="142" t="s">
        <x:v>430</x:v>
      </x:c>
      <x:c r="AC56" s="142" t="s">
        <x:v>431</x:v>
      </x:c>
      <x:c r="AD56" s="142" t="s">
        <x:v>432</x:v>
      </x:c>
      <x:c r="AE56" s="142" t="s">
        <x:v>433</x:v>
      </x:c>
      <x:c r="AF56" s="142"/>
      <x:c r="AG56" s="142"/>
      <x:c r="AH56" s="142" t="s">
        <x:v>434</x:v>
      </x:c>
      <x:c r="AI56" s="142" t="s">
        <x:v>435</x:v>
      </x:c>
      <x:c r="AJ56" s="142" t="s">
        <x:v>436</x:v>
      </x:c>
    </x:row>
    <x:row r="57" ht="111" customHeight="1">
      <x:c r="A57" s="140" t="s">
        <x:v>416</x:v>
      </x:c>
      <x:c r="B57" s="141" t="s">
        <x:v>437</x:v>
      </x:c>
      <x:c r="C57" s="142" t="s">
        <x:v>438</x:v>
      </x:c>
      <x:c r="D57" s="142" t="s">
        <x:v>79</x:v>
      </x:c>
      <x:c r="E57" s="142" t="s">
        <x:v>439</x:v>
      </x:c>
      <x:c r="F57" s="142" t="s">
        <x:v>109</x:v>
      </x:c>
      <x:c r="G57" s="142"/>
      <x:c r="H57" s="142" t="s">
        <x:v>440</x:v>
      </x:c>
      <x:c r="I57" s="142" t="s">
        <x:v>441</x:v>
      </x:c>
      <x:c r="J57" s="142" t="str">
        <x:v>原文源点硬关系＋随幽都模块排版（非绝对里数）</x:v>
      </x:c>
      <x:c r="K57" s="142" t="str">
        <x:v>源点关系锁定；与昆仑、都广黑水未合并；全局坐标未锁</x:v>
      </x:c>
      <x:c r="L57" s="142" t="s">
        <x:v>442</x:v>
      </x:c>
      <x:c r="M57" s="142" t="s">
        <x:v>443</x:v>
      </x:c>
      <x:c r="N57" s="142" t="s">
        <x:v>444</x:v>
      </x:c>
      <x:c r="O57" s="142"/>
      <x:c r="P57" s="142"/>
      <x:c r="Q57" s="142"/>
      <x:c r="R57" s="142"/>
      <x:c r="S57" s="142"/>
      <x:c r="T57" s="142"/>
      <x:c r="U57" s="142"/>
      <x:c r="V57" s="142"/>
      <x:c r="W57" s="142"/>
      <x:c r="X57" s="142" t="s">
        <x:v>445</x:v>
      </x:c>
      <x:c r="Y57" s="142"/>
      <x:c r="Z57" s="143" t="e">
        <x:f>HYPERLINK("#'山海经原文总库'!A1912","查看对应原文段落")</x:f>
        <x:v>HYPERLINK is not implemented. linkLocation=#'山海经原文总库'!A1912, friendlyName=查看对应原文段落</x:v>
      </x:c>
      <x:c r="AA57" s="142" t="s">
        <x:v>446</x:v>
      </x:c>
      <x:c r="AB57" s="142" t="s">
        <x:v>447</x:v>
      </x:c>
      <x:c r="AC57" s="142" t="s">
        <x:v>448</x:v>
      </x:c>
      <x:c r="AD57" s="142" t="s">
        <x:v>449</x:v>
      </x:c>
      <x:c r="AE57" s="142" t="s">
        <x:v>450</x:v>
      </x:c>
      <x:c r="AF57" s="142"/>
      <x:c r="AG57" s="142"/>
      <x:c r="AH57" s="142" t="s">
        <x:v>451</x:v>
      </x:c>
      <x:c r="AI57" s="142" t="s">
        <x:v>452</x:v>
      </x:c>
      <x:c r="AJ57" s="142" t="s">
        <x:v>453</x:v>
      </x:c>
    </x:row>
    <x:row r="58" ht="111" customHeight="1">
      <x:c r="A58" s="152" t="str">
        <x:v>X=-1050里，Y=+1250里（-10.5，+12.5格）</x:v>
      </x:c>
      <x:c r="B58" s="153" t="str">
        <x:v>西王母（昆仑虚北）</x:v>
      </x:c>
      <x:c r="C58" s="157" t="str">
        <x:v>神祇／昆仑北部居者</x:v>
      </x:c>
      <x:c r="D58" s="157" t="str">
        <x:v>《海内北经》；《西山经》《大荒西经》</x:v>
      </x:c>
      <x:c r="E58" s="157" t="str">
        <x:v>昆仑虚北接口模块</x:v>
      </x:c>
      <x:c r="F58" s="157" t="str">
        <x:v>西北</x:v>
      </x:c>
      <x:c r="G58" s="157" t="n">
        <x:v>1632.5</x:v>
      </x:c>
      <x:c r="H58" s="157" t="str">
        <x:v>直接参照地：海内昆仑之虚；三青鸟
原文方向：在昆仑虚北；三青鸟在其南</x:v>
      </x:c>
      <x:c r="I58" s="157"/>
      <x:c r="J58" s="157" t="str">
        <x:v>原文方向＋最小邻接布局</x:v>
      </x:c>
      <x:c r="K58" s="157" t="str">
        <x:v>方向锁定；距昆仑距离推定
V022：原方向／拓扑保留；旧100里最小邻接降级为历史排版坐标，不作为文本距离证据</x:v>
      </x:c>
      <x:c r="L58" s="157" t="str">
        <x:v>点状神祇居处；位于昆仑北侧第一可用格</x:v>
      </x:c>
      <x:c r="M58" s="157" t="str">
        <x:v>昆仑北侧高地</x:v>
      </x:c>
      <x:c r="N58" s="157"/>
      <x:c r="O58" s="157"/>
      <x:c r="P58" s="157" t="str">
        <x:v>三青鸟为其取食</x:v>
      </x:c>
      <x:c r="Q58" s="157"/>
      <x:c r="R58" s="157"/>
      <x:c r="S58" s="157"/>
      <x:c r="T58" s="157" t="str">
        <x:v>西王母</x:v>
      </x:c>
      <x:c r="U58" s="157" t="str">
        <x:v>西王母</x:v>
      </x:c>
      <x:c r="V58" s="157"/>
      <x:c r="W58" s="157" t="str">
        <x:v>梯几而戴胜杖</x:v>
      </x:c>
      <x:c r="X58" s="157" t="str">
        <x:v>由三青鸟供食；构成昆仑北侧神祇节点</x:v>
      </x:c>
      <x:c r="Y58" s="157" t="str">
        <x:v>三青鸟位于其南，为其取食</x:v>
      </x:c>
      <x:c r="Z58" s="155" t="e">
        <x:f>HYPERLINK("#'山海经原文总库'!A1286","查看对应原文段落")</x:f>
        <x:v>HYPERLINK is not implemented. linkLocation=#'山海经原文总库'!A1286, friendlyName=查看对应原文段落</x:v>
      </x:c>
      <x:c r="AA58" s="157" t="str">
        <x:v>v018确认西王母三处空间层：西山经玉山居所；海内北经昆仑虚北任务／居处；大荒西经昆仑穴处。保留多居所或不同文本层，不压成单一坐标。</x:v>
      </x:c>
      <x:c r="AB58" s="157" t="str">
        <x:v>郭璞注三青鸟为西王母取食之使。</x:v>
      </x:c>
      <x:c r="AC58" s="157" t="str">
        <x:v>《穆天子传》《淮南子》等另有西王母传统，但不覆盖本段昆仑虚北方位。</x:v>
      </x:c>
      <x:c r="AD58" s="157" t="str">
        <x:v>梯几／梯己；戴胜／戴勝</x:v>
      </x:c>
      <x:c r="AE58" s="157" t="str">
        <x:v>本行只代表《海内北经》空间层，不将所有西王母地理传统合并。</x:v>
      </x:c>
      <x:c r="AF58" s="157"/>
      <x:c r="AG58" s="157"/>
      <x:c r="AH58" s="157" t="str">
        <x:v>不能用玉山西王母替代昆仑虚北西王母，也不能全部改写成后世瑶池宫。
无原文里数时，不得把当前坐标差直接解释为真实相距100里。</x:v>
      </x:c>
      <x:c r="AI58" s="157" t="str">
        <x:v>昆仑弱水外环北界约Y=+1100里；按最小邻接将西王母置于(-1050,+1250)。</x:v>
      </x:c>
      <x:c r="AJ58" s="157" t="str">
        <x:v>https://ctext.org/shan-hai-jing/hai-nei-bei-jing/zh
https://zh.wikisource.org/zh-hans/山海經/海內北經
https://ctext.org/shan-hai-jing/xi-shan-jing/zhs
https://ctext.org/shan-hai-jing/da-huang-xi-jing/zhs</x:v>
      </x:c>
    </x:row>
    <x:row r="59" ht="111" customHeight="1">
      <x:c r="A59" s="152" t="str">
        <x:v>X=-1050里，Y=+1150里（-10.5，+11.5格）</x:v>
      </x:c>
      <x:c r="B59" s="153" t="str">
        <x:v>三青鸟（西王母南）</x:v>
      </x:c>
      <x:c r="C59" s="157" t="str">
        <x:v>神鸟／侍从地标</x:v>
      </x:c>
      <x:c r="D59" s="157" t="str">
        <x:v>《海内北经》；《西山经》</x:v>
      </x:c>
      <x:c r="E59" s="157" t="str">
        <x:v>昆仑虚北接口模块</x:v>
      </x:c>
      <x:c r="F59" s="157" t="str">
        <x:v>西北</x:v>
      </x:c>
      <x:c r="G59" s="157" t="n">
        <x:v>1557.2</x:v>
      </x:c>
      <x:c r="H59" s="157" t="str">
        <x:v>直接参照地：西王母；海内昆仑之虚
原文方向：在西王母南；整体位于昆仑虚北</x:v>
      </x:c>
      <x:c r="I59" s="157"/>
      <x:c r="J59" s="157" t="str">
        <x:v>原文方向＋最小邻接布局</x:v>
      </x:c>
      <x:c r="K59" s="157" t="str">
        <x:v>相对西王母方向锁定；距离推定</x:v>
      </x:c>
      <x:c r="L59" s="157" t="str">
        <x:v>神鸟活动点；三鸟共用一个百里格代表</x:v>
      </x:c>
      <x:c r="M59" s="157"/>
      <x:c r="N59" s="157"/>
      <x:c r="O59" s="157"/>
      <x:c r="P59" s="157" t="str">
        <x:v>三青鸟</x:v>
      </x:c>
      <x:c r="Q59" s="157"/>
      <x:c r="R59" s="157"/>
      <x:c r="S59" s="157"/>
      <x:c r="T59" s="157" t="str">
        <x:v>西王母</x:v>
      </x:c>
      <x:c r="U59" s="157"/>
      <x:c r="V59" s="157"/>
      <x:c r="W59" s="157"/>
      <x:c r="X59" s="157" t="str">
        <x:v>为西王母取食</x:v>
      </x:c>
      <x:c r="Y59" s="157" t="str">
        <x:v>作为西王母与昆仑之间的南侧侍从节点</x:v>
      </x:c>
      <x:c r="Z59" s="155" t="e">
        <x:f>HYPERLINK("#'山海经原文总库'!A1287","查看对应原文段落")</x:f>
        <x:v>HYPERLINK is not implemented. linkLocation=#'山海经原文总库'!A1287, friendlyName=查看对应原文段落</x:v>
      </x:c>
      <x:c r="AA59" s="157" t="str">
        <x:v>v018新增三危山居所层。三危山明确为三青鸟居处，昆仑虚北则是其为西王母取食的任务点；极可能同群，但无可锁定的往返路线。</x:v>
      </x:c>
      <x:c r="AB59" s="157" t="str">
        <x:v>郭璞将三青鸟解释为主给使、取食之鸟。</x:v>
      </x:c>
      <x:c r="AC59" s="157"/>
      <x:c r="AD59" s="157" t="str">
        <x:v>三青鸟／三足鸟的后世混同需要分辨</x:v>
      </x:c>
      <x:c r="AE59" s="157"/>
      <x:c r="AF59" s="157"/>
      <x:c r="AG59" s="157"/>
      <x:c r="AH59" s="157" t="str">
        <x:v>三青鸟不是三足乌；三危居所与昆仑北任务点不可直接合并成一格。</x:v>
      </x:c>
      <x:c r="AI59" s="157" t="str">
        <x:v>西王母在(-1050,+1250)，三青鸟位于其南一格，置(-1050,+1150)，仍在昆仑北界之外。</x:v>
      </x:c>
      <x:c r="AJ59" s="157" t="str">
        <x:v>https://ctext.org/shan-hai-jing/hai-nei-bei-jing/zh
https://zh.wikisource.org/zh-hans/山海經/海內北經
https://ctext.org/shan-hai-jing/xi-shan-jing/zhs</x:v>
      </x:c>
    </x:row>
    <x:row r="60" ht="111" customHeight="1">
      <x:c r="A60" s="152" t="s">
        <x:v>454</x:v>
      </x:c>
      <x:c r="B60" s="153" t="s">
        <x:v>455</x:v>
      </x:c>
      <x:c r="C60" s="157" t="s">
        <x:v>456</x:v>
      </x:c>
      <x:c r="D60" s="157" t="s">
        <x:v>457</x:v>
      </x:c>
      <x:c r="E60" s="157" t="s">
        <x:v>458</x:v>
      </x:c>
      <x:c r="F60" s="157" t="s">
        <x:v>93</x:v>
      </x:c>
      <x:c r="G60" s="157">
        <x:v>1328.5</x:v>
      </x:c>
      <x:c r="H60" s="157" t="s">
        <x:v>459</x:v>
      </x:c>
      <x:c r="I60" s="157" t="s">
        <x:v>460</x:v>
      </x:c>
      <x:c r="J60" s="157" t="s">
        <x:v>461</x:v>
      </x:c>
      <x:c r="K60" s="157" t="s">
        <x:v>462</x:v>
      </x:c>
      <x:c r="L60" s="157" t="s">
        <x:v>463</x:v>
      </x:c>
      <x:c r="M60" s="157" t="s">
        <x:v>464</x:v>
      </x:c>
      <x:c r="N60" s="157"/>
      <x:c r="O60" s="157"/>
      <x:c r="P60" s="157"/>
      <x:c r="Q60" s="157"/>
      <x:c r="R60" s="157"/>
      <x:c r="S60" s="157"/>
      <x:c r="T60" s="157" t="s">
        <x:v>465</x:v>
      </x:c>
      <x:c r="U60" s="157"/>
      <x:c r="V60" s="157"/>
      <x:c r="W60" s="157"/>
      <x:c r="X60" s="157"/>
      <x:c r="Y60" s="157" t="s">
        <x:v>466</x:v>
      </x:c>
      <x:c r="Z60" s="155" t="e">
        <x:f>HYPERLINK("#'山海经原文总库'!A1299","查看对应原文段落")</x:f>
        <x:v>HYPERLINK is not implemented. linkLocation=#'山海经原文总库'!A1299, friendlyName=查看对应原文段落</x:v>
      </x:c>
      <x:c r="AA60" s="157" t="s">
        <x:v>467</x:v>
      </x:c>
      <x:c r="AB60" s="157" t="s">
        <x:v>468</x:v>
      </x:c>
      <x:c r="AC60" s="157"/>
      <x:c r="AD60" s="157"/>
      <x:c r="AE60" s="157"/>
      <x:c r="AF60" s="157"/>
      <x:c r="AG60" s="157"/>
      <x:c r="AH60" s="157" t="s">
        <x:v>469</x:v>
      </x:c>
      <x:c r="AI60" s="157" t="s">
        <x:v>470</x:v>
      </x:c>
      <x:c r="AJ60" s="157" t="s">
        <x:v>471</x:v>
      </x:c>
    </x:row>
    <x:row r="61" ht="111" customHeight="1">
      <x:c r="A61" s="152" t="s">
        <x:v>472</x:v>
      </x:c>
      <x:c r="B61" s="153" t="s">
        <x:v>473</x:v>
      </x:c>
      <x:c r="C61" s="157" t="s">
        <x:v>474</x:v>
      </x:c>
      <x:c r="D61" s="157" t="s">
        <x:v>457</x:v>
      </x:c>
      <x:c r="E61" s="157" t="s">
        <x:v>475</x:v>
      </x:c>
      <x:c r="F61" s="157" t="s">
        <x:v>93</x:v>
      </x:c>
      <x:c r="G61" s="157">
        <x:v>1392.8</x:v>
      </x:c>
      <x:c r="H61" s="157" t="s">
        <x:v>476</x:v>
      </x:c>
      <x:c r="I61" s="157" t="s">
        <x:v>477</x:v>
      </x:c>
      <x:c r="J61" s="157" t="s">
        <x:v>478</x:v>
      </x:c>
      <x:c r="K61" s="157" t="s">
        <x:v>479</x:v>
      </x:c>
      <x:c r="L61" s="157" t="s">
        <x:v>480</x:v>
      </x:c>
      <x:c r="M61" s="157" t="s">
        <x:v>481</x:v>
      </x:c>
      <x:c r="N61" s="157"/>
      <x:c r="O61" s="157"/>
      <x:c r="P61" s="157"/>
      <x:c r="Q61" s="157"/>
      <x:c r="R61" s="157"/>
      <x:c r="S61" s="157"/>
      <x:c r="T61" s="157" t="s">
        <x:v>482</x:v>
      </x:c>
      <x:c r="U61" s="157"/>
      <x:c r="V61" s="157"/>
      <x:c r="W61" s="157"/>
      <x:c r="X61" s="157"/>
      <x:c r="Y61" s="157" t="s">
        <x:v>483</x:v>
      </x:c>
      <x:c r="Z61" s="155" t="e">
        <x:f>HYPERLINK("#'山海经原文总库'!A1300","查看对应原文段落")</x:f>
        <x:v>HYPERLINK is not implemented. linkLocation=#'山海经原文总库'!A1300, friendlyName=查看对应原文段落</x:v>
      </x:c>
      <x:c r="AA61" s="157"/>
      <x:c r="AB61" s="157"/>
      <x:c r="AC61" s="157"/>
      <x:c r="AD61" s="157"/>
      <x:c r="AE61" s="157"/>
      <x:c r="AF61" s="157"/>
      <x:c r="AG61" s="157"/>
      <x:c r="AH61" s="157" t="s">
        <x:v>484</x:v>
      </x:c>
      <x:c r="AI61" s="157" t="s">
        <x:v>485</x:v>
      </x:c>
      <x:c r="AJ61" s="157" t="s">
        <x:v>486</x:v>
      </x:c>
    </x:row>
    <x:row r="62" ht="111" customHeight="1">
      <x:c r="A62" s="152" t="s">
        <x:v>487</x:v>
      </x:c>
      <x:c r="B62" s="153" t="s">
        <x:v>488</x:v>
      </x:c>
      <x:c r="C62" s="157" t="s">
        <x:v>474</x:v>
      </x:c>
      <x:c r="D62" s="157" t="s">
        <x:v>457</x:v>
      </x:c>
      <x:c r="E62" s="157" t="s">
        <x:v>475</x:v>
      </x:c>
      <x:c r="F62" s="157" t="s">
        <x:v>93</x:v>
      </x:c>
      <x:c r="G62" s="157">
        <x:v>1360.1</x:v>
      </x:c>
      <x:c r="H62" s="157" t="s">
        <x:v>476</x:v>
      </x:c>
      <x:c r="I62" s="157" t="s">
        <x:v>477</x:v>
      </x:c>
      <x:c r="J62" s="157" t="s">
        <x:v>478</x:v>
      </x:c>
      <x:c r="K62" s="157" t="s">
        <x:v>479</x:v>
      </x:c>
      <x:c r="L62" s="157" t="s">
        <x:v>480</x:v>
      </x:c>
      <x:c r="M62" s="157" t="s">
        <x:v>481</x:v>
      </x:c>
      <x:c r="N62" s="157"/>
      <x:c r="O62" s="157"/>
      <x:c r="P62" s="157"/>
      <x:c r="Q62" s="157"/>
      <x:c r="R62" s="157"/>
      <x:c r="S62" s="157"/>
      <x:c r="T62" s="157" t="s">
        <x:v>489</x:v>
      </x:c>
      <x:c r="U62" s="157"/>
      <x:c r="V62" s="157"/>
      <x:c r="W62" s="157"/>
      <x:c r="X62" s="157"/>
      <x:c r="Y62" s="157" t="s">
        <x:v>490</x:v>
      </x:c>
      <x:c r="Z62" s="155" t="e">
        <x:f>HYPERLINK("#'山海经原文总库'!A1301","查看对应原文段落")</x:f>
        <x:v>HYPERLINK is not implemented. linkLocation=#'山海经原文总库'!A1301, friendlyName=查看对应原文段落</x:v>
      </x:c>
      <x:c r="AA62" s="157"/>
      <x:c r="AB62" s="157"/>
      <x:c r="AC62" s="157"/>
      <x:c r="AD62" s="157"/>
      <x:c r="AE62" s="157"/>
      <x:c r="AF62" s="157"/>
      <x:c r="AG62" s="157"/>
      <x:c r="AH62" s="157" t="s">
        <x:v>491</x:v>
      </x:c>
      <x:c r="AI62" s="157" t="s">
        <x:v>492</x:v>
      </x:c>
      <x:c r="AJ62" s="157" t="s">
        <x:v>486</x:v>
      </x:c>
    </x:row>
    <x:row r="63" ht="111" customHeight="1">
      <x:c r="A63" s="152" t="s">
        <x:v>493</x:v>
      </x:c>
      <x:c r="B63" s="153" t="s">
        <x:v>494</x:v>
      </x:c>
      <x:c r="C63" s="157" t="s">
        <x:v>474</x:v>
      </x:c>
      <x:c r="D63" s="157" t="s">
        <x:v>457</x:v>
      </x:c>
      <x:c r="E63" s="157" t="s">
        <x:v>475</x:v>
      </x:c>
      <x:c r="F63" s="157" t="s">
        <x:v>93</x:v>
      </x:c>
      <x:c r="G63" s="157">
        <x:v>1300</x:v>
      </x:c>
      <x:c r="H63" s="157" t="s">
        <x:v>476</x:v>
      </x:c>
      <x:c r="I63" s="157" t="s">
        <x:v>477</x:v>
      </x:c>
      <x:c r="J63" s="157" t="s">
        <x:v>478</x:v>
      </x:c>
      <x:c r="K63" s="157" t="s">
        <x:v>479</x:v>
      </x:c>
      <x:c r="L63" s="157" t="s">
        <x:v>480</x:v>
      </x:c>
      <x:c r="M63" s="157" t="s">
        <x:v>481</x:v>
      </x:c>
      <x:c r="N63" s="157"/>
      <x:c r="O63" s="157"/>
      <x:c r="P63" s="157"/>
      <x:c r="Q63" s="157"/>
      <x:c r="R63" s="157"/>
      <x:c r="S63" s="157"/>
      <x:c r="T63" s="157" t="s">
        <x:v>327</x:v>
      </x:c>
      <x:c r="U63" s="157"/>
      <x:c r="V63" s="157"/>
      <x:c r="W63" s="157"/>
      <x:c r="X63" s="157"/>
      <x:c r="Y63" s="157" t="s">
        <x:v>495</x:v>
      </x:c>
      <x:c r="Z63" s="155" t="e">
        <x:f>HYPERLINK("#'山海经原文总库'!A1302","查看对应原文段落")</x:f>
        <x:v>HYPERLINK is not implemented. linkLocation=#'山海经原文总库'!A1302, friendlyName=查看对应原文段落</x:v>
      </x:c>
      <x:c r="AA63" s="157" t="s">
        <x:v>496</x:v>
      </x:c>
      <x:c r="AB63" s="157"/>
      <x:c r="AC63" s="157"/>
      <x:c r="AD63" s="157"/>
      <x:c r="AE63" s="157"/>
      <x:c r="AF63" s="157"/>
      <x:c r="AG63" s="157"/>
      <x:c r="AH63" s="157" t="s">
        <x:v>497</x:v>
      </x:c>
      <x:c r="AI63" s="157" t="s">
        <x:v>498</x:v>
      </x:c>
      <x:c r="AJ63" s="157" t="s">
        <x:v>486</x:v>
      </x:c>
    </x:row>
    <x:row r="64" ht="111" customHeight="1">
      <x:c r="A64" s="152" t="s">
        <x:v>499</x:v>
      </x:c>
      <x:c r="B64" s="153" t="s">
        <x:v>500</x:v>
      </x:c>
      <x:c r="C64" s="157" t="s">
        <x:v>474</x:v>
      </x:c>
      <x:c r="D64" s="157" t="s">
        <x:v>457</x:v>
      </x:c>
      <x:c r="E64" s="157" t="s">
        <x:v>475</x:v>
      </x:c>
      <x:c r="F64" s="157" t="s">
        <x:v>93</x:v>
      </x:c>
      <x:c r="G64" s="157">
        <x:v>1264.9</x:v>
      </x:c>
      <x:c r="H64" s="157" t="s">
        <x:v>476</x:v>
      </x:c>
      <x:c r="I64" s="157" t="s">
        <x:v>477</x:v>
      </x:c>
      <x:c r="J64" s="157" t="s">
        <x:v>478</x:v>
      </x:c>
      <x:c r="K64" s="157" t="s">
        <x:v>479</x:v>
      </x:c>
      <x:c r="L64" s="157" t="s">
        <x:v>480</x:v>
      </x:c>
      <x:c r="M64" s="157" t="s">
        <x:v>481</x:v>
      </x:c>
      <x:c r="N64" s="157"/>
      <x:c r="O64" s="157"/>
      <x:c r="P64" s="157"/>
      <x:c r="Q64" s="157"/>
      <x:c r="R64" s="157"/>
      <x:c r="S64" s="157"/>
      <x:c r="T64" s="157" t="s">
        <x:v>316</x:v>
      </x:c>
      <x:c r="U64" s="157"/>
      <x:c r="V64" s="157"/>
      <x:c r="W64" s="157"/>
      <x:c r="X64" s="157"/>
      <x:c r="Y64" s="157" t="s">
        <x:v>501</x:v>
      </x:c>
      <x:c r="Z64" s="155" t="e">
        <x:f>HYPERLINK("#'山海经原文总库'!A1303","查看对应原文段落")</x:f>
        <x:v>HYPERLINK is not implemented. linkLocation=#'山海经原文总库'!A1303, friendlyName=查看对应原文段落</x:v>
      </x:c>
      <x:c r="AA64" s="157" t="s">
        <x:v>502</x:v>
      </x:c>
      <x:c r="AB64" s="157"/>
      <x:c r="AC64" s="157"/>
      <x:c r="AD64" s="157"/>
      <x:c r="AE64" s="157"/>
      <x:c r="AF64" s="157"/>
      <x:c r="AG64" s="157"/>
      <x:c r="AH64" s="157" t="s">
        <x:v>503</x:v>
      </x:c>
      <x:c r="AI64" s="157" t="s">
        <x:v>504</x:v>
      </x:c>
      <x:c r="AJ64" s="157" t="s">
        <x:v>486</x:v>
      </x:c>
    </x:row>
    <x:row r="65" ht="111" customHeight="1">
      <x:c r="A65" s="152" t="s">
        <x:v>505</x:v>
      </x:c>
      <x:c r="B65" s="153" t="s">
        <x:v>506</x:v>
      </x:c>
      <x:c r="C65" s="157" t="s">
        <x:v>507</x:v>
      </x:c>
      <x:c r="D65" s="157" t="s">
        <x:v>457</x:v>
      </x:c>
      <x:c r="E65" s="157" t="s">
        <x:v>508</x:v>
      </x:c>
      <x:c r="F65" s="157" t="s">
        <x:v>93</x:v>
      </x:c>
      <x:c r="G65" s="157">
        <x:v>1079.4</x:v>
      </x:c>
      <x:c r="H65" s="157" t="s">
        <x:v>509</x:v>
      </x:c>
      <x:c r="I65" s="157" t="s">
        <x:v>510</x:v>
      </x:c>
      <x:c r="J65" s="157" t="s">
        <x:v>511</x:v>
      </x:c>
      <x:c r="K65" s="157" t="str">
        <x:v>深度锁定；与昆仑南渊高强度同地候选，未合并
V024：阳污山—凌门山—王子夜之尸—河大泽模块已接入同一主格，空间方向与距离仍未锁。
V025：冰夷已独立拆分为R138，本行继续保留深渊主体。</x:v>
      </x:c>
      <x:c r="L65" s="157" t="s">
        <x:v>512</x:v>
      </x:c>
      <x:c r="M65" s="157" t="s">
        <x:v>513</x:v>
      </x:c>
      <x:c r="N65" s="157" t="s">
        <x:v>514</x:v>
      </x:c>
      <x:c r="O65" s="157"/>
      <x:c r="P65" s="157"/>
      <x:c r="Q65" s="157"/>
      <x:c r="R65" s="157"/>
      <x:c r="S65" s="157"/>
      <x:c r="T65" s="157" t="s">
        <x:v>515</x:v>
      </x:c>
      <x:c r="U65" s="157" t="s">
        <x:v>516</x:v>
      </x:c>
      <x:c r="V65" s="157"/>
      <x:c r="W65" s="157" t="s">
        <x:v>517</x:v>
      </x:c>
      <x:c r="X65" s="157" t="s">
        <x:v>518</x:v>
      </x:c>
      <x:c r="Y65" s="157" t="s">
        <x:v>519</x:v>
      </x:c>
      <x:c r="Z65" s="155" t="e">
        <x:f>HYPERLINK("#'山海经原文总库'!A1311","查看对应原文段落")</x:f>
        <x:v>HYPERLINK is not implemented. linkLocation=#'山海经原文总库'!A1311, friendlyName=查看对应原文段落</x:v>
      </x:c>
      <x:c r="AA65" s="157" t="s">
        <x:v>520</x:v>
      </x:c>
      <x:c r="AB65" s="157" t="s">
        <x:v>521</x:v>
      </x:c>
      <x:c r="AC65" s="157"/>
      <x:c r="AD65" s="157" t="s">
        <x:v>522</x:v>
      </x:c>
      <x:c r="AE65" s="157" t="s">
        <x:v>523</x:v>
      </x:c>
      <x:c r="AF65" s="157"/>
      <x:c r="AG65" s="157"/>
      <x:c r="AH65" s="157" t="s">
        <x:v>524</x:v>
      </x:c>
      <x:c r="AI65" s="157" t="str">
        <x:v>与昆仑南渊同为深300仞，且位于昆仑南侧语境，暂叠置(-1050,+250)。
V024沿《海内北经》连续段落扩充同域对象；仅共享主格，不把文本先后转换为实际里数。</x:v>
      </x:c>
      <x:c r="AJ65" s="157" t="s">
        <x:v>471</x:v>
      </x:c>
    </x:row>
    <x:row r="66" ht="127.5" customHeight="1">
      <x:c r="A66" s="593" t="str">
        <x:v>X=-1050里，Y=+650里（-10.5，+6.5格）</x:v>
      </x:c>
      <x:c r="B66" s="594" t="str">
        <x:v>木禾（昆仑顶）</x:v>
      </x:c>
      <x:c r="C66" s="592" t="str">
        <x:v>神木／木禾</x:v>
      </x:c>
      <x:c r="D66" s="592" t="str">
        <x:v>《海内西经》</x:v>
      </x:c>
      <x:c r="E66" s="592" t="str">
        <x:v>海内昆仑之虚／顶部</x:v>
      </x:c>
      <x:c r="F66" s="592" t="str">
        <x:v>西北</x:v>
      </x:c>
      <x:c r="G66" s="595" t="n">
        <x:v>1234.9</x:v>
      </x:c>
      <x:c r="H66" s="592" t="str">
        <x:v>直接参照地：海内昆仑之虚
原文关系：昆仑之虚上有木禾，长五寻，大五围</x:v>
      </x:c>
      <x:c r="I66" s="592" t="str">
        <x:v>昆仑方八百里；木禾长五寻、大五围</x:v>
      </x:c>
      <x:c r="J66" s="592" t="str">
        <x:v>原文包含关系＋模块中心锚定</x:v>
      </x:c>
      <x:c r="K66" s="592" t="str">
        <x:v>顶部关系锁定；平面坐标与昆仑中心重合</x:v>
      </x:c>
      <x:c r="L66" s="592" t="str">
        <x:v>昆仑方域内部；垂直层对象</x:v>
      </x:c>
      <x:c r="M66" s="592" t="str">
        <x:v>昆仑顶部</x:v>
      </x:c>
      <x:c r="N66" s="592"/>
      <x:c r="O66" s="592" t="str">
        <x:v>木禾</x:v>
      </x:c>
      <x:c r="P66" s="592"/>
      <x:c r="Q66" s="592"/>
      <x:c r="R66" s="592"/>
      <x:c r="S66" s="592"/>
      <x:c r="T66" s="592"/>
      <x:c r="U66" s="592"/>
      <x:c r="V66" s="592"/>
      <x:c r="W66" s="592" t="str">
        <x:v>长五寻，大五围</x:v>
      </x:c>
      <x:c r="X66" s="592" t="str">
        <x:v>位于帝之下都顶部</x:v>
      </x:c>
      <x:c r="Y66" s="592"/>
      <x:c r="Z66" s="596" t="e">
        <x:f>HYPERLINK("#'山海经原文总库'!A1256","查看对应原文段落")</x:f>
        <x:v>HYPERLINK is not implemented. linkLocation=#'山海经原文总库'!A1256, friendlyName=查看对应原文段落</x:v>
      </x:c>
      <x:c r="AA66" s="592" t="str">
        <x:v>开明北段再次出现木禾；可能属于同一昆仑神木系统，不另设第二坐标。</x:v>
      </x:c>
      <x:c r="AB66" s="592" t="str">
        <x:v>郭璞注（《水经注》引）：此自别有小昆仑也。</x:v>
      </x:c>
      <x:c r="AC66" s="592" t="str">
        <x:v>《淮南子·地形训》亦保存昆仑木禾与多种神木系统。</x:v>
      </x:c>
      <x:c r="AD66" s="592"/>
      <x:c r="AE66" s="592" t="str">
        <x:v>“木禾”可解释为神木化禾谷或巨型谷物意象；本表不落实为现实物种。</x:v>
      </x:c>
      <x:c r="AF66" s="592"/>
      <x:c r="AG66" s="592"/>
      <x:c r="AH66" s="592" t="str">
        <x:v>不等同后世蟠桃树。</x:v>
      </x:c>
      <x:c r="AI66" s="592" t="str">
        <x:v>木禾是昆仑垂直结构，不产生新的水平里数；代表坐标与昆仑中心重合。</x:v>
      </x:c>
      <x:c r="AJ66" s="592" t="str">
        <x:v>https://ctext.org/shan-hai-jing/hai-nei-xi-jing/zh
https://zh.wikisource.org/zh-hans/山海經_(四庫全書本)/卷11</x:v>
      </x:c>
    </x:row>
    <x:row r="67" ht="127.5" customHeight="1">
      <x:c r="A67" s="593" t="str">
        <x:v>X=-1050里，Y=+650里（-10.5，+6.5格）</x:v>
      </x:c>
      <x:c r="B67" s="594" t="str">
        <x:v>昆仑九井（整体）</x:v>
      </x:c>
      <x:c r="C67" s="592" t="str">
        <x:v>井群／内部设施</x:v>
      </x:c>
      <x:c r="D67" s="592" t="str">
        <x:v>《海内西经》</x:v>
      </x:c>
      <x:c r="E67" s="592" t="str">
        <x:v>海内昆仑之虚／四面结构</x:v>
      </x:c>
      <x:c r="F67" s="592" t="str">
        <x:v>西北</x:v>
      </x:c>
      <x:c r="G67" s="595" t="n">
        <x:v>1234.9</x:v>
      </x:c>
      <x:c r="H67" s="592" t="str">
        <x:v>直接参照地：海内昆仑之虚
原文关系：面有九井，以玉为槛</x:v>
      </x:c>
      <x:c r="I67" s="592" t="str">
        <x:v>昆仑方八百里；井数九</x:v>
      </x:c>
      <x:c r="J67" s="592" t="str">
        <x:v>原文数量＋包含关系；模块中心代表位</x:v>
      </x:c>
      <x:c r="K67" s="592" t="str">
        <x:v>数量与昆仑内部关系锁定；具体排列未锁</x:v>
      </x:c>
      <x:c r="L67" s="592" t="str">
        <x:v>昆仑方域四面井群；不强行判定总数九或四面各九</x:v>
      </x:c>
      <x:c r="M67" s="592" t="str">
        <x:v>昆仑内部井群</x:v>
      </x:c>
      <x:c r="N67" s="592" t="str">
        <x:v>九井</x:v>
      </x:c>
      <x:c r="O67" s="592"/>
      <x:c r="P67" s="592"/>
      <x:c r="Q67" s="592" t="str">
        <x:v>玉槛</x:v>
      </x:c>
      <x:c r="R67" s="592"/>
      <x:c r="S67" s="592"/>
      <x:c r="T67" s="592"/>
      <x:c r="U67" s="592"/>
      <x:c r="V67" s="592"/>
      <x:c r="W67" s="592" t="str">
        <x:v>九井以玉为栏槛</x:v>
      </x:c>
      <x:c r="X67" s="592"/>
      <x:c r="Y67" s="592"/>
      <x:c r="Z67" s="596" t="e">
        <x:f>HYPERLINK("#'山海经原文总库'!A1257","查看对应原文段落")</x:f>
        <x:v>HYPERLINK is not implemented. linkLocation=#'山海经原文总库'!A1257, friendlyName=查看对应原文段落</x:v>
      </x:c>
      <x:c r="AA67" s="592"/>
      <x:c r="AB67" s="592" t="str">
        <x:v>郭璞注（《水经注》引）：此自别有小昆仑也。</x:v>
      </x:c>
      <x:c r="AC67" s="592"/>
      <x:c r="AD67" s="592"/>
      <x:c r="AE67" s="592" t="str">
        <x:v>“面有九井”的“面”可理解为山体表面或各面；证据不足以在棋盘上拆成三十六口井。</x:v>
      </x:c>
      <x:c r="AF67" s="592"/>
      <x:c r="AG67" s="592"/>
      <x:c r="AH67" s="592"/>
      <x:c r="AI67" s="592" t="str">
        <x:v>以昆仑中心作为井群索引坐标；对象范围覆盖昆仑内部，不把九井压缩为一口井。</x:v>
      </x:c>
      <x:c r="AJ67" s="592" t="str">
        <x:v>https://ctext.org/shan-hai-jing/hai-nei-xi-jing/zh
https://zh.wikisource.org/zh-hans/山海經_(四庫全書本)/卷11</x:v>
      </x:c>
    </x:row>
    <x:row r="68" ht="127.5" customHeight="1">
      <x:c r="A68" s="593" t="str">
        <x:v>X=-1050里，Y=+650里（-10.5，+6.5格）</x:v>
      </x:c>
      <x:c r="B68" s="594" t="str">
        <x:v>昆仑九门（整体）</x:v>
      </x:c>
      <x:c r="C68" s="592" t="str">
        <x:v>门群／入口系统</x:v>
      </x:c>
      <x:c r="D68" s="592" t="str">
        <x:v>《海内西经》</x:v>
      </x:c>
      <x:c r="E68" s="592" t="str">
        <x:v>海内昆仑之虚／四面结构</x:v>
      </x:c>
      <x:c r="F68" s="592" t="str">
        <x:v>西北</x:v>
      </x:c>
      <x:c r="G68" s="595" t="n">
        <x:v>1234.9</x:v>
      </x:c>
      <x:c r="H68" s="592" t="str">
        <x:v>直接参照地：海内昆仑之虚；开明兽
原文关系：面有九门，门有开明兽守之，百神之所在</x:v>
      </x:c>
      <x:c r="I68" s="592" t="str">
        <x:v>昆仑方八百里；门数九</x:v>
      </x:c>
      <x:c r="J68" s="592" t="str">
        <x:v>原文数量＋包含关系；模块中心代表位</x:v>
      </x:c>
      <x:c r="K68" s="592" t="str">
        <x:v>数量与守门关系锁定；具体排列未锁</x:v>
      </x:c>
      <x:c r="L68" s="592" t="str">
        <x:v>昆仑方域四面入口系统</x:v>
      </x:c>
      <x:c r="M68" s="592" t="str">
        <x:v>昆仑门域</x:v>
      </x:c>
      <x:c r="N68" s="592"/>
      <x:c r="O68" s="592"/>
      <x:c r="P68" s="592"/>
      <x:c r="Q68" s="592"/>
      <x:c r="R68" s="592"/>
      <x:c r="S68" s="592" t="str">
        <x:v>开明兽守门</x:v>
      </x:c>
      <x:c r="T68" s="592"/>
      <x:c r="U68" s="592" t="str">
        <x:v>百神</x:v>
      </x:c>
      <x:c r="V68" s="592"/>
      <x:c r="W68" s="592" t="str">
        <x:v>九门分布于昆仑之面</x:v>
      </x:c>
      <x:c r="X68" s="592" t="str">
        <x:v>百神所在的出入口系统</x:v>
      </x:c>
      <x:c r="Y68" s="592"/>
      <x:c r="Z68" s="596" t="e">
        <x:f>HYPERLINK("#'山海经原文总库'!A1258","查看对应原文段落")</x:f>
        <x:v>HYPERLINK is not implemented. linkLocation=#'山海经原文总库'!A1258, friendlyName=查看对应原文段落</x:v>
      </x:c>
      <x:c r="AA68" s="592"/>
      <x:c r="AB68" s="592" t="str">
        <x:v>郭璞注（《水经注》引）：此自别有小昆仑也。</x:v>
      </x:c>
      <x:c r="AC68" s="592"/>
      <x:c r="AD68" s="592"/>
      <x:c r="AE68" s="592" t="str">
        <x:v>正文没有提供九门之间的里数、朝向或逐门名称。</x:v>
      </x:c>
      <x:c r="AF68" s="592"/>
      <x:c r="AG68" s="592"/>
      <x:c r="AH68" s="592" t="str">
        <x:v>不能据后世仙宫门制补造门名。</x:v>
      </x:c>
      <x:c r="AI68" s="592" t="str">
        <x:v>以昆仑中心登记九门整体；棋盘不虚构九个独立门位。</x:v>
      </x:c>
      <x:c r="AJ68" s="592" t="str">
        <x:v>https://ctext.org/shan-hai-jing/hai-nei-xi-jing/zh
https://zh.wikisource.org/zh-hans/山海經_(四庫全書本)/卷11</x:v>
      </x:c>
    </x:row>
    <x:row r="69" ht="127.5" customHeight="1">
      <x:c r="A69" s="593" t="str">
        <x:v>X=-1050里，Y=+650里（-10.5，+6.5格）</x:v>
      </x:c>
      <x:c r="B69" s="594" t="str">
        <x:v>开明兽（昆仑九门守）</x:v>
      </x:c>
      <x:c r="C69" s="592" t="str">
        <x:v>神兽／门守</x:v>
      </x:c>
      <x:c r="D69" s="592" t="str">
        <x:v>《海内西经》</x:v>
      </x:c>
      <x:c r="E69" s="592" t="str">
        <x:v>海内昆仑之虚／九门</x:v>
      </x:c>
      <x:c r="F69" s="592" t="str">
        <x:v>西北</x:v>
      </x:c>
      <x:c r="G69" s="595" t="n">
        <x:v>1234.9</x:v>
      </x:c>
      <x:c r="H69" s="592" t="str">
        <x:v>直接参照地：昆仑九门；昆仑南渊
原文关系：门有开明兽守之；又记东向立昆仑上</x:v>
      </x:c>
      <x:c r="I69" s="592" t="str">
        <x:v>无里数；东向</x:v>
      </x:c>
      <x:c r="J69" s="592" t="str">
        <x:v>原文包含与朝向关系；模块中心锚定</x:v>
      </x:c>
      <x:c r="K69" s="592" t="str">
        <x:v>守门关系与东向锁定；个体数量未锁</x:v>
      </x:c>
      <x:c r="L69" s="592" t="str">
        <x:v>昆仑九门／昆仑上</x:v>
      </x:c>
      <x:c r="M69" s="592" t="str">
        <x:v>昆仑山上</x:v>
      </x:c>
      <x:c r="N69" s="592"/>
      <x:c r="O69" s="592"/>
      <x:c r="P69" s="592"/>
      <x:c r="Q69" s="592"/>
      <x:c r="R69" s="592"/>
      <x:c r="S69" s="592" t="str">
        <x:v>开明兽</x:v>
      </x:c>
      <x:c r="T69" s="592"/>
      <x:c r="U69" s="592"/>
      <x:c r="V69" s="592"/>
      <x:c r="W69" s="592" t="str">
        <x:v>身大类虎而九首，皆人面，东向而立</x:v>
      </x:c>
      <x:c r="X69" s="592" t="str">
        <x:v>守昆仑九门</x:v>
      </x:c>
      <x:c r="Y69" s="592"/>
      <x:c r="Z69" s="596" t="e">
        <x:f>HYPERLINK("#'山海经原文总库'!A1273","查看对应原文段落")</x:f>
        <x:v>HYPERLINK is not implemented. linkLocation=#'山海经原文总库'!A1273, friendlyName=查看对应原文段落</x:v>
      </x:c>
      <x:c r="AA69" s="592" t="str">
        <x:v>“门有开明兽”可能指一类门守；“九首、皆人面”又可描述一个复合神兽。两段是否单体与群体关系未定。</x:v>
      </x:c>
      <x:c r="AB69" s="592"/>
      <x:c r="AC69" s="592"/>
      <x:c r="AD69" s="592"/>
      <x:c r="AE69" s="592" t="str">
        <x:v>通常被解释为昆仑门神或守门神兽。</x:v>
      </x:c>
      <x:c r="AF69" s="592"/>
      <x:c r="AG69" s="592"/>
      <x:c r="AH69" s="592" t="str">
        <x:v>不能据九首直接推定九门各对应一首。</x:v>
      </x:c>
      <x:c r="AI69" s="592" t="str">
        <x:v>开明作为四向关系的参照锚点，与昆仑中心共享代表坐标；其西、北、东、南各按一格最小邻接展开。</x:v>
      </x:c>
      <x:c r="AJ69" s="592" t="str">
        <x:v>https://ctext.org/shan-hai-jing/hai-nei-xi-jing/zh
https://zh.wikisource.org/zh-hans/山海經_(四庫全書本)/卷11</x:v>
      </x:c>
    </x:row>
    <x:row r="70" ht="127.5" customHeight="1">
      <x:c r="A70" s="593" t="str">
        <x:v>X=-650里，Y=+250里（-6.5，+2.5格）</x:v>
      </x:c>
      <x:c r="B70" s="594" t="str">
        <x:v>昆仑八隅之岩／赤水之际</x:v>
      </x:c>
      <x:c r="C70" s="592" t="str">
        <x:v>岩隅／水际入口</x:v>
      </x:c>
      <x:c r="D70" s="592" t="str">
        <x:v>《海内西经》</x:v>
      </x:c>
      <x:c r="E70" s="592" t="str">
        <x:v>海内昆仑之虚／东南赤水接口</x:v>
      </x:c>
      <x:c r="F70" s="592" t="str">
        <x:v>西北</x:v>
      </x:c>
      <x:c r="G70" s="595" t="n">
        <x:v>696.4</x:v>
      </x:c>
      <x:c r="H70" s="592" t="str">
        <x:v>直接参照地：海内昆仑之虚；赤水（昆仑源段）
原文关系：在八隅之岩、赤水之际；非仁羿莫能上冈之岩</x:v>
      </x:c>
      <x:c r="I70" s="592" t="str">
        <x:v>昆仑方八百里；无独立里数</x:v>
      </x:c>
      <x:c r="J70" s="592" t="str">
        <x:v>原文赤水邻接＋模块东南角代表布局</x:v>
      </x:c>
      <x:c r="K70" s="592" t="str">
        <x:v>赤水邻接锁定；八隅整体范围未锁</x:v>
      </x:c>
      <x:c r="L70" s="592" t="str">
        <x:v>昆仑八隅／周缘岩带；代表点取东南赤水源角</x:v>
      </x:c>
      <x:c r="M70" s="592" t="str">
        <x:v>冈岩／山体边缘</x:v>
      </x:c>
      <x:c r="N70" s="592" t="str">
        <x:v>赤水之际</x:v>
      </x:c>
      <x:c r="O70" s="592"/>
      <x:c r="P70" s="592"/>
      <x:c r="Q70" s="592"/>
      <x:c r="R70" s="592"/>
      <x:c r="S70" s="592"/>
      <x:c r="T70" s="592" t="str">
        <x:v>仁羿</x:v>
      </x:c>
      <x:c r="U70" s="592"/>
      <x:c r="V70" s="592"/>
      <x:c r="W70" s="592"/>
      <x:c r="X70" s="592" t="str">
        <x:v>非仁羿莫能上</x:v>
      </x:c>
      <x:c r="Y70" s="592" t="str">
        <x:v>昆仑登临界面</x:v>
      </x:c>
      <x:c r="Z70" s="596" t="e">
        <x:f>HYPERLINK("#'山海经原文总库'!A1260","查看对应原文段落")</x:f>
        <x:v>HYPERLINK is not implemented. linkLocation=#'山海经原文总库'!A1260, friendlyName=查看对应原文段落</x:v>
      </x:c>
      <x:c r="AA70" s="592"/>
      <x:c r="AB70" s="592"/>
      <x:c r="AC70" s="592"/>
      <x:c r="AD70" s="592"/>
      <x:c r="AE70" s="592" t="str">
        <x:v>“八隅”是山体周缘结构，不应缩成一个点；代表坐标只表达与赤水源角的直接接口。</x:v>
      </x:c>
      <x:c r="AF70" s="592"/>
      <x:c r="AG70" s="592"/>
      <x:c r="AH70" s="592"/>
      <x:c r="AI70" s="592" t="str">
        <x:v>赤水已锁在昆仑东南隅，故本对象的代表点与赤水源段重合；八隅范围仍覆盖昆仑周缘。</x:v>
      </x:c>
      <x:c r="AJ70" s="592" t="str">
        <x:v>https://ctext.org/shan-hai-jing/hai-nei-xi-jing/zh
https://zh.wikisource.org/zh-hans/山海經_(四庫全書本)/卷11</x:v>
      </x:c>
    </x:row>
    <x:row r="71" ht="127.5" customHeight="1">
      <x:c r="A71" s="593" t="str">
        <x:v>X=-1150里，Y=+650里（-11.5，+6.5格）</x:v>
      </x:c>
      <x:c r="B71" s="594" t="str">
        <x:v>开明西神鸟区</x:v>
      </x:c>
      <x:c r="C71" s="592" t="str">
        <x:v>方位区／神鸟</x:v>
      </x:c>
      <x:c r="D71" s="592" t="str">
        <x:v>《海内西经》</x:v>
      </x:c>
      <x:c r="E71" s="592" t="str">
        <x:v>海内昆仑之虚／开明西</x:v>
      </x:c>
      <x:c r="F71" s="592" t="str">
        <x:v>西北</x:v>
      </x:c>
      <x:c r="G71" s="595" t="n">
        <x:v>1321</x:v>
      </x:c>
      <x:c r="H71" s="592" t="str">
        <x:v>直接参照地：开明兽
原文方向：开明西有凤皇、鸾鸟</x:v>
      </x:c>
      <x:c r="I71" s="592" t="str">
        <x:v>无里数</x:v>
      </x:c>
      <x:c r="J71" s="592" t="str">
        <x:v>原文方向＋最小邻接布局</x:v>
      </x:c>
      <x:c r="K71" s="592" t="str">
        <x:v>西向关系锁定；距离推定
V022：原方向／拓扑保留；旧100里最小邻接降级为历史排版坐标，不作为文本距离证据</x:v>
      </x:c>
      <x:c r="L71" s="592" t="str">
        <x:v>100×100里代表格；不代表神鸟活动边界</x:v>
      </x:c>
      <x:c r="M71" s="592" t="str">
        <x:v>昆仑内部西侧</x:v>
      </x:c>
      <x:c r="N71" s="592"/>
      <x:c r="O71" s="592"/>
      <x:c r="P71" s="592" t="str">
        <x:v>凤皇、鸾鸟；戴蛇、践蛇，膺有赤蛇</x:v>
      </x:c>
      <x:c r="Q71" s="592"/>
      <x:c r="R71" s="592"/>
      <x:c r="S71" s="592"/>
      <x:c r="T71" s="592"/>
      <x:c r="U71" s="592"/>
      <x:c r="V71" s="592"/>
      <x:c r="W71" s="592" t="str">
        <x:v>神鸟与蛇形成复合佩戴、踏行结构</x:v>
      </x:c>
      <x:c r="X71" s="592"/>
      <x:c r="Y71" s="592"/>
      <x:c r="Z71" s="596" t="e">
        <x:f>HYPERLINK("#'山海经原文总库'!A1274","查看对应原文段落")</x:f>
        <x:v>HYPERLINK is not implemented. linkLocation=#'山海经原文总库'!A1274, friendlyName=查看对应原文段落</x:v>
      </x:c>
      <x:c r="AA71" s="592" t="str">
        <x:v>开明北亦见凤皇、鸾鸟载瞂；可能为同群活动范围的另一段描写。</x:v>
      </x:c>
      <x:c r="AB71" s="592"/>
      <x:c r="AC71" s="592"/>
      <x:c r="AD71" s="592"/>
      <x:c r="AE71" s="592"/>
      <x:c r="AF71" s="592"/>
      <x:c r="AG71" s="592"/>
      <x:c r="AH71" s="592" t="str">
        <x:v>无原文里数时，不得把当前坐标差直接解释为真实相距100里。</x:v>
      </x:c>
      <x:c r="AI71" s="592" t="str">
        <x:v>开明锚点为(-1050,+650)，西向无里数按最小邻接100里置(-1150,+650)。</x:v>
      </x:c>
      <x:c r="AJ71" s="592" t="str">
        <x:v>https://ctext.org/shan-hai-jing/hai-nei-xi-jing/zh
https://zh.wikisource.org/zh-hans/山海經_(四庫全書本)/卷11</x:v>
      </x:c>
    </x:row>
    <x:row r="72" ht="127.5" customHeight="1">
      <x:c r="A72" s="593" t="str">
        <x:v>X=-1050里，Y=+750里（-10.5，+7.5格）</x:v>
      </x:c>
      <x:c r="B72" s="594" t="str">
        <x:v>开明北神木灵物区</x:v>
      </x:c>
      <x:c r="C72" s="592" t="str">
        <x:v>方位区／神木群</x:v>
      </x:c>
      <x:c r="D72" s="592" t="str">
        <x:v>《海内西经》</x:v>
      </x:c>
      <x:c r="E72" s="592" t="str">
        <x:v>海内昆仑之虚／开明北</x:v>
      </x:c>
      <x:c r="F72" s="592" t="str">
        <x:v>西北</x:v>
      </x:c>
      <x:c r="G72" s="595" t="n">
        <x:v>1290.3</x:v>
      </x:c>
      <x:c r="H72" s="592" t="str">
        <x:v>直接参照地：开明兽
原文方向：开明北有视肉、珠树、文玉树、玗琪树、不死树等</x:v>
      </x:c>
      <x:c r="I72" s="592" t="str">
        <x:v>无里数</x:v>
      </x:c>
      <x:c r="J72" s="592" t="str">
        <x:v>原文方向＋最小邻接布局</x:v>
      </x:c>
      <x:c r="K72" s="592" t="str">
        <x:v>北向关系锁定；内部次序与距离未锁
V022：原方向／拓扑保留；旧100里最小邻接降级为历史排版坐标，不作为文本距离证据</x:v>
      </x:c>
      <x:c r="L72" s="592" t="str">
        <x:v>100×100里代表格；内容为昆仑北侧复合区</x:v>
      </x:c>
      <x:c r="M72" s="592" t="str">
        <x:v>昆仑内部北侧</x:v>
      </x:c>
      <x:c r="N72" s="592" t="str">
        <x:v>甘水</x:v>
      </x:c>
      <x:c r="O72" s="592" t="str">
        <x:v>珠树、文玉树、玗琪树、不死树、木禾、柏树、圣木曼兑／挺木牙交</x:v>
      </x:c>
      <x:c r="P72" s="592" t="str">
        <x:v>凤皇、鸾鸟载瞂</x:v>
      </x:c>
      <x:c r="Q72" s="592"/>
      <x:c r="R72" s="592"/>
      <x:c r="S72" s="592" t="str">
        <x:v>视肉、离朱</x:v>
      </x:c>
      <x:c r="T72" s="592"/>
      <x:c r="U72" s="592"/>
      <x:c r="V72" s="592"/>
      <x:c r="W72" s="592"/>
      <x:c r="X72" s="592"/>
      <x:c r="Y72" s="592"/>
      <x:c r="Z72" s="596" t="e">
        <x:f>HYPERLINK("#'山海经原文总库'!A1275","查看对应原文段落")</x:f>
        <x:v>HYPERLINK is not implemented. linkLocation=#'山海经原文总库'!A1275, friendlyName=查看对应原文段落</x:v>
      </x:c>
      <x:c r="AA72" s="592" t="str">
        <x:v>木禾又见昆仑顶部；视肉又见开明南。保留同一昆仑内部多点出现的可能。</x:v>
      </x:c>
      <x:c r="AB72" s="592"/>
      <x:c r="AC72" s="592"/>
      <x:c r="AD72" s="592" t="str">
        <x:v>圣木曼兑，一曰挺木牙交</x:v>
      </x:c>
      <x:c r="AE72" s="592" t="str">
        <x:v>这是神木、水体与灵物并存的复合区，原文没有给出它们彼此的排列。</x:v>
      </x:c>
      <x:c r="AF72" s="592"/>
      <x:c r="AG72" s="592"/>
      <x:c r="AH72" s="592" t="str">
        <x:v>无原文里数时，不得把当前坐标差直接解释为真实相距100里。</x:v>
      </x:c>
      <x:c r="AI72" s="592" t="str">
        <x:v>开明锚点向北按最小邻接100里置(-1050,+750)，只锁定整体方位。</x:v>
      </x:c>
      <x:c r="AJ72" s="592" t="str">
        <x:v>https://ctext.org/shan-hai-jing/hai-nei-xi-jing/zh
https://zh.wikisource.org/zh-hans/山海經_(四庫全書本)/卷11</x:v>
      </x:c>
    </x:row>
    <x:row r="73" ht="127.5" customHeight="1">
      <x:c r="A73" s="593" t="str">
        <x:v>X=-950里，Y=+650里（-9.5，+6.5格）</x:v>
      </x:c>
      <x:c r="B73" s="594" t="str">
        <x:v>开明东六巫复生区</x:v>
      </x:c>
      <x:c r="C73" s="592" t="str">
        <x:v>事件区／巫医仪式</x:v>
      </x:c>
      <x:c r="D73" s="592" t="str">
        <x:v>《海内西经》</x:v>
      </x:c>
      <x:c r="E73" s="592" t="str">
        <x:v>海内昆仑之虚／开明东</x:v>
      </x:c>
      <x:c r="F73" s="592" t="str">
        <x:v>西北</x:v>
      </x:c>
      <x:c r="G73" s="595" t="n">
        <x:v>1151.1</x:v>
      </x:c>
      <x:c r="H73" s="592" t="str">
        <x:v>直接参照地：开明兽；窫窳之尸
原文方向：开明东有六巫夹窫窳之尸</x:v>
      </x:c>
      <x:c r="I73" s="592" t="str">
        <x:v>无里数</x:v>
      </x:c>
      <x:c r="J73" s="592" t="str">
        <x:v>原文方向＋事件包含关系＋最小邻接布局</x:v>
      </x:c>
      <x:c r="K73" s="592" t="str">
        <x:v>东向关系与六巫事件锁定；距离推定
V022：原方向／拓扑保留；旧100里最小邻接降级为历史排版坐标，不作为文本距离证据</x:v>
      </x:c>
      <x:c r="L73" s="592" t="str">
        <x:v>100×100里仪式代表格</x:v>
      </x:c>
      <x:c r="M73" s="592" t="str">
        <x:v>昆仑内部东侧</x:v>
      </x:c>
      <x:c r="N73" s="592"/>
      <x:c r="O73" s="592"/>
      <x:c r="P73" s="592"/>
      <x:c r="Q73" s="592"/>
      <x:c r="R73" s="592"/>
      <x:c r="S73" s="592" t="str">
        <x:v>窫窳之尸：蛇身人面</x:v>
      </x:c>
      <x:c r="T73" s="592" t="str">
        <x:v>巫彭、巫抵、巫阳、巫履、巫凡、巫相</x:v>
      </x:c>
      <x:c r="U73" s="592"/>
      <x:c r="V73" s="592"/>
      <x:c r="W73" s="592"/>
      <x:c r="X73" s="592" t="str">
        <x:v>皆操不死之药以距死气</x:v>
      </x:c>
      <x:c r="Y73" s="592" t="str">
        <x:v>六巫夹窫窳之尸，求其更生</x:v>
      </x:c>
      <x:c r="Z73" s="596" t="e">
        <x:f>HYPERLINK("#'山海经原文总库'!A1277","查看对应原文段落")</x:f>
        <x:v>HYPERLINK is not implemented. linkLocation=#'山海经原文总库'!A1277, friendlyName=查看对应原文段落</x:v>
      </x:c>
      <x:c r="AA73" s="592"/>
      <x:c r="AB73" s="592" t="str">
        <x:v>郭璞注：六巫“皆神医也”；“为距却死气，求更生”。</x:v>
      </x:c>
      <x:c r="AC73" s="592" t="str">
        <x:v>郭注引《世本》“巫彭作医”，并引《楚辞·招魂》“帝告巫阳”。</x:v>
      </x:c>
      <x:c r="AD73" s="592"/>
      <x:c r="AE73" s="592" t="str">
        <x:v>六巫与灵山十巫名单有关但不完全相同，现阶段不合并为同一批人。</x:v>
      </x:c>
      <x:c r="AF73" s="592"/>
      <x:c r="AG73" s="592"/>
      <x:c r="AH73" s="592" t="str">
        <x:v>原文是六巫到场，不是灵山十巫全部参与。
无原文里数时，不得把当前坐标差直接解释为真实相距100里。</x:v>
      </x:c>
      <x:c r="AI73" s="592" t="str">
        <x:v>开明锚点向东按最小邻接100里置(-950,+650)；窫窳尸与仪式区共享坐标。</x:v>
      </x:c>
      <x:c r="AJ73" s="592" t="str">
        <x:v>https://ctext.org/shan-hai-jing/hai-nei-xi-jing/zh
https://zh.wikisource.org/zh-hans/山海經_(四庫全書本)/卷11</x:v>
      </x:c>
    </x:row>
    <x:row r="74" ht="127.5" customHeight="1">
      <x:c r="A74" s="593" t="str">
        <x:v>X=-1050里，Y=+550里（-10.5，+5.5格）</x:v>
      </x:c>
      <x:c r="B74" s="594" t="str">
        <x:v>开明南表池异兽区</x:v>
      </x:c>
      <x:c r="C74" s="592" t="str">
        <x:v>方位区／池泽生态</x:v>
      </x:c>
      <x:c r="D74" s="592" t="str">
        <x:v>《海内西经》</x:v>
      </x:c>
      <x:c r="E74" s="592" t="str">
        <x:v>海内昆仑之虚／开明南</x:v>
      </x:c>
      <x:c r="F74" s="592" t="str">
        <x:v>西北</x:v>
      </x:c>
      <x:c r="G74" s="595" t="n">
        <x:v>1185.3</x:v>
      </x:c>
      <x:c r="H74" s="592" t="str">
        <x:v>直接参照地：开明兽；表池
原文方向：开明南有树鸟六首及表池周边异兽、神木</x:v>
      </x:c>
      <x:c r="I74" s="592" t="str">
        <x:v>无里数</x:v>
      </x:c>
      <x:c r="J74" s="592" t="str">
        <x:v>原文方向＋最小邻接布局</x:v>
      </x:c>
      <x:c r="K74" s="592" t="str">
        <x:v>南向关系锁定；内部次序与距离未锁
V022：原方向／拓扑保留；旧100里最小邻接降级为历史排版坐标，不作为文本距离证据</x:v>
      </x:c>
      <x:c r="L74" s="592" t="str">
        <x:v>100×100里代表格；不等同昆仑南渊</x:v>
      </x:c>
      <x:c r="M74" s="592" t="str">
        <x:v>昆仑内部南侧池泽</x:v>
      </x:c>
      <x:c r="N74" s="592" t="str">
        <x:v>表池</x:v>
      </x:c>
      <x:c r="O74" s="592" t="str">
        <x:v>鸟秩树；表池周围树木</x:v>
      </x:c>
      <x:c r="P74" s="592" t="str">
        <x:v>树鸟（六首）、蛟、蝮、蛇、蜼、豹、诵鸟、鶽、视肉</x:v>
      </x:c>
      <x:c r="Q74" s="592"/>
      <x:c r="R74" s="592"/>
      <x:c r="S74" s="592"/>
      <x:c r="T74" s="592"/>
      <x:c r="U74" s="592"/>
      <x:c r="V74" s="592"/>
      <x:c r="W74" s="592" t="str">
        <x:v>池泽、列树与复合异兽共同构成南侧生态带</x:v>
      </x:c>
      <x:c r="X74" s="592"/>
      <x:c r="Y74" s="592"/>
      <x:c r="Z74" s="596" t="e">
        <x:f>HYPERLINK("#'山海经原文总库'!A1281","查看对应原文段落")</x:f>
        <x:v>HYPERLINK is not implemented. linkLocation=#'山海经原文总库'!A1281, friendlyName=查看对应原文段落</x:v>
      </x:c>
      <x:c r="AA74" s="592" t="str">
        <x:v>视肉亦见开明北；本表保留其在昆仑内部多点出现的可能。</x:v>
      </x:c>
      <x:c r="AB74" s="592" t="str">
        <x:v>郭璞注：“言列树以表池，即华池也”；蛟“似蛇四脚，龙类也”。</x:v>
      </x:c>
      <x:c r="AC74" s="592"/>
      <x:c r="AD74" s="592"/>
      <x:c r="AE74" s="592" t="str">
        <x:v>该段在v014原文总库中缺失；v015按《海内西经》原次序补回。</x:v>
      </x:c>
      <x:c r="AF74" s="592"/>
      <x:c r="AG74" s="592"/>
      <x:c r="AH74" s="592" t="str">
        <x:v>开明南与昆仑南渊仅共享南向语境，原文没有说二者同地。
无原文里数时，不得把当前坐标差直接解释为真实相距100里。</x:v>
      </x:c>
      <x:c r="AI74" s="592" t="str">
        <x:v>开明锚点向南按最小邻接100里置(-1050,+550)；不借文本相邻把表池并入南渊。</x:v>
      </x:c>
      <x:c r="AJ74" s="592" t="str">
        <x:v>https://ctext.org/shan-hai-jing/hai-nei-xi-jing/zh
https://zh.wikisource.org/zh-hans/山海經_(四庫全書本)/卷11</x:v>
      </x:c>
    </x:row>
    <x:row r="75" ht="72" customHeight="1">
      <x:c r="A75" s="606" t="str">
        <x:v>X=+314.1里，Y=-14.1里（+3.1，-0.1格）</x:v>
      </x:c>
      <x:c r="B75" s="606" t="str">
        <x:v>湘水（舜葬东南源段）</x:v>
      </x:c>
      <x:c r="C75" s="606" t="str">
        <x:v>河流源点／源段</x:v>
      </x:c>
      <x:c r="D75" s="606" t="str">
        <x:v>《海内东经》</x:v>
      </x:c>
      <x:c r="E75" s="606" t="str">
        <x:v>舜葬—洞庭水系／源点</x:v>
      </x:c>
      <x:c r="F75" s="606" t="str">
        <x:v>东南偏东</x:v>
      </x:c>
      <x:c r="G75" s="606" t="n">
        <x:v>314.5</x:v>
      </x:c>
      <x:c r="H75" s="606" t="str">
        <x:v>直接参照地：舜葬
原文方向：湘水出舜葬东南陬</x:v>
      </x:c>
      <x:c r="I75" s="606" t="str">
        <x:v>无里数</x:v>
      </x:c>
      <x:c r="J75" s="606" t="str">
        <x:v>原文方向／拓扑锁定＋格内20里排版偏移（非文本距离）</x:v>
      </x:c>
      <x:c r="K75" s="606" t="str">
        <x:v>东南源向锁定；距舜葬距离为项目推定
v020：路径／水域节点落入氾林硬面积，分类为跨篇水系几何叠层；穿林、源于林或属于林均未锁
V022：方向与先后关系保留；20里只用于格内排版，实际长度未锁
V023：源段保持20里格内偏移；与苍梧—舜葬模块关系为同域拓扑，不追加假距离。</x:v>
      </x:c>
      <x:c r="L75" s="606" t="str">
        <x:v>线型水系源点；坐标表示舜葬东南角的代表源位
线型水系；100里主格仅为索引，不代表河宽或河道占满整格</x:v>
      </x:c>
      <x:c r="M75" s="606" t="str">
        <x:v>舜葬东南角的山陵／墓域边缘</x:v>
      </x:c>
      <x:c r="N75" s="606" t="str">
        <x:v>湘水源点；下接西环段</x:v>
      </x:c>
      <x:c r="O75" s="606"/>
      <x:c r="P75" s="606"/>
      <x:c r="Q75" s="606"/>
      <x:c r="R75" s="606"/>
      <x:c r="S75" s="606"/>
      <x:c r="T75" s="606"/>
      <x:c r="U75" s="606"/>
      <x:c r="V75" s="606"/>
      <x:c r="W75" s="606"/>
      <x:c r="X75" s="606"/>
      <x:c r="Y75" s="606" t="str">
        <x:v>湘水自舜葬东南角发出</x:v>
      </x:c>
      <x:c r="Z75" s="606" t="e">
        <x:f>HYPERLINK("#'山海经原文总库'!A1396","查看对应原文段落")</x:f>
        <x:v>HYPERLINK is not implemented. linkLocation=#'山海经原文总库'!A1396, friendlyName=查看对应原文段落</x:v>
      </x:c>
      <x:c r="AA75" s="606" t="str">
        <x:v>与湘水主干、兕北参照段和洞庭汇入段属于同一条文本水系。</x:v>
      </x:c>
      <x:c r="AB75" s="606"/>
      <x:c r="AC75" s="606"/>
      <x:c r="AD75" s="606"/>
      <x:c r="AE75" s="606"/>
      <x:c r="AF75" s="606"/>
      <x:c r="AG75" s="606"/>
      <x:c r="AH75" s="606" t="str">
        <x:v>东南无里数，不能把X、Y各增加100里；本版保持总邻接距离100里。
《海内东经》湘水—洞庭关系与《海内南／北经》氾林面积相交，不足以证明湘水穿过氾林。
V022：不得把主棋盘一个100里格理解为该河宽100里；本节点的20里偏移仅为可读排版。</x:v>
      </x:c>
      <x:c r="AI75" s="606" t="str">
        <x:v>舜葬为(+300,0)。无里数斜向关系按最小邻接100里、45°分解：ΔX≈+70.7，ΔY≈-70.7，故源点为(+370.7,-70.7)。
空间冲突记录：按现有氾林中心(+400,0)、方300里模型，本湘水节点落入氾林范围。该重叠只记录为跨篇候选冲突，不能据此证明湘水属于氾林；待氾林双锚点与范围复核时统一处理。
v020不移动水系节点；棋盘以跨篇水系叠层标记，并把“是否穿林”列为未决问题。
V022多尺度重构：原坐标“X=+370.7里，Y=-70.7里（+3.707，-0.707格）”属于旧100里最小邻接布局；现改为X=+314.1里，Y=-14.1里（+3.1，-0.1格）。原文只锁方向／拓扑，20里为格内视觉偏移，不是文本里数。</x:v>
      </x:c>
      <x:c r="AJ75" s="606" t="str">
        <x:v>https://ctext.org/shan-hai-jing/hai-nei-dong-jing/zh
https://zh.wikisource.org/wiki/山海經_(四庫全書本)/卷13</x:v>
      </x:c>
    </x:row>
    <x:row r="76" ht="72" customHeight="1">
      <x:c r="A76" s="606" t="str">
        <x:v>X=+294.1里，Y=-14.1里（+2.9，-0.1格）</x:v>
      </x:c>
      <x:c r="B76" s="606" t="str">
        <x:v>湘水（西环舜葬代表段）</x:v>
      </x:c>
      <x:c r="C76" s="606" t="str">
        <x:v>河流／环流段</x:v>
      </x:c>
      <x:c r="D76" s="606" t="str">
        <x:v>《海内东经》</x:v>
      </x:c>
      <x:c r="E76" s="606" t="str">
        <x:v>舜葬—洞庭水系／西环</x:v>
      </x:c>
      <x:c r="F76" s="606" t="str">
        <x:v>东南偏东</x:v>
      </x:c>
      <x:c r="G76" s="606" t="n">
        <x:v>294.4</x:v>
      </x:c>
      <x:c r="H76" s="606" t="str">
        <x:v>直接参照地：湘水东南源段；舜葬
原文流向：自东南源位向西环绕舜葬</x:v>
      </x:c>
      <x:c r="I76" s="606" t="str">
        <x:v>无里数</x:v>
      </x:c>
      <x:c r="J76" s="606" t="str">
        <x:v>原文方向／拓扑锁定＋格内20里排版偏移（非文本距离）</x:v>
      </x:c>
      <x:c r="K76" s="606" t="str">
        <x:v>西环关系锁定；具体曲率与长度未锁
v020：路径／水域节点落入氾林硬面积，分类为跨篇水系几何叠层；穿林、源于林或属于林均未锁
V022：方向与先后关系保留；20里只用于格内排版，实际长度未锁
V023：西环段保持20里格内偏移；是否环绕墓葬点还是区域边缘仍未锁。</x:v>
      </x:c>
      <x:c r="L76" s="606" t="str">
        <x:v>线型水系环流节点；不代表整条西环河道只有一个点
线型水系；100里主格仅为索引，不代表河宽或河道占满整格</x:v>
      </x:c>
      <x:c r="M76" s="606" t="str">
        <x:v>舜葬南侧至西侧的环绕河谷</x:v>
      </x:c>
      <x:c r="N76" s="606" t="str">
        <x:v>湘水西环代表段；上接东南源段，下接兕北—洞庭主干</x:v>
      </x:c>
      <x:c r="O76" s="606"/>
      <x:c r="P76" s="606"/>
      <x:c r="Q76" s="606"/>
      <x:c r="R76" s="606"/>
      <x:c r="S76" s="606"/>
      <x:c r="T76" s="606"/>
      <x:c r="U76" s="606"/>
      <x:c r="V76" s="606"/>
      <x:c r="W76" s="606"/>
      <x:c r="X76" s="606"/>
      <x:c r="Y76" s="606" t="str">
        <x:v>湘水向西环绕舜葬</x:v>
      </x:c>
      <x:c r="Z76" s="606" t="e">
        <x:f>HYPERLINK("#'山海经原文总库'!A1396","查看对应原文段落")</x:f>
        <x:v>HYPERLINK is not implemented. linkLocation=#'山海经原文总库'!A1396, friendlyName=查看对应原文段落</x:v>
      </x:c>
      <x:c r="AA76" s="606"/>
      <x:c r="AB76" s="606"/>
      <x:c r="AC76" s="606"/>
      <x:c r="AD76" s="606"/>
      <x:c r="AE76" s="606"/>
      <x:c r="AF76" s="606"/>
      <x:c r="AG76" s="606"/>
      <x:c r="AH76" s="606" t="str">
        <x:v>“西环之”只锁定绕行性质，不足以恢复完整弧线和绕行半径。
《海内东经》湘水—洞庭关系与《海内南／北经》氾林面积相交，不足以证明湘水穿过氾林。
V022：不得把主棋盘一个100里格理解为该河宽100里；本节点的20里偏移仅为可读排版。</x:v>
      </x:c>
      <x:c r="AI76" s="606" t="str">
        <x:v>从源点(+370.7,-70.7)向西取最小邻接100里，得(+270.7,-70.7)。该点已略在舜葬中心以西，仅用于表达“西环”拓扑。
空间冲突记录：按现有氾林中心(+400,0)、方300里模型，本湘水节点落入氾林范围。该重叠只记录为跨篇候选冲突，不能据此证明湘水属于氾林；待氾林双锚点与范围复核时统一处理。
v020不移动水系节点；棋盘以跨篇水系叠层标记，并把“是否穿林”列为未决问题。
V022多尺度重构：原坐标“X=+270.7里，Y=-70.7里（+2.707，-0.707格）”属于旧100里最小邻接布局；现改为X=+294.1里，Y=-14.1里（+2.9，-0.1格）。原文只锁方向／拓扑，20里为格内视觉偏移，不是文本里数。</x:v>
      </x:c>
      <x:c r="AJ76" s="606" t="str">
        <x:v>https://ctext.org/shan-hai-jing/hai-nei-dong-jing/zh
https://zh.wikisource.org/wiki/山海經_(四庫全書本)/卷13</x:v>
      </x:c>
    </x:row>
    <x:row r="77" ht="72" customHeight="1">
      <x:c r="A77" s="606" t="str">
        <x:v>X=+400里，Y=+20里（+4，+0.2格）</x:v>
      </x:c>
      <x:c r="B77" s="606" t="str">
        <x:v>洞庭（湘水汇入点）</x:v>
      </x:c>
      <x:c r="C77" s="606" t="str">
        <x:v>湖泽／汇入水域</x:v>
      </x:c>
      <x:c r="D77" s="606" t="str">
        <x:v>《海内东经》</x:v>
      </x:c>
      <x:c r="E77" s="606" t="str">
        <x:v>湘水下游／洞庭接口</x:v>
      </x:c>
      <x:c r="F77" s="606" t="str">
        <x:v>东北</x:v>
      </x:c>
      <x:c r="G77" s="606" t="n">
        <x:v>400.5</x:v>
      </x:c>
      <x:c r="H77" s="606" t="str">
        <x:v>直接参照地：湘水
原文关系：湘水入洞庭下</x:v>
      </x:c>
      <x:c r="I77" s="606" t="str">
        <x:v>无里数</x:v>
      </x:c>
      <x:c r="J77" s="606" t="str">
        <x:v>原文方向／拓扑锁定＋格内20里排版偏移（非文本距离）</x:v>
      </x:c>
      <x:c r="K77" s="606" t="str">
        <x:v>水系汇入关系锁定；洞庭范围与绝对方位未锁
v020：路径／水域节点落入氾林硬面积，分类为跨篇水系几何叠层；穿林、源于林或属于林均未锁
V022：方向与先后关系保留；20里只用于格内排版，实际长度未锁</x:v>
      </x:c>
      <x:c r="L77" s="606" t="str">
        <x:v>湖泽对象；当前坐标仅代表湘水入湖接口，不代表洞庭水域中心
水域接口／面积层；蓝色面积仅表示水体存在，不据此推定完整边界</x:v>
      </x:c>
      <x:c r="M77" s="606" t="str">
        <x:v>大型湖泽／下游汇水区</x:v>
      </x:c>
      <x:c r="N77" s="606" t="str">
        <x:v>接纳湘水；后续可与沅水入洞庭等文本另行闭合</x:v>
      </x:c>
      <x:c r="O77" s="606"/>
      <x:c r="P77" s="606"/>
      <x:c r="Q77" s="606"/>
      <x:c r="R77" s="606"/>
      <x:c r="S77" s="606"/>
      <x:c r="T77" s="606"/>
      <x:c r="U77" s="606"/>
      <x:c r="V77" s="606"/>
      <x:c r="W77" s="606"/>
      <x:c r="X77" s="606"/>
      <x:c r="Y77" s="606" t="str">
        <x:v>湘水汇入洞庭</x:v>
      </x:c>
      <x:c r="Z77" s="606" t="e">
        <x:f>HYPERLINK("#'山海经原文总库'!A1398","查看对应原文段落")</x:f>
        <x:v>HYPERLINK is not implemented. linkLocation=#'山海经原文总库'!A1398, friendlyName=查看对应原文段落</x:v>
      </x:c>
      <x:c r="AA77" s="606" t="str">
        <x:v>《海内东经》另有沅水入江、下雋西，入洞庭中；后续可建立洞庭多水汇入网络。</x:v>
      </x:c>
      <x:c r="AB77" s="606"/>
      <x:c r="AC77" s="606"/>
      <x:c r="AD77" s="606"/>
      <x:c r="AE77" s="606"/>
      <x:c r="AF77" s="606"/>
      <x:c r="AG77" s="606"/>
      <x:c r="AH77" s="606" t="str">
        <x:v>不能直接把本坐标等同现实洞庭湖中心，也不能据现实地理倒推舜葬坐标。
《海内东经》湘水—洞庭关系与《海内南／北经》氾林面积相交，不足以证明湘水穿过氾林。
V022：不得把主棋盘一个100里格理解为该河宽100里；本节点的20里偏移仅为可读排版。</x:v>
      </x:c>
      <x:c r="AI77" s="606" t="str">
        <x:v>原文只提供“湘水入洞庭”的拓扑关系，未给方向和距离。为避免捏造里数，洞庭汇入口与湘水兕北主干暂共用(+400,+100)。
空间冲突记录：按现有氾林中心(+400,0)、方300里模型，本湘水节点落入氾林范围。该重叠只记录为跨篇候选冲突，不能据此证明湘水属于氾林；待氾林双锚点与范围复核时统一处理。
v020不移动水系节点；棋盘以跨篇水系叠层标记，并把“是否穿林”列为未决问题。
V022多尺度重构：原坐标“X=+400里，Y=+100里（+4，+1格）”属于旧100里最小邻接布局；现改为X=+400里，Y=+20里（+4，+0.2格）。原文只锁方向／拓扑，20里为格内视觉偏移，不是文本里数。</x:v>
      </x:c>
      <x:c r="AJ77" s="606" t="str">
        <x:v>https://ctext.org/shan-hai-jing/hai-nei-dong-jing/zh
https://zh.wikisource.org/wiki/山海經_(四庫全書本)/卷13</x:v>
      </x:c>
    </x:row>
    <x:row r="78" ht="72" customHeight="1">
      <x:c r="A78" s="606" t="str">
        <x:v>X=+400里，Y=+20里（+4，+0.2格）</x:v>
      </x:c>
      <x:c r="B78" s="606" t="str">
        <x:v>东南西泽（洞庭异文候选）</x:v>
      </x:c>
      <x:c r="C78" s="606" t="str">
        <x:v>泽／异文候选</x:v>
      </x:c>
      <x:c r="D78" s="606" t="str">
        <x:v>《海内东经》</x:v>
      </x:c>
      <x:c r="E78" s="606" t="str">
        <x:v>湘水—洞庭异文层</x:v>
      </x:c>
      <x:c r="F78" s="606" t="str">
        <x:v>东北</x:v>
      </x:c>
      <x:c r="G78" s="606" t="n">
        <x:v>400.5</x:v>
      </x:c>
      <x:c r="H78" s="606" t="str">
        <x:v>直接参照地：湘水；洞庭
原文异文：一曰“东南西泽”</x:v>
      </x:c>
      <x:c r="I78" s="606" t="str">
        <x:v>无里数</x:v>
      </x:c>
      <x:c r="J78" s="606" t="str">
        <x:v>原文方向／拓扑锁定＋格内20里排版偏移（非文本距离）</x:v>
      </x:c>
      <x:c r="K78" s="606" t="str">
        <x:v>异文名称锁定；是否独立水域未锁
v020：路径／水域节点落入氾林硬面积，分类为跨篇水系几何叠层；穿林、源于林或属于林均未锁
V022：方向与先后关系保留；20里只用于格内排版，实际长度未锁</x:v>
      </x:c>
      <x:c r="L78" s="606" t="str">
        <x:v>候选泽地；当前与洞庭接口共位，等待断句与异本校勘
水域接口／面积层；蓝色面积仅表示水体存在，不据此推定完整边界</x:v>
      </x:c>
      <x:c r="M78" s="606"/>
      <x:c r="N78" s="606" t="str">
        <x:v>可能为湘水源向／西泽／洞庭句的异文表达</x:v>
      </x:c>
      <x:c r="O78" s="606"/>
      <x:c r="P78" s="606"/>
      <x:c r="Q78" s="606"/>
      <x:c r="R78" s="606"/>
      <x:c r="S78" s="606"/>
      <x:c r="T78" s="606"/>
      <x:c r="U78" s="606"/>
      <x:c r="V78" s="606"/>
      <x:c r="W78" s="606"/>
      <x:c r="X78" s="606"/>
      <x:c r="Y78" s="606"/>
      <x:c r="Z78" s="606" t="e">
        <x:f>HYPERLINK("#'山海经原文总库'!A1399","查看对应原文段落")</x:f>
        <x:v>HYPERLINK is not implemented. linkLocation=#'山海经原文总库'!A1399, friendlyName=查看对应原文段落</x:v>
      </x:c>
      <x:c r="AA78" s="606"/>
      <x:c r="AB78" s="606"/>
      <x:c r="AC78" s="606"/>
      <x:c r="AD78" s="606" t="str">
        <x:v>“一曰东南西泽”可有不同断句，不能直接认定为一处名叫“东南西泽”的独立湖泊。</x:v>
      </x:c>
      <x:c r="AE78" s="606"/>
      <x:c r="AF78" s="606"/>
      <x:c r="AG78" s="606"/>
      <x:c r="AH78" s="606" t="str">
        <x:v>本行是异文保留，不代表地图中已经确认存在第二座湖泽。
《海内东经》湘水—洞庭关系与《海内南／北经》氾林面积相交，不足以证明湘水穿过氾林。
V022：不得把主棋盘一个100里格理解为该河宽100里；本节点的20里偏移仅为可读排版。</x:v>
      </x:c>
      <x:c r="AI78" s="606" t="str">
        <x:v>因异文附着于湘水—洞庭句，暂与洞庭汇入口共位(+400,+100)。若后续校勘证明“西泽”为独立对象，可另建候选坐标而不改动洞庭。
空间冲突记录：按现有氾林中心(+400,0)、方300里模型，本湘水节点落入氾林范围。该重叠只记录为跨篇候选冲突，不能据此证明湘水属于氾林；待氾林双锚点与范围复核时统一处理。
v020不移动水系节点；棋盘以跨篇水系叠层标记，并把“是否穿林”列为未决问题。
V022多尺度重构：原坐标“X=+400里，Y=+100里（+4，+1格）”属于旧100里最小邻接布局；现改为X=+400里，Y=+20里（+4，+0.2格）。原文只锁方向／拓扑，20里为格内视觉偏移，不是文本里数。</x:v>
      </x:c>
      <x:c r="AJ78" s="606" t="str">
        <x:v>https://ctext.org/shan-hai-jing/hai-nei-dong-jing/zh
https://zh.wikisource.org/wiki/山海經_(四庫全書本)/卷13</x:v>
      </x:c>
    </x:row>
    <x:row r="79" ht="72" customHeight="1">
      <x:c r="A79" s="607" t="str">
        <x:v>X=+80里，Y=-290里（+0.8，-2.9格）</x:v>
      </x:c>
      <x:c r="B79" s="607" t="str">
        <x:v>青水（华山—肇山参照层）</x:v>
      </x:c>
      <x:c r="C79" s="607" t="str">
        <x:v>水系／肇山西侧参照层</x:v>
      </x:c>
      <x:c r="D79" s="607" t="str">
        <x:v>《海内经》</x:v>
      </x:c>
      <x:c r="E79" s="607" t="str">
        <x:v>华山—青水—肇山升降接口</x:v>
      </x:c>
      <x:c r="F79" s="607" t="str">
        <x:v>东南／项目模块位</x:v>
      </x:c>
      <x:c r="G79" s="607" t="n">
        <x:v>300.8</x:v>
      </x:c>
      <x:c r="H79" s="607" t="str">
        <x:v>直接参照地：华山；肇山
原文关系：华山、青水之东有肇山</x:v>
      </x:c>
      <x:c r="I79" s="607" t="str">
        <x:v>无里数</x:v>
      </x:c>
      <x:c r="J79" s="607" t="str">
        <x:v>原文西侧参照关系＋同主格格内排版</x:v>
      </x:c>
      <x:c r="K79" s="607" t="str">
        <x:v>青水位于肇山西侧关系锁定；与华山相对关系未锁；与R43若木青水为同卷同名候选，未合并
V028：撤销旧+100里东延排版，改为与华山、肇山同格</x:v>
      </x:c>
      <x:c r="L79" s="607" t="str">
        <x:v>线型水系参照层；不以主格或蓝线宽度推定河宽</x:v>
      </x:c>
      <x:c r="M79" s="607" t="str">
        <x:v>都广核心南缘向东延展的水界候选</x:v>
      </x:c>
      <x:c r="N79" s="607" t="str">
        <x:v>青水东界代表段；西接若木边界青水为候选关系</x:v>
      </x:c>
      <x:c r="O79" s="607"/>
      <x:c r="P79" s="607"/>
      <x:c r="Q79" s="607"/>
      <x:c r="R79" s="607"/>
      <x:c r="S79" s="607"/>
      <x:c r="T79" s="607"/>
      <x:c r="U79" s="607"/>
      <x:c r="V79" s="607"/>
      <x:c r="W79" s="607"/>
      <x:c r="X79" s="607"/>
      <x:c r="Y79" s="607"/>
      <x:c r="Z79" s="607" t="e">
        <x:f>HYPERLINK("#'山海经原文总库'!A1845","查看对应原文段落")</x:f>
        <x:v>HYPERLINK is not implemented. linkLocation=#'山海经原文总库'!A1845, friendlyName=查看对应原文段落</x:v>
      </x:c>
      <x:c r="AA79" s="607" t="str">
        <x:v>同卷前文已有若木在黑水、青水之间；本句又以青水定位肇山。同卷同名提高连续水系可能，但无流向与中间节点，仍分段建档。</x:v>
      </x:c>
      <x:c r="AB79" s="607"/>
      <x:c r="AC79" s="607"/>
      <x:c r="AD79" s="607" t="str">
        <x:v>《水经注》引若木句有缺“青水”二字的版本现象，影响两段是否同水的判断。</x:v>
      </x:c>
      <x:c r="AE79" s="607"/>
      <x:c r="AF79" s="607"/>
      <x:c r="AG79" s="607"/>
      <x:c r="AH79" s="607" t="str">
        <x:v>不得把本段自动连到昆仑西南隅青水源段；两者跨篇且缺少中间水路。
无原文里数时，不得把当前坐标差直接解释为真实相距100里。
原句只说明肇山在华山、青水之东，并未说明青水在华山北、南或穿过华山。</x:v>
      </x:c>
      <x:c r="AI79" s="607" t="str">
        <x:v>现有若木青水代表段在(0,-200)。本段作为同卷东向接口，先向东一格置(+100,-200)。这只是连续水系候选布局，不是原文明载100里。
V028将青水置于主格(+1,-3)内的Δ(-20,+10)里，作为肇山西侧参照；偏移不是文本距离。</x:v>
      </x:c>
      <x:c r="AJ79" s="607" t="str">
        <x:v>https://ctext.org/shan-hai-jing/hai-nei-jing/zh
https://zh.wikisource.org/wiki/山海經_(四庫全書本)/卷18</x:v>
      </x:c>
    </x:row>
    <x:row r="80" ht="72" customHeight="1">
      <x:c r="A80" s="607" t="str">
        <x:v>X=+80里，Y=-310里（+0.8，-3.1格）</x:v>
      </x:c>
      <x:c r="B80" s="607" t="str">
        <x:v>华山（肇山西侧参照山）</x:v>
      </x:c>
      <x:c r="C80" s="607" t="str">
        <x:v>山／肇山西侧参照地</x:v>
      </x:c>
      <x:c r="D80" s="607" t="str">
        <x:v>《海内经》</x:v>
      </x:c>
      <x:c r="E80" s="607" t="str">
        <x:v>华山—青水—肇山升降接口</x:v>
      </x:c>
      <x:c r="F80" s="607" t="str">
        <x:v>东南／项目模块位</x:v>
      </x:c>
      <x:c r="G80" s="607" t="n">
        <x:v>320.2</x:v>
      </x:c>
      <x:c r="H80" s="607" t="str">
        <x:v>直接参照地：青水；肇山
原文关系：华山、青水之东有肇山</x:v>
      </x:c>
      <x:c r="I80" s="607" t="str">
        <x:v>无里数</x:v>
      </x:c>
      <x:c r="J80" s="607" t="str">
        <x:v>原文西侧参照关系＋同主格格内排版</x:v>
      </x:c>
      <x:c r="K80" s="607" t="str">
        <x:v>华山位于肇山西侧关系锁定；与青水相对关系未锁；不得套用现实陕西华山坐标
V028：与青水、肇山收入同一100里主格</x:v>
      </x:c>
      <x:c r="L80" s="607" t="str">
        <x:v>山体参照点；主格不代表山体面积</x:v>
      </x:c>
      <x:c r="M80" s="607" t="str">
        <x:v>山岳／青水附近参照地</x:v>
      </x:c>
      <x:c r="N80" s="607"/>
      <x:c r="O80" s="607"/>
      <x:c r="P80" s="607"/>
      <x:c r="Q80" s="607"/>
      <x:c r="R80" s="607"/>
      <x:c r="S80" s="607"/>
      <x:c r="T80" s="607"/>
      <x:c r="U80" s="607"/>
      <x:c r="V80" s="607"/>
      <x:c r="W80" s="607"/>
      <x:c r="X80" s="607"/>
      <x:c r="Y80" s="607"/>
      <x:c r="Z80" s="607" t="e">
        <x:f>HYPERLINK("#'山海经原文总库'!A1844","查看对应原文段落")</x:f>
        <x:v>HYPERLINK is not implemented. linkLocation=#'山海经原文总库'!A1844, friendlyName=查看对应原文段落</x:v>
      </x:c>
      <x:c r="AA80" s="607" t="str">
        <x:v>《山海经》及后世典籍存在多处华山／太华山传统，本句对象未取得可直接闭合的现实坐标。</x:v>
      </x:c>
      <x:c r="AB80" s="607"/>
      <x:c r="AC80" s="607"/>
      <x:c r="AD80" s="607"/>
      <x:c r="AE80" s="607"/>
      <x:c r="AF80" s="607"/>
      <x:c r="AG80" s="607"/>
      <x:c r="AH80" s="607" t="str">
        <x:v>不能仅因名称“华山”就套入陕西华山坐标；本表只保留原句中的参照功能。</x:v>
      </x:c>
      <x:c r="AI80" s="607" t="str">
        <x:v>原句没有说明华山在青水哪一岸。为避免把山压在河道上，将华山置于青水参照段南一格(+100,-300)；该南北关系纯属模块排布，可整体调整。
V028将华山置于主格(+1,-3)内Δ(-20,-10)里，与青水共同构成肇山西侧参照组。</x:v>
      </x:c>
      <x:c r="AJ80" s="607" t="str">
        <x:v>https://ctext.org/shan-hai-jing/hai-nei-jing/zh
https://zh.wikisource.org/wiki/山海經_(四庫全書本)/卷18</x:v>
      </x:c>
    </x:row>
    <x:row r="81" ht="72" customHeight="1">
      <x:c r="A81" s="607" t="str">
        <x:v>X=+120里，Y=-300里（+1.2，-3格）</x:v>
      </x:c>
      <x:c r="B81" s="607" t="str">
        <x:v>肇山（柏高升降地）</x:v>
      </x:c>
      <x:c r="C81" s="607" t="str">
        <x:v>山／天地升降事件地标</x:v>
      </x:c>
      <x:c r="D81" s="607" t="str">
        <x:v>《海内经》</x:v>
      </x:c>
      <x:c r="E81" s="607" t="str">
        <x:v>华山—青水—肇山升降接口</x:v>
      </x:c>
      <x:c r="F81" s="607" t="str">
        <x:v>东南／项目模块位</x:v>
      </x:c>
      <x:c r="G81" s="607" t="n">
        <x:v>323.1</x:v>
      </x:c>
      <x:c r="H81" s="607" t="str">
        <x:v>直接参照地：华山；青水；柏高
原文关系：肇山在华山、青水之东；柏高上下于此，至于天</x:v>
      </x:c>
      <x:c r="I81" s="607" t="str">
        <x:v>无里数</x:v>
      </x:c>
      <x:c r="J81" s="607" t="str">
        <x:v>原文东向关系＋同主格格内20里排版</x:v>
      </x:c>
      <x:c r="K81" s="607" t="str">
        <x:v>肇山位于华山与青水之东、柏高在此上下至天两项关系锁定；实际距离、升降机制未锁
V028：旧100里最小邻接撤销，改为同格东侧20里</x:v>
      </x:c>
      <x:c r="L81" s="607" t="str">
        <x:v>山体／升降事件承载点；不等于固定天梯或建木同类设施</x:v>
      </x:c>
      <x:c r="M81" s="607" t="str">
        <x:v>可供上下升降的神圣山岳</x:v>
      </x:c>
      <x:c r="N81" s="607"/>
      <x:c r="O81" s="607"/>
      <x:c r="P81" s="607"/>
      <x:c r="Q81" s="607"/>
      <x:c r="R81" s="607"/>
      <x:c r="S81" s="607"/>
      <x:c r="T81" s="607" t="str">
        <x:v>柏高</x:v>
      </x:c>
      <x:c r="U81" s="607"/>
      <x:c r="V81" s="607"/>
      <x:c r="W81" s="607"/>
      <x:c r="X81" s="607" t="str">
        <x:v>柏高可由此上下，直至于天；表现为天地升降接口</x:v>
      </x:c>
      <x:c r="Y81" s="607" t="str">
        <x:v>柏高在肇山上下往来，至于天</x:v>
      </x:c>
      <x:c r="Z81" s="607" t="e">
        <x:f>HYPERLINK("#'山海经原文总库'!A1846","查看对应原文段落")</x:f>
        <x:v>HYPERLINK is not implemented. linkLocation=#'山海经原文总库'!A1846, friendlyName=查看对应原文段落</x:v>
      </x:c>
      <x:c r="AA81" s="607"/>
      <x:c r="AB81" s="607" t="str">
        <x:v>正文只给柏高的升降行为，并未说明他是山神、天帝或凡人。</x:v>
      </x:c>
      <x:c r="AC81" s="607"/>
      <x:c r="AD81" s="607"/>
      <x:c r="AE81" s="607"/>
      <x:c r="AF81" s="607"/>
      <x:c r="AG81" s="607"/>
      <x:c r="AH81" s="607" t="str">
        <x:v>不应把“上下于此”自动解释为建木式固定天梯；它只证明肇山具有升降事件。
无原文里数时，不得把当前坐标差直接解释为真实相距100里。
“上下于此，至于天”只证明柏高在肇山发生天地升降，不足以证明山体本身是永久通道。</x:v>
      </x:c>
      <x:c r="AI81" s="607" t="str">
        <x:v>青水东界段置(+100,-200)，华山为模块参照山置(+100,-300)。肇山按原文“之东”取最小邻接100里，置(+200,-300)。
V028将肇山置于主格(+1,-3)内Δ(+20,0)里，表达其位于华山、青水之东。</x:v>
      </x:c>
      <x:c r="AJ81" s="607" t="str">
        <x:v>https://ctext.org/shan-hai-jing/hai-nei-jing/zh
https://zh.wikisource.org/wiki/山海經_(四庫全書本)/卷18</x:v>
      </x:c>
    </x:row>
    <x:row r="82" ht="72" customHeight="1">
      <x:c r="A82" s="608" t="str">
        <x:v>X=-1050里，Y=+650里（-10.5，+6.5格）</x:v>
      </x:c>
      <x:c r="B82" s="608" t="str">
        <x:v>服常树（昆仑内部未分位）</x:v>
      </x:c>
      <x:c r="C82" s="608" t="str">
        <x:v>神木／守望地标</x:v>
      </x:c>
      <x:c r="D82" s="608" t="str">
        <x:v>《海内西经》</x:v>
      </x:c>
      <x:c r="E82" s="608" t="str">
        <x:v>海内昆仑之虚／内部未分位层</x:v>
      </x:c>
      <x:c r="F82" s="608" t="str">
        <x:v>西北</x:v>
      </x:c>
      <x:c r="G82" s="608" t="n">
        <x:v>1234.9</x:v>
      </x:c>
      <x:c r="H82" s="608" t="str">
        <x:v>直接参照地：琅玕树；三头人；开明四向段
原文关系：服常树上有三头人，伺琅玕树；正文未给具体方位</x:v>
      </x:c>
      <x:c r="I82" s="608" t="str">
        <x:v>无里数</x:v>
      </x:c>
      <x:c r="J82" s="608" t="str">
        <x:v>昆仑段文本归属候选＋内部未分位共点</x:v>
      </x:c>
      <x:c r="K82" s="608" t="str">
        <x:v>服常树—三头人—琅玕树关系锁定；昆仑内部方向未锁</x:v>
      </x:c>
      <x:c r="L82" s="608" t="str">
        <x:v>神木地标；与昆仑中心共享索引坐标，不表示树在山体正中央</x:v>
      </x:c>
      <x:c r="M82" s="608" t="str">
        <x:v>昆仑内部神木区</x:v>
      </x:c>
      <x:c r="N82" s="608"/>
      <x:c r="O82" s="608" t="str">
        <x:v>服常树</x:v>
      </x:c>
      <x:c r="P82" s="608"/>
      <x:c r="Q82" s="608"/>
      <x:c r="R82" s="608"/>
      <x:c r="S82" s="608"/>
      <x:c r="T82" s="608" t="str">
        <x:v>三头人</x:v>
      </x:c>
      <x:c r="U82" s="608"/>
      <x:c r="V82" s="608" t="str">
        <x:v>三头人居／立于树上</x:v>
      </x:c>
      <x:c r="W82" s="608" t="str">
        <x:v>树上有三头人；三头人的具体身体形貌正文未展开</x:v>
      </x:c>
      <x:c r="X82" s="608"/>
      <x:c r="Y82" s="608" t="str">
        <x:v>三头人在服常树上伺望琅玕树</x:v>
      </x:c>
      <x:c r="Z82" s="608" t="e">
        <x:f>HYPERLINK("#'山海经原文总库'!A1279","查看对应原文段落")</x:f>
        <x:v>HYPERLINK is not implemented. linkLocation=#'山海经原文总库'!A1279, friendlyName=查看对应原文段落</x:v>
      </x:c>
      <x:c r="AA82" s="608" t="str">
        <x:v>暂未发现足以把服常树接到昆仑某一明确方位的同名关系。</x:v>
      </x:c>
      <x:c r="AB82" s="608"/>
      <x:c r="AC82" s="608"/>
      <x:c r="AD82" s="608"/>
      <x:c r="AE82" s="608"/>
      <x:c r="AF82" s="608"/>
      <x:c r="AG82" s="608"/>
      <x:c r="AH82" s="608" t="str">
        <x:v>本段紧随开明东，但正文没有重复“开明东有”，不能仅凭文本相邻把服常树锁进开明东一格。</x:v>
      </x:c>
      <x:c r="AI82" s="608" t="str">
        <x:v>服常树与琅玕树位于昆仑开明四向叙事内部，但无东南西北。因此与昆仑中心共用(-1050,+650)作为未分位索引坐标，等待新证据再拆位。</x:v>
      </x:c>
      <x:c r="AJ82" s="608" t="str">
        <x:v>https://ctext.org/shan-hai-jing/hai-nei-xi-jing/zh
https://zh.wikisource.org/zh-hans/山海經_(四庫全書本)/卷11</x:v>
      </x:c>
    </x:row>
    <x:row r="83" ht="72" customHeight="1">
      <x:c r="A83" s="608" t="str">
        <x:v>X=-1050里，Y=+650里（-10.5，+6.5格）</x:v>
      </x:c>
      <x:c r="B83" s="608" t="str">
        <x:v>琅玕树（昆仑内部未分位）</x:v>
      </x:c>
      <x:c r="C83" s="608" t="str">
        <x:v>神木／珍木地标</x:v>
      </x:c>
      <x:c r="D83" s="608" t="str">
        <x:v>《海内西经》</x:v>
      </x:c>
      <x:c r="E83" s="608" t="str">
        <x:v>海内昆仑之虚／内部未分位层</x:v>
      </x:c>
      <x:c r="F83" s="608" t="str">
        <x:v>西北</x:v>
      </x:c>
      <x:c r="G83" s="608" t="n">
        <x:v>1234.9</x:v>
      </x:c>
      <x:c r="H83" s="608" t="str">
        <x:v>直接参照地：服常树；三头人
原文关系：三头人在服常树上伺琅玕树；正文未给两树间距离</x:v>
      </x:c>
      <x:c r="I83" s="608" t="str">
        <x:v>无里数</x:v>
      </x:c>
      <x:c r="J83" s="608" t="str">
        <x:v>昆仑段文本归属候选＋内部未分位共点</x:v>
      </x:c>
      <x:c r="K83" s="608" t="str">
        <x:v>与服常树的守望关系锁定；具体方位与距离未锁</x:v>
      </x:c>
      <x:c r="L83" s="608" t="str">
        <x:v>神木地标；与服常树及昆仑中心共用索引坐标</x:v>
      </x:c>
      <x:c r="M83" s="608" t="str">
        <x:v>昆仑内部珍木区</x:v>
      </x:c>
      <x:c r="N83" s="608"/>
      <x:c r="O83" s="608" t="str">
        <x:v>琅玕树</x:v>
      </x:c>
      <x:c r="P83" s="608"/>
      <x:c r="Q83" s="608"/>
      <x:c r="R83" s="608"/>
      <x:c r="S83" s="608"/>
      <x:c r="T83" s="608" t="str">
        <x:v>三头人（自服常树上伺望）</x:v>
      </x:c>
      <x:c r="U83" s="608"/>
      <x:c r="V83" s="608"/>
      <x:c r="W83" s="608"/>
      <x:c r="X83" s="608"/>
      <x:c r="Y83" s="608" t="str">
        <x:v>成为三头人守望／伺察的对象</x:v>
      </x:c>
      <x:c r="Z83" s="608" t="e">
        <x:f>HYPERLINK("#'山海经原文总库'!A1280","查看对应原文段落")</x:f>
        <x:v>HYPERLINK is not implemented. linkLocation=#'山海经原文总库'!A1280, friendlyName=查看对应原文段落</x:v>
      </x:c>
      <x:c r="AA83" s="608" t="str">
        <x:v>“琅玕”在昆仑、沃野等神话资源语境中亦可指美玉或玉石，不能自动把“琅玕树”化约成普通矿脉。</x:v>
      </x:c>
      <x:c r="AB83" s="608"/>
      <x:c r="AC83" s="608"/>
      <x:c r="AD83" s="608" t="str">
        <x:v>“伺”可含守候、窥伺、观察等义；本文不强定三头人的敌对或祭祀职能。</x:v>
      </x:c>
      <x:c r="AE83" s="608"/>
      <x:c r="AF83" s="608"/>
      <x:c r="AG83" s="608"/>
      <x:c r="AH83" s="608" t="str">
        <x:v>不因琅玕常被解释为玉石，就删除其正文中的“树”类属性。</x:v>
      </x:c>
      <x:c r="AI83" s="608" t="str">
        <x:v>琅玕树与服常树构成同一微型关系组，但没有方向和里数。暂共用昆仑中心(-1050,+650)作为内部未分位坐标，不另造东西关系。</x:v>
      </x:c>
      <x:c r="AJ83" s="608" t="str">
        <x:v>https://ctext.org/shan-hai-jing/hai-nei-xi-jing/zh
https://zh.wikisource.org/zh-hans/山海經_(四庫全書本)/卷11</x:v>
      </x:c>
    </x:row>
    <x:row r="84" ht="72" customHeight="1">
      <x:c r="A84" s="621" t="str">
        <x:v>X=-650里，Y=+1070里（-6.5，+10.7格）</x:v>
      </x:c>
      <x:c r="B84" s="621" t="str">
        <x:v>河水（昆仑北行段）</x:v>
      </x:c>
      <x:c r="C84" s="621" t="str">
        <x:v>河流／方向节点</x:v>
      </x:c>
      <x:c r="D84" s="621" t="str">
        <x:v>《海内西经》</x:v>
      </x:c>
      <x:c r="E84" s="621" t="str">
        <x:v>昆仑河水—渤海—积石主干</x:v>
      </x:c>
      <x:c r="F84" s="621" t="str">
        <x:v>西北</x:v>
      </x:c>
      <x:c r="G84" s="621" t="n">
        <x:v>1252</x:v>
      </x:c>
      <x:c r="H84" s="621" t="str">
        <x:v>直接参照地：河水（昆仑源段）
原文流向：出昆仑东北隅，以行其北</x:v>
      </x:c>
      <x:c r="I84" s="621" t="str">
        <x:v>无里数</x:v>
      </x:c>
      <x:c r="J84" s="621" t="str">
        <x:v>原文方向／拓扑锁定＋格内20里排版偏移（非文本距离）</x:v>
      </x:c>
      <x:c r="K84" s="621" t="str">
        <x:v>北行方向锁定；节点距离为项目推定
V022：方向与先后关系保留；20里只用于格内排版，实际长度未锁</x:v>
      </x:c>
      <x:c r="L84" s="621" t="str">
        <x:v>线型水系节点；上接昆仑东北源点，下接渤海入水段
线型水系；100里主格仅为索引，不代表河宽或河道占满整格</x:v>
      </x:c>
      <x:c r="M84" s="621" t="str">
        <x:v>昆仑东北外缘北行河谷</x:v>
      </x:c>
      <x:c r="N84" s="621" t="str">
        <x:v>河水北行段</x:v>
      </x:c>
      <x:c r="O84" s="621"/>
      <x:c r="P84" s="621"/>
      <x:c r="Q84" s="621"/>
      <x:c r="R84" s="621"/>
      <x:c r="S84" s="621"/>
      <x:c r="T84" s="621"/>
      <x:c r="U84" s="621"/>
      <x:c r="V84" s="621"/>
      <x:c r="W84" s="621"/>
      <x:c r="X84" s="621"/>
      <x:c r="Y84" s="621" t="str">
        <x:v>河水自昆仑东北隅先向北行</x:v>
      </x:c>
      <x:c r="Z84" s="621" t="e">
        <x:f>HYPERLINK("#'山海经原文总库'!A1264","查看对应原文段落")</x:f>
        <x:v>HYPERLINK is not implemented. linkLocation=#'山海经原文总库'!A1264, friendlyName=查看对应原文段落</x:v>
      </x:c>
      <x:c r="AA84" s="621"/>
      <x:c r="AB84" s="621"/>
      <x:c r="AC84" s="621"/>
      <x:c r="AD84" s="621"/>
      <x:c r="AE84" s="621"/>
      <x:c r="AF84" s="621"/>
      <x:c r="AG84" s="621"/>
      <x:c r="AH84" s="621" t="str">
        <x:v>本节点不等于现实黄河源区，也不表示河水只向北流100里。
V022：不得把主棋盘一个100里格理解为该河宽100里；本节点的20里偏移仅为可读排版。</x:v>
      </x:c>
      <x:c r="AI84" s="621" t="str">
        <x:v>源点(-650,+1050)向北采用最小邻接100里，置(-650,+1150)。
V022多尺度重构：原坐标“X=-650里，Y=+1150里（-6.5，+11.5格）”属于旧100里最小邻接布局；现改为X=-650里，Y=+1070里（-6.5，+10.7格）。原文只锁方向／拓扑，20里为格内视觉偏移，不是文本里数。</x:v>
      </x:c>
      <x:c r="AJ84" s="621" t="str">
        <x:v>https://ctext.org/shan-hai-jing/hai-nei-xi-jing/zh</x:v>
      </x:c>
    </x:row>
    <x:row r="85" ht="72" customHeight="1">
      <x:c r="A85" s="621" t="str">
        <x:v>X=-664.1里，Y=+1055.9里（-6.6，+10.6格）</x:v>
      </x:c>
      <x:c r="B85" s="621" t="str">
        <x:v>渤海（河水贯入段）</x:v>
      </x:c>
      <x:c r="C85" s="621" t="str">
        <x:v>海域／河水入海接口</x:v>
      </x:c>
      <x:c r="D85" s="621" t="str">
        <x:v>《海内西经》</x:v>
      </x:c>
      <x:c r="E85" s="621" t="str">
        <x:v>昆仑河水—渤海—积石主干</x:v>
      </x:c>
      <x:c r="F85" s="621" t="str">
        <x:v>西北</x:v>
      </x:c>
      <x:c r="G85" s="621" t="n">
        <x:v>1247.4</x:v>
      </x:c>
      <x:c r="H85" s="621" t="str">
        <x:v>直接参照地：河水北行段；河水海外段
原文关系：河水西南又入渤海，又出海外</x:v>
      </x:c>
      <x:c r="I85" s="621" t="str">
        <x:v>无里数</x:v>
      </x:c>
      <x:c r="J85" s="621" t="str">
        <x:v>原文方向／拓扑锁定＋格内20里排版偏移（非文本距离）</x:v>
      </x:c>
      <x:c r="K85" s="621" t="str">
        <x:v>河水入渤海、再出海外的拓扑锁定；渤海范围未锁
V022：方向与先后关系保留；20里只用于格内排版，实际长度未锁</x:v>
      </x:c>
      <x:c r="L85" s="621" t="str">
        <x:v>海域接口；坐标仅代表河水贯入／穿出位置，不代表渤海中心
水域接口／面积层；蓝色面积仅表示水体存在，不据此推定完整边界</x:v>
      </x:c>
      <x:c r="M85" s="621" t="str">
        <x:v>海域／河口</x:v>
      </x:c>
      <x:c r="N85" s="621" t="str">
        <x:v>接纳河水并允许其再出海外</x:v>
      </x:c>
      <x:c r="O85" s="621"/>
      <x:c r="P85" s="621"/>
      <x:c r="Q85" s="621"/>
      <x:c r="R85" s="621"/>
      <x:c r="S85" s="621"/>
      <x:c r="T85" s="621"/>
      <x:c r="U85" s="621"/>
      <x:c r="V85" s="621"/>
      <x:c r="W85" s="621"/>
      <x:c r="X85" s="621"/>
      <x:c r="Y85" s="621" t="str">
        <x:v>河水进入渤海后又由海外侧流出</x:v>
      </x:c>
      <x:c r="Z85" s="621" t="e">
        <x:f>HYPERLINK("#'山海经原文总库'!A1264","查看对应原文段落")</x:f>
        <x:v>HYPERLINK is not implemented. linkLocation=#'山海经原文总库'!A1264, friendlyName=查看对应原文段落</x:v>
      </x:c>
      <x:c r="AA85" s="621" t="str">
        <x:v>全书多处渤海为不同水系汇入海域；本行只处理昆仑河水贯入接口。</x:v>
      </x:c>
      <x:c r="AB85" s="621"/>
      <x:c r="AC85" s="621"/>
      <x:c r="AD85" s="621"/>
      <x:c r="AE85" s="621"/>
      <x:c r="AF85" s="621"/>
      <x:c r="AG85" s="621"/>
      <x:c r="AH85" s="621" t="str">
        <x:v>不能把本坐标视作现实渤海经纬度，也不能把所有“渤海”段自动合并。
V022：不得把主棋盘一个100里格理解为该河宽100里；本节点的20里偏移仅为可读排版。</x:v>
      </x:c>
      <x:c r="AI85" s="621" t="str">
        <x:v>北行节点向西南取100里斜向分解，置(-720.7,+1079.3)。
V022多尺度重构：原坐标“X=-720.7里，Y=+1079.3里（-7.2，+10.8格）”属于旧100里最小邻接布局；现改为X=-664.1里，Y=+1055.9里（-6.6，+10.6格）。原文只锁方向／拓扑，20里为格内视觉偏移，不是文本里数。</x:v>
      </x:c>
      <x:c r="AJ85" s="621" t="str">
        <x:v>https://ctext.org/shan-hai-jing/hai-nei-xi-jing/zh</x:v>
      </x:c>
    </x:row>
    <x:row r="86" ht="72" customHeight="1">
      <x:c r="A86" s="621" t="str">
        <x:v>X=-684.1里，Y=+1055.9里（-6.8，+10.6格）</x:v>
      </x:c>
      <x:c r="B86" s="621" t="str">
        <x:v>河水（海外西行段）</x:v>
      </x:c>
      <x:c r="C86" s="621" t="str">
        <x:v>河流／海外段</x:v>
      </x:c>
      <x:c r="D86" s="621" t="str">
        <x:v>《海内西经》</x:v>
      </x:c>
      <x:c r="E86" s="621" t="str">
        <x:v>昆仑河水—渤海—积石主干</x:v>
      </x:c>
      <x:c r="F86" s="621" t="str">
        <x:v>西北</x:v>
      </x:c>
      <x:c r="G86" s="621" t="n">
        <x:v>1258.1</x:v>
      </x:c>
      <x:c r="H86" s="621" t="str">
        <x:v>直接参照地：渤海；河水海外北转段
原文流向：又出海外，即西而北</x:v>
      </x:c>
      <x:c r="I86" s="621" t="str">
        <x:v>无里数</x:v>
      </x:c>
      <x:c r="J86" s="621" t="str">
        <x:v>原文方向／拓扑锁定＋格内20里排版偏移（非文本距离）</x:v>
      </x:c>
      <x:c r="K86" s="621" t="str">
        <x:v>海外西行方向锁定；长度未锁
V022：方向与先后关系保留；20里只用于格内排版，实际长度未锁</x:v>
      </x:c>
      <x:c r="L86" s="621" t="str">
        <x:v>线型水系海外节点
线型水系；100里主格仅为索引，不代表河宽或河道占满整格</x:v>
      </x:c>
      <x:c r="M86" s="621"/>
      <x:c r="N86" s="621" t="str">
        <x:v>河水出渤海后的西行段</x:v>
      </x:c>
      <x:c r="O86" s="621"/>
      <x:c r="P86" s="621"/>
      <x:c r="Q86" s="621"/>
      <x:c r="R86" s="621"/>
      <x:c r="S86" s="621"/>
      <x:c r="T86" s="621"/>
      <x:c r="U86" s="621"/>
      <x:c r="V86" s="621"/>
      <x:c r="W86" s="621"/>
      <x:c r="X86" s="621"/>
      <x:c r="Y86" s="621" t="str">
        <x:v>河水出海外后先向西</x:v>
      </x:c>
      <x:c r="Z86" s="621" t="e">
        <x:f>HYPERLINK("#'山海经原文总库'!A1264","查看对应原文段落")</x:f>
        <x:v>HYPERLINK is not implemented. linkLocation=#'山海经原文总库'!A1264, friendlyName=查看对应原文段落</x:v>
      </x:c>
      <x:c r="AA86" s="621"/>
      <x:c r="AB86" s="621"/>
      <x:c r="AC86" s="621"/>
      <x:c r="AD86" s="621"/>
      <x:c r="AE86" s="621"/>
      <x:c r="AF86" s="621"/>
      <x:c r="AG86" s="621"/>
      <x:c r="AH86" s="621" t="str">
        <x:v>V022：不得把主棋盘一个100里格理解为该河宽100里；本节点的20里偏移仅为可读排版。</x:v>
      </x:c>
      <x:c r="AI86" s="621" t="str">
        <x:v>由渤海接口向西一格，置(-820.7,+1079.3)。
V022多尺度重构：原坐标“X=-820.7里，Y=+1079.3里（-8.2，+10.8格）”属于旧100里最小邻接布局；现改为X=-684.1里，Y=+1055.9里（-6.8，+10.6格）。原文只锁方向／拓扑，20里为格内视觉偏移，不是文本里数。</x:v>
      </x:c>
      <x:c r="AJ86" s="621" t="str">
        <x:v>https://ctext.org/shan-hai-jing/hai-nei-xi-jing/zh</x:v>
      </x:c>
    </x:row>
    <x:row r="87" ht="72" customHeight="1">
      <x:c r="A87" s="621" t="str">
        <x:v>X=-684.1里，Y=+1075.9里（-6.8，+10.8格）</x:v>
      </x:c>
      <x:c r="B87" s="621" t="str">
        <x:v>河水（海外北转段）</x:v>
      </x:c>
      <x:c r="C87" s="621" t="str">
        <x:v>河流／海外转折段</x:v>
      </x:c>
      <x:c r="D87" s="621" t="str">
        <x:v>《海内西经》</x:v>
      </x:c>
      <x:c r="E87" s="621" t="str">
        <x:v>昆仑河水—渤海—积石主干</x:v>
      </x:c>
      <x:c r="F87" s="621" t="str">
        <x:v>西北</x:v>
      </x:c>
      <x:c r="G87" s="621" t="n">
        <x:v>1275</x:v>
      </x:c>
      <x:c r="H87" s="621" t="str">
        <x:v>直接参照地：河水海外西行段；禹所积石山
原文流向：即西而北，入禹所导积石山</x:v>
      </x:c>
      <x:c r="I87" s="621" t="str">
        <x:v>无里数</x:v>
      </x:c>
      <x:c r="J87" s="621" t="str">
        <x:v>原文方向／拓扑锁定＋格内20里排版偏移（非文本距离）</x:v>
      </x:c>
      <x:c r="K87" s="621" t="str">
        <x:v>海外北转方向锁定；长度未锁
V022：方向与先后关系保留；20里只用于格内排版，实际长度未锁</x:v>
      </x:c>
      <x:c r="L87" s="621" t="str">
        <x:v>线型水系转折节点
线型水系；100里主格仅为索引，不代表河宽或河道占满整格</x:v>
      </x:c>
      <x:c r="M87" s="621"/>
      <x:c r="N87" s="621" t="str">
        <x:v>河水海外北行段</x:v>
      </x:c>
      <x:c r="O87" s="621"/>
      <x:c r="P87" s="621"/>
      <x:c r="Q87" s="621"/>
      <x:c r="R87" s="621"/>
      <x:c r="S87" s="621"/>
      <x:c r="T87" s="621"/>
      <x:c r="U87" s="621"/>
      <x:c r="V87" s="621"/>
      <x:c r="W87" s="621"/>
      <x:c r="X87" s="621"/>
      <x:c r="Y87" s="621" t="str">
        <x:v>河水西行后转北，趋向积石山</x:v>
      </x:c>
      <x:c r="Z87" s="621" t="e">
        <x:f>HYPERLINK("#'山海经原文总库'!A1264","查看对应原文段落")</x:f>
        <x:v>HYPERLINK is not implemented. linkLocation=#'山海经原文总库'!A1264, friendlyName=查看对应原文段落</x:v>
      </x:c>
      <x:c r="AA87" s="621"/>
      <x:c r="AB87" s="621"/>
      <x:c r="AC87" s="621"/>
      <x:c r="AD87" s="621"/>
      <x:c r="AE87" s="621"/>
      <x:c r="AF87" s="621"/>
      <x:c r="AG87" s="621"/>
      <x:c r="AH87" s="621" t="str">
        <x:v>V022：不得把主棋盘一个100里格理解为该河宽100里；本节点的20里偏移仅为可读排版。</x:v>
      </x:c>
      <x:c r="AI87" s="621" t="str">
        <x:v>由海外西行节点向北一格，置(-820.7,+1179.3)。
V022多尺度重构：原坐标“X=-820.7里，Y=+1179.3里（-8.2，+11.8格）”属于旧100里最小邻接布局；现改为X=-684.1里，Y=+1075.9里（-6.8，+10.8格）。原文只锁方向／拓扑，20里为格内视觉偏移，不是文本里数。</x:v>
      </x:c>
      <x:c r="AJ87" s="621" t="str">
        <x:v>https://ctext.org/shan-hai-jing/hai-nei-xi-jing/zh</x:v>
      </x:c>
    </x:row>
    <x:row r="88" ht="72" customHeight="1">
      <x:c r="A88" s="621" t="str">
        <x:v>X=-684.1里，Y=+1095.9里（-6.8，+11格）</x:v>
      </x:c>
      <x:c r="B88" s="621" t="str">
        <x:v>禹所导积石山／禹所积石之山</x:v>
      </x:c>
      <x:c r="C88" s="621" t="str">
        <x:v>山／河水入山接口</x:v>
      </x:c>
      <x:c r="D88" s="621" t="str">
        <x:v>《海内西经》《海外北经》《大荒北经》</x:v>
      </x:c>
      <x:c r="E88" s="621" t="str">
        <x:v>河水海外北段／积石接口</x:v>
      </x:c>
      <x:c r="F88" s="621" t="str">
        <x:v>西北</x:v>
      </x:c>
      <x:c r="G88" s="621" t="n">
        <x:v>1291.9</x:v>
      </x:c>
      <x:c r="H88" s="621" t="str">
        <x:v>直接参照地：河水；先槛大逢山
原文关系：《海内西经》河水入禹所导积石山；《海外北经》禹所积石之山为河水所入；《大荒北经》其在先槛大逢山西</x:v>
      </x:c>
      <x:c r="I88" s="621" t="str">
        <x:v>无里数</x:v>
      </x:c>
      <x:c r="J88" s="621" t="str">
        <x:v>原文方向／拓扑锁定＋格内20里排版偏移（非文本距离）</x:v>
      </x:c>
      <x:c r="K88" s="621" t="str">
        <x:v>河水入积石关系锁定；在先槛大逢山西锁定；三篇是否完全同一山为高强度候选
V022：方向与先后关系保留；20里只用于格内排版，实际长度未锁</x:v>
      </x:c>
      <x:c r="L88" s="621" t="str">
        <x:v>山体／治水接口；与河水终端节点共位
线型水系；100里主格仅为索引，不代表河宽或河道占满整格</x:v>
      </x:c>
      <x:c r="M88" s="621" t="str">
        <x:v>积石山体与河道穿入地形</x:v>
      </x:c>
      <x:c r="N88" s="621" t="str">
        <x:v>河水所入</x:v>
      </x:c>
      <x:c r="O88" s="621"/>
      <x:c r="P88" s="621"/>
      <x:c r="Q88" s="621"/>
      <x:c r="R88" s="621"/>
      <x:c r="S88" s="621"/>
      <x:c r="T88" s="621" t="str">
        <x:v>禹</x:v>
      </x:c>
      <x:c r="U88" s="621"/>
      <x:c r="V88" s="621"/>
      <x:c r="W88" s="621"/>
      <x:c r="X88" s="621"/>
      <x:c r="Y88" s="621" t="str">
        <x:v>禹导／积石；河水进入积石山</x:v>
      </x:c>
      <x:c r="Z88" s="621" t="e">
        <x:f>HYPERLINK("#'山海经原文总库'!A1264","查看对应原文段落")</x:f>
        <x:v>HYPERLINK is not implemented. linkLocation=#'山海经原文总库'!A1264, friendlyName=查看对应原文段落</x:v>
      </x:c>
      <x:c r="AA88" s="621" t="str">
        <x:v>《西山经》另有积石之山，暂不直接并入本对象。</x:v>
      </x:c>
      <x:c r="AB88" s="621" t="str">
        <x:v>“导”强调禹疏导河道；“积石”可同时是山名与治水叙事标识。</x:v>
      </x:c>
      <x:c r="AC88" s="621"/>
      <x:c r="AD88" s="621"/>
      <x:c r="AE88" s="621"/>
      <x:c r="AF88" s="621"/>
      <x:c r="AG88" s="621"/>
      <x:c r="AH88" s="621" t="str">
        <x:v>不可因名称相近自动等同所有积石山，也不能直接套用现实积石峡定位。
V022：不得把主棋盘一个100里格理解为该河宽100里；本节点的20里偏移仅为可读排版。</x:v>
      </x:c>
      <x:c r="AI88" s="621" t="str">
        <x:v>河水北转段再向北一格置积石山(-820.7,+1279.3)；《大荒北经》要求其在先槛大逢山西。
V022多尺度重构：原坐标“X=-820.7里，Y=+1279.3里（-8.2，+12.8格）”属于旧100里最小邻接布局；现改为X=-684.1里，Y=+1095.9里（-6.8，+11格）。原文只锁方向／拓扑，20里为格内视觉偏移，不是文本里数。</x:v>
      </x:c>
      <x:c r="AJ88" s="621" t="str">
        <x:v>https://ctext.org/shan-hai-jing/hai-nei-xi-jing/zh
https://ctext.org/shan-hai-jing/hai-wai-bei-jing/zh
https://ctext.org/shan-hai-jing/da-huang-bei-jing/zh</x:v>
      </x:c>
    </x:row>
    <x:row r="89" ht="72" customHeight="1">
      <x:c r="A89" s="622" t="str">
        <x:v>X=-664.1里，Y=+1095.9里（-6.6，+11格）</x:v>
      </x:c>
      <x:c r="B89" s="622" t="str">
        <x:v>先槛大逢之山</x:v>
      </x:c>
      <x:c r="C89" s="622" t="str">
        <x:v>山／河济汇入接口</x:v>
      </x:c>
      <x:c r="D89" s="622" t="str">
        <x:v>《大荒北经》</x:v>
      </x:c>
      <x:c r="E89" s="622" t="str">
        <x:v>大荒北／积石山东侧</x:v>
      </x:c>
      <x:c r="F89" s="622" t="str">
        <x:v>西北</x:v>
      </x:c>
      <x:c r="G89" s="622" t="n">
        <x:v>1281.4</x:v>
      </x:c>
      <x:c r="H89" s="622" t="str">
        <x:v>直接参照地：禹所积石；河水；济水；海
原文关系：禹所积石在其西；河、济所入，海北注</x:v>
      </x:c>
      <x:c r="I89" s="622" t="str">
        <x:v>无里数</x:v>
      </x:c>
      <x:c r="J89" s="622" t="str">
        <x:v>原文方向／拓扑锁定＋格内20里排版偏移（非文本距离）</x:v>
      </x:c>
      <x:c r="K89" s="622" t="str">
        <x:v>在禹所积石东关系锁定；河济入山与海北注关系锁定
V022：方向与先后关系保留；20里只用于格内排版，实际长度未锁</x:v>
      </x:c>
      <x:c r="L89" s="622" t="str">
        <x:v>山体与多水接口
线型水系；100里主格仅为索引，不代表河宽或河道占满整格</x:v>
      </x:c>
      <x:c r="M89" s="622" t="str">
        <x:v>大荒北山岳／河海交接地形</x:v>
      </x:c>
      <x:c r="N89" s="622" t="str">
        <x:v>河水、济水所入；海向北注</x:v>
      </x:c>
      <x:c r="O89" s="622"/>
      <x:c r="P89" s="622"/>
      <x:c r="Q89" s="622"/>
      <x:c r="R89" s="622"/>
      <x:c r="S89" s="622"/>
      <x:c r="T89" s="622"/>
      <x:c r="U89" s="622"/>
      <x:c r="V89" s="622"/>
      <x:c r="W89" s="622"/>
      <x:c r="X89" s="622"/>
      <x:c r="Y89" s="622" t="str">
        <x:v>河、济汇入；海水北注</x:v>
      </x:c>
      <x:c r="Z89" s="622" t="e">
        <x:f>HYPERLINK("#'山海经原文总库'!A1759","查看对应原文段落")</x:f>
        <x:v>HYPERLINK is not implemented. linkLocation=#'山海经原文总库'!A1759, friendlyName=查看对应原文段落</x:v>
      </x:c>
      <x:c r="AA89" s="622"/>
      <x:c r="AB89" s="622"/>
      <x:c r="AC89" s="622"/>
      <x:c r="AD89" s="622"/>
      <x:c r="AE89" s="622"/>
      <x:c r="AF89" s="622"/>
      <x:c r="AG89" s="622"/>
      <x:c r="AH89" s="622" t="str">
        <x:v>V022：不得把主棋盘一个100里格理解为该河宽100里；本节点的20里偏移仅为可读排版。</x:v>
      </x:c>
      <x:c r="AI89" s="622" t="str">
        <x:v>禹所积石向东最小邻接100里，置(-720.7,+1279.3)。
V022多尺度重构：原坐标“X=-720.7里，Y=+1279.3里（-7.2，+12.8格）”属于旧100里最小邻接布局；现改为X=-664.1里，Y=+1095.9里（-6.6，+11格）。原文只锁方向／拓扑，20里为格内视觉偏移，不是文本里数。</x:v>
      </x:c>
      <x:c r="AJ89" s="622" t="str">
        <x:v>https://ctext.org/shan-hai-jing/da-huang-bei-jing/zh</x:v>
      </x:c>
    </x:row>
    <x:row r="90" ht="72" customHeight="1">
      <x:c r="A90" s="622" t="str">
        <x:v>X=-664.1里，Y=+1095.9里（-6.6，+11格）</x:v>
      </x:c>
      <x:c r="B90" s="622" t="str">
        <x:v>济水（先槛大逢汇入段）</x:v>
      </x:c>
      <x:c r="C90" s="622" t="str">
        <x:v>河流／汇入段</x:v>
      </x:c>
      <x:c r="D90" s="622" t="str">
        <x:v>《大荒北经》</x:v>
      </x:c>
      <x:c r="E90" s="622" t="str">
        <x:v>先槛大逢山</x:v>
      </x:c>
      <x:c r="F90" s="622" t="str">
        <x:v>西北</x:v>
      </x:c>
      <x:c r="G90" s="622" t="n">
        <x:v>1281.4</x:v>
      </x:c>
      <x:c r="H90" s="622" t="str">
        <x:v>直接参照地：先槛大逢山；河水
原文关系：河济所入</x:v>
      </x:c>
      <x:c r="I90" s="622" t="str">
        <x:v>无里数</x:v>
      </x:c>
      <x:c r="J90" s="622" t="str">
        <x:v>原文方向／拓扑锁定＋格内20里排版偏移（非文本距离）</x:v>
      </x:c>
      <x:c r="K90" s="622" t="str">
        <x:v>汇入先槛大逢山关系锁定；上游未建
V022：方向与先后关系保留；20里只用于格内排版，实际长度未锁</x:v>
      </x:c>
      <x:c r="L90" s="622" t="str">
        <x:v>线型水系终端／汇入节点
线型水系；100里主格仅为索引，不代表河宽或河道占满整格</x:v>
      </x:c>
      <x:c r="M90" s="622"/>
      <x:c r="N90" s="622" t="str">
        <x:v>济水汇入先槛大逢山</x:v>
      </x:c>
      <x:c r="O90" s="622"/>
      <x:c r="P90" s="622"/>
      <x:c r="Q90" s="622"/>
      <x:c r="R90" s="622"/>
      <x:c r="S90" s="622"/>
      <x:c r="T90" s="622"/>
      <x:c r="U90" s="622"/>
      <x:c r="V90" s="622"/>
      <x:c r="W90" s="622"/>
      <x:c r="X90" s="622"/>
      <x:c r="Y90" s="622"/>
      <x:c r="Z90" s="622" t="e">
        <x:f>HYPERLINK("#'山海经原文总库'!A1761","查看对应原文段落")</x:f>
        <x:v>HYPERLINK is not implemented. linkLocation=#'山海经原文总库'!A1761, friendlyName=查看对应原文段落</x:v>
      </x:c>
      <x:c r="AA90" s="622"/>
      <x:c r="AB90" s="622"/>
      <x:c r="AC90" s="622"/>
      <x:c r="AD90" s="622"/>
      <x:c r="AE90" s="622"/>
      <x:c r="AF90" s="622"/>
      <x:c r="AG90" s="622"/>
      <x:c r="AH90" s="622" t="str">
        <x:v>本行仅为大荒北经济水终端，不与海内东经济水源流自动合并。
V022：不得把主棋盘一个100里格理解为该河宽100里；本节点的20里偏移仅为可读排版。</x:v>
      </x:c>
      <x:c r="AI90" s="622" t="str">
        <x:v>与先槛大逢山共位，表示原文“河济所入”。
V022多尺度重构：原坐标“X=-720.7里，Y=+1279.3里（-7.2，+12.8格）”属于旧100里最小邻接布局；现改为X=-664.1里，Y=+1095.9里（-6.6，+11格）。原文只锁方向／拓扑，20里为格内视觉偏移，不是文本里数。</x:v>
      </x:c>
      <x:c r="AJ90" s="622" t="str">
        <x:v>https://ctext.org/shan-hai-jing/da-huang-bei-jing/zh</x:v>
      </x:c>
    </x:row>
    <x:row r="91" ht="72" customHeight="1">
      <x:c r="A91" s="622" t="str">
        <x:v>X=-664.1里，Y=+1115.9里（-6.6，+11.2格）</x:v>
      </x:c>
      <x:c r="B91" s="622" t="str">
        <x:v>海（先槛大逢北注接口）</x:v>
      </x:c>
      <x:c r="C91" s="622" t="str">
        <x:v>海域／北注接口</x:v>
      </x:c>
      <x:c r="D91" s="622" t="str">
        <x:v>《大荒北经》</x:v>
      </x:c>
      <x:c r="E91" s="622" t="str">
        <x:v>先槛大逢山北侧</x:v>
      </x:c>
      <x:c r="F91" s="622" t="str">
        <x:v>西北</x:v>
      </x:c>
      <x:c r="G91" s="622" t="n">
        <x:v>1298.5</x:v>
      </x:c>
      <x:c r="H91" s="622" t="str">
        <x:v>直接参照地：先槛大逢山
原文关系：海北注焉</x:v>
      </x:c>
      <x:c r="I91" s="622" t="str">
        <x:v>无里数</x:v>
      </x:c>
      <x:c r="J91" s="622" t="str">
        <x:v>原文方向／拓扑锁定＋格内20里排版偏移（非文本距离）</x:v>
      </x:c>
      <x:c r="K91" s="622" t="str">
        <x:v>海水北注关系锁定；海域边界未锁
V022：方向与先后关系保留；20里只用于格内排版，实际长度未锁</x:v>
      </x:c>
      <x:c r="L91" s="622" t="str">
        <x:v>海域接口；仅表示北注方向
水域接口／面积层；蓝色面积仅表示水体存在，不据此推定完整边界</x:v>
      </x:c>
      <x:c r="M91" s="622"/>
      <x:c r="N91" s="622" t="str">
        <x:v>海水向北注流</x:v>
      </x:c>
      <x:c r="O91" s="622"/>
      <x:c r="P91" s="622"/>
      <x:c r="Q91" s="622"/>
      <x:c r="R91" s="622"/>
      <x:c r="S91" s="622"/>
      <x:c r="T91" s="622"/>
      <x:c r="U91" s="622"/>
      <x:c r="V91" s="622"/>
      <x:c r="W91" s="622"/>
      <x:c r="X91" s="622"/>
      <x:c r="Y91" s="622"/>
      <x:c r="Z91" s="622" t="e">
        <x:f>HYPERLINK("#'山海经原文总库'!A1762","查看对应原文段落")</x:f>
        <x:v>HYPERLINK is not implemented. linkLocation=#'山海经原文总库'!A1762, friendlyName=查看对应原文段落</x:v>
      </x:c>
      <x:c r="AA91" s="622"/>
      <x:c r="AB91" s="622"/>
      <x:c r="AC91" s="622"/>
      <x:c r="AD91" s="622"/>
      <x:c r="AE91" s="622"/>
      <x:c r="AF91" s="622"/>
      <x:c r="AG91" s="622"/>
      <x:c r="AH91" s="622" t="str">
        <x:v>“海北注”不等同现代海流方向，也不能据此确定完整海岸线。
V022：不得把主棋盘一个100里格理解为该河宽100里；本节点的20里偏移仅为可读排版。</x:v>
      </x:c>
      <x:c r="AI91" s="622" t="str">
        <x:v>从先槛大逢山向北一格置接口(-720.7,+1379.3)。
V022多尺度重构：原坐标“X=-720.7里，Y=+1379.3里（-7.2，+13.8格）”属于旧100里最小邻接布局；现改为X=-664.1里，Y=+1115.9里（-6.6，+11.2格）。原文只锁方向／拓扑，20里为格内视觉偏移，不是文本里数。</x:v>
      </x:c>
      <x:c r="AJ91" s="622" t="str">
        <x:v>https://ctext.org/shan-hai-jing/da-huang-bei-jing/zh</x:v>
      </x:c>
    </x:row>
    <x:row r="92" ht="72" customHeight="1">
      <x:c r="A92" s="621" t="str">
        <x:v>X=-1430里，Y=+1050里（-14.3，+10.5格）</x:v>
      </x:c>
      <x:c r="B92" s="621" t="str">
        <x:v>洋水—黑水（东行第一段）</x:v>
      </x:c>
      <x:c r="C92" s="621" t="str">
        <x:v>双河路径节点</x:v>
      </x:c>
      <x:c r="D92" s="621" t="str">
        <x:v>《海内西经》</x:v>
      </x:c>
      <x:c r="E92" s="621" t="str">
        <x:v>昆仑西北隅—羽民南入海路径</x:v>
      </x:c>
      <x:c r="F92" s="621" t="str">
        <x:v>西北</x:v>
      </x:c>
      <x:c r="G92" s="621" t="n">
        <x:v>1774.1</x:v>
      </x:c>
      <x:c r="H92" s="621" t="str">
        <x:v>直接参照地：洋水、黑水昆仑源段
原文流向：出西北隅，以东</x:v>
      </x:c>
      <x:c r="I92" s="621" t="str">
        <x:v>无里数</x:v>
      </x:c>
      <x:c r="J92" s="621" t="str">
        <x:v>原文方向／拓扑锁定＋格内20里排版偏移（非文本距离）</x:v>
      </x:c>
      <x:c r="K92" s="621" t="str">
        <x:v>两水同向东行关系锁定；是否同槽共流未锁
V022：方向与先后关系保留；20里只用于格内排版，实际长度未锁</x:v>
      </x:c>
      <x:c r="L92" s="621" t="str">
        <x:v>洋水、黑水共享方向节点；不等同两河合流
线型水系；100里主格仅为索引，不代表河宽或河道占满整格</x:v>
      </x:c>
      <x:c r="M92" s="621"/>
      <x:c r="N92" s="621" t="str">
        <x:v>洋水、黑水东行第一段</x:v>
      </x:c>
      <x:c r="O92" s="621"/>
      <x:c r="P92" s="621"/>
      <x:c r="Q92" s="621"/>
      <x:c r="R92" s="621"/>
      <x:c r="S92" s="621"/>
      <x:c r="T92" s="621"/>
      <x:c r="U92" s="621"/>
      <x:c r="V92" s="621"/>
      <x:c r="W92" s="621"/>
      <x:c r="X92" s="621"/>
      <x:c r="Y92" s="621"/>
      <x:c r="Z92" s="621" t="e">
        <x:f>HYPERLINK("#'山海经原文总库'!A1265","查看对应原文段落")</x:f>
        <x:v>HYPERLINK is not implemented. linkLocation=#'山海经原文总库'!A1265, friendlyName=查看对应原文段落</x:v>
      </x:c>
      <x:c r="AA92" s="621"/>
      <x:c r="AB92" s="621"/>
      <x:c r="AC92" s="621"/>
      <x:c r="AD92" s="621"/>
      <x:c r="AE92" s="621"/>
      <x:c r="AF92" s="621"/>
      <x:c r="AG92" s="621"/>
      <x:c r="AH92" s="621" t="str">
        <x:v>共用节点仅表示相同方向序列，不证明两河水体合并。
V022：不得把主棋盘一个100里格理解为该河宽100里；本节点的20里偏移仅为可读排版。</x:v>
      </x:c>
      <x:c r="AI92" s="621" t="str">
        <x:v>共同源角(-1450,+1050)向东一格置(-1350,+1050)。
V022多尺度重构：原坐标“X=-1350里，Y=+1050里（-13.5，+10.5格）”属于旧100里最小邻接布局；现改为X=-1430里，Y=+1050里（-14.3，+10.5格）。原文只锁方向／拓扑，20里为格内视觉偏移，不是文本里数。</x:v>
      </x:c>
      <x:c r="AJ92" s="621" t="str">
        <x:v>https://ctext.org/shan-hai-jing/hai-nei-xi-jing/zh</x:v>
      </x:c>
    </x:row>
    <x:row r="93" ht="72" customHeight="1">
      <x:c r="A93" s="621" t="str">
        <x:v>X=-1410里，Y=+1050里（-14.1，+10.5格）</x:v>
      </x:c>
      <x:c r="B93" s="621" t="str">
        <x:v>洋水—黑水（东行第二段）</x:v>
      </x:c>
      <x:c r="C93" s="621" t="str">
        <x:v>双河路径节点</x:v>
      </x:c>
      <x:c r="D93" s="621" t="str">
        <x:v>《海内西经》</x:v>
      </x:c>
      <x:c r="E93" s="621" t="str">
        <x:v>昆仑西北隅—羽民南入海路径</x:v>
      </x:c>
      <x:c r="F93" s="621" t="str">
        <x:v>西北</x:v>
      </x:c>
      <x:c r="G93" s="621" t="n">
        <x:v>1758</x:v>
      </x:c>
      <x:c r="H93" s="621" t="str">
        <x:v>直接参照地：东行第一段；东北转段
原文流向：东行，又东北</x:v>
      </x:c>
      <x:c r="I93" s="621" t="str">
        <x:v>无里数</x:v>
      </x:c>
      <x:c r="J93" s="621" t="str">
        <x:v>原文方向／拓扑锁定＋格内20里排版偏移（非文本距离）</x:v>
      </x:c>
      <x:c r="K93" s="621" t="str">
        <x:v>东行次序锁定；长度未锁
V022：方向与先后关系保留；20里只用于格内排版，实际长度未锁</x:v>
      </x:c>
      <x:c r="L93" s="621" t="str">
        <x:v>双河方向节点
线型水系；100里主格仅为索引，不代表河宽或河道占满整格</x:v>
      </x:c>
      <x:c r="M93" s="621"/>
      <x:c r="N93" s="621" t="str">
        <x:v>洋水、黑水东行第二段</x:v>
      </x:c>
      <x:c r="O93" s="621"/>
      <x:c r="P93" s="621"/>
      <x:c r="Q93" s="621"/>
      <x:c r="R93" s="621"/>
      <x:c r="S93" s="621"/>
      <x:c r="T93" s="621"/>
      <x:c r="U93" s="621"/>
      <x:c r="V93" s="621"/>
      <x:c r="W93" s="621"/>
      <x:c r="X93" s="621"/>
      <x:c r="Y93" s="621"/>
      <x:c r="Z93" s="621" t="e">
        <x:f>HYPERLINK("#'山海经原文总库'!A1265","查看对应原文段落")</x:f>
        <x:v>HYPERLINK is not implemented. linkLocation=#'山海经原文总库'!A1265, friendlyName=查看对应原文段落</x:v>
      </x:c>
      <x:c r="AA93" s="621"/>
      <x:c r="AB93" s="621"/>
      <x:c r="AC93" s="621"/>
      <x:c r="AD93" s="621"/>
      <x:c r="AE93" s="621"/>
      <x:c r="AF93" s="621"/>
      <x:c r="AG93" s="621"/>
      <x:c r="AH93" s="621" t="str">
        <x:v>V022：不得把主棋盘一个100里格理解为该河宽100里；本节点的20里偏移仅为可读排版。</x:v>
      </x:c>
      <x:c r="AI93" s="621" t="str">
        <x:v>由第一段再向东一格，置(-1250,+1050)。
V022多尺度重构：原坐标“X=-1250里，Y=+1050里（-12.5，+10.5格）”属于旧100里最小邻接布局；现改为X=-1410里，Y=+1050里（-14.1，+10.5格）。原文只锁方向／拓扑，20里为格内视觉偏移，不是文本里数。</x:v>
      </x:c>
      <x:c r="AJ93" s="621" t="str">
        <x:v>https://ctext.org/shan-hai-jing/hai-nei-xi-jing/zh</x:v>
      </x:c>
    </x:row>
    <x:row r="94" ht="72" customHeight="1">
      <x:c r="A94" s="621" t="str">
        <x:v>X=-1395.9里，Y=+1064.1里（-14，+10.6格）</x:v>
      </x:c>
      <x:c r="B94" s="621" t="str">
        <x:v>洋水—黑水（东北转折段）</x:v>
      </x:c>
      <x:c r="C94" s="621" t="str">
        <x:v>双河路径节点</x:v>
      </x:c>
      <x:c r="D94" s="621" t="str">
        <x:v>《海内西经》</x:v>
      </x:c>
      <x:c r="E94" s="621" t="str">
        <x:v>昆仑西北隅—羽民南入海路径</x:v>
      </x:c>
      <x:c r="F94" s="621" t="str">
        <x:v>西北</x:v>
      </x:c>
      <x:c r="G94" s="621" t="n">
        <x:v>1755.2</x:v>
      </x:c>
      <x:c r="H94" s="621" t="str">
        <x:v>直接参照地：东行第二段；羽民国；入海口
原文流向：又东北，南入海，羽民南</x:v>
      </x:c>
      <x:c r="I94" s="621" t="str">
        <x:v>无里数</x:v>
      </x:c>
      <x:c r="J94" s="621" t="str">
        <x:v>原文方向／拓扑锁定＋格内20里排版偏移（非文本距离）</x:v>
      </x:c>
      <x:c r="K94" s="621" t="str">
        <x:v>东北转向锁定；距入海口与羽民距离推定
V022：方向与先后关系保留；20里只用于格内排版，实际长度未锁</x:v>
      </x:c>
      <x:c r="L94" s="621" t="str">
        <x:v>双河转折节点；与羽民国可共享坐标层
线型水系；100里主格仅为索引，不代表河宽或河道占满整格</x:v>
      </x:c>
      <x:c r="M94" s="621"/>
      <x:c r="N94" s="621" t="str">
        <x:v>洋水、黑水东北转折段</x:v>
      </x:c>
      <x:c r="O94" s="621"/>
      <x:c r="P94" s="621"/>
      <x:c r="Q94" s="621"/>
      <x:c r="R94" s="621"/>
      <x:c r="S94" s="621"/>
      <x:c r="T94" s="621"/>
      <x:c r="U94" s="621"/>
      <x:c r="V94" s="621"/>
      <x:c r="W94" s="621"/>
      <x:c r="X94" s="621"/>
      <x:c r="Y94" s="621"/>
      <x:c r="Z94" s="621" t="e">
        <x:f>HYPERLINK("#'山海经原文总库'!A1265","查看对应原文段落")</x:f>
        <x:v>HYPERLINK is not implemented. linkLocation=#'山海经原文总库'!A1265, friendlyName=查看对应原文段落</x:v>
      </x:c>
      <x:c r="AA94" s="621"/>
      <x:c r="AB94" s="621"/>
      <x:c r="AC94" s="621"/>
      <x:c r="AD94" s="621"/>
      <x:c r="AE94" s="621"/>
      <x:c r="AF94" s="621"/>
      <x:c r="AG94" s="621"/>
      <x:c r="AH94" s="621" t="str">
        <x:v>V022：不得把主棋盘一个100里格理解为该河宽100里；本节点的20里偏移仅为可读排版。</x:v>
      </x:c>
      <x:c r="AI94" s="621" t="str">
        <x:v>从(-1250,+1050)东北100里，ΔX=+70.7、ΔY=+70.7，得(-1179.3,+1120.7)。
V022多尺度重构：原坐标“X=-1179.3里，Y=+1120.7里（-11.8，+11.2格）”属于旧100里最小邻接布局；现改为X=-1395.9里，Y=+1064.1里（-14，+10.6格）。原文只锁方向／拓扑，20里为格内视觉偏移，不是文本里数。</x:v>
      </x:c>
      <x:c r="AJ94" s="621" t="str">
        <x:v>https://ctext.org/shan-hai-jing/hai-nei-xi-jing/zh</x:v>
      </x:c>
    </x:row>
    <x:row r="95" ht="72" customHeight="1">
      <x:c r="A95" s="621" t="str">
        <x:v>X=-1395.9里，Y=+1084.1里（-14，+10.8格）</x:v>
      </x:c>
      <x:c r="B95" s="621" t="str">
        <x:v>羽民国（洋水黑水入海北侧）</x:v>
      </x:c>
      <x:c r="C95" s="621" t="str">
        <x:v>国家／族群区域</x:v>
      </x:c>
      <x:c r="D95" s="621" t="str">
        <x:v>《海内西经》《海外南经》《大荒南经》</x:v>
      </x:c>
      <x:c r="E95" s="621" t="str">
        <x:v>洋水—黑水入海北侧／羽民传统</x:v>
      </x:c>
      <x:c r="F95" s="621" t="str">
        <x:v>西北</x:v>
      </x:c>
      <x:c r="G95" s="621" t="n">
        <x:v>1767.4</x:v>
      </x:c>
      <x:c r="H95" s="621" t="str">
        <x:v>直接参照地：洋水、黑水入海口；比翼鸟／二八神文本链
原文关系：《海内西经》入海处在羽民南；《海外南经》羽民国在前项东南；《大荒南经》另有羽民之国</x:v>
      </x:c>
      <x:c r="I95" s="621" t="str">
        <x:v>无里数</x:v>
      </x:c>
      <x:c r="J95" s="621" t="str">
        <x:v>原文方向／拓扑锁定＋格内20里排版偏移（非文本距离）</x:v>
      </x:c>
      <x:c r="K95" s="621" t="str">
        <x:v>位于洋黑水入海口北关系锁定；三篇羽民是否同国未锁
V022：方向与先后关系保留；20里只用于格内排版，实际长度未锁</x:v>
      </x:c>
      <x:c r="L95" s="621" t="str">
        <x:v>国家／族群区域；中心代表点
线型水系；100里主格仅为索引，不代表河宽或河道占满整格</x:v>
      </x:c>
      <x:c r="M95" s="621"/>
      <x:c r="N95" s="621"/>
      <x:c r="O95" s="621"/>
      <x:c r="P95" s="621"/>
      <x:c r="Q95" s="621"/>
      <x:c r="R95" s="621"/>
      <x:c r="S95" s="621"/>
      <x:c r="T95" s="621"/>
      <x:c r="U95" s="621"/>
      <x:c r="V95" s="621" t="str">
        <x:v>羽民</x:v>
      </x:c>
      <x:c r="W95" s="621" t="str">
        <x:v>《海外南经》长头或长颊、身生羽；《大荒南经》民皆生毛羽</x:v>
      </x:c>
      <x:c r="X95" s="621"/>
      <x:c r="Y95" s="621" t="str">
        <x:v>洋水、黑水在其南方入海</x:v>
      </x:c>
      <x:c r="Z95" s="621" t="e">
        <x:f>HYPERLINK("#'山海经原文总库'!A1268","查看对应原文段落")</x:f>
        <x:v>HYPERLINK is not implemented. linkLocation=#'山海经原文总库'!A1268, friendlyName=查看对应原文段落</x:v>
      </x:c>
      <x:c r="AA95" s="621" t="str">
        <x:v>海外南经与大荒南经两处羽民国形貌相近，暂作高强度同名候选，未证明完全同地。</x:v>
      </x:c>
      <x:c r="AB95" s="621"/>
      <x:c r="AC95" s="621"/>
      <x:c r="AD95" s="621"/>
      <x:c r="AE95" s="621"/>
      <x:c r="AF95" s="621"/>
      <x:c r="AG95" s="621"/>
      <x:c r="AH95" s="621" t="str">
        <x:v>不能把羽民简单等同鸟人王国的后世统一设定，也不能借现实民族学直接定位。
V022：不得把主棋盘一个100里格理解为该河宽100里；本节点的20里偏移仅为可读排版。</x:v>
      </x:c>
      <x:c r="AI95" s="621" t="str">
        <x:v>入海口需位于羽民南；羽民暂与东北转折节点共位(-1179.3,+1120.7)，入海口置其南一格。
V022多尺度重构：原坐标“X=-1179.3里，Y=+1120.7里（-11.8，+11.2格）”属于旧100里最小邻接布局；现改为X=-1395.9里，Y=+1084.1里（-14，+10.8格）。原文只锁方向／拓扑，20里为格内视觉偏移，不是文本里数。</x:v>
      </x:c>
      <x:c r="AJ95" s="621" t="str">
        <x:v>https://ctext.org/shan-hai-jing/hai-nei-xi-jing/zh
https://ctext.org/shan-hai-jing/hai-wai-nan-jing/zh
https://ctext.org/shan-hai-jing/da-huang-nan-jing/zh</x:v>
      </x:c>
    </x:row>
    <x:row r="96" ht="72" customHeight="1">
      <x:c r="A96" s="621" t="str">
        <x:v>X=-1395.9里，Y=+1064.1里（-14，+10.6格）</x:v>
      </x:c>
      <x:c r="B96" s="621" t="str">
        <x:v>海（洋水—黑水羽民南入海口）</x:v>
      </x:c>
      <x:c r="C96" s="621" t="str">
        <x:v>海域／双河入海接口</x:v>
      </x:c>
      <x:c r="D96" s="621" t="str">
        <x:v>《海内西经》</x:v>
      </x:c>
      <x:c r="E96" s="621" t="str">
        <x:v>羽民国南侧</x:v>
      </x:c>
      <x:c r="F96" s="621" t="str">
        <x:v>西北</x:v>
      </x:c>
      <x:c r="G96" s="621" t="n">
        <x:v>1755.2</x:v>
      </x:c>
      <x:c r="H96" s="621" t="str">
        <x:v>直接参照地：洋水、黑水东北转折段；羽民国
原文关系：南入海，羽民南</x:v>
      </x:c>
      <x:c r="I96" s="621" t="str">
        <x:v>无里数</x:v>
      </x:c>
      <x:c r="J96" s="621" t="str">
        <x:v>原文方向／拓扑锁定＋格内20里排版偏移（非文本距离）</x:v>
      </x:c>
      <x:c r="K96" s="621" t="str">
        <x:v>位于羽民南并接纳洋黑水关系锁定；V022移至昆仑北界之外；20里南北间距为排版偏移，实际距离未锁</x:v>
      </x:c>
      <x:c r="L96" s="621" t="str">
        <x:v>海域接口
水域接口／面积层；蓝色面积仅表示水体存在，不据此推定完整边界</x:v>
      </x:c>
      <x:c r="M96" s="621"/>
      <x:c r="N96" s="621" t="str">
        <x:v>洋水、黑水共同到达的入海区</x:v>
      </x:c>
      <x:c r="O96" s="621"/>
      <x:c r="P96" s="621"/>
      <x:c r="Q96" s="621"/>
      <x:c r="R96" s="621"/>
      <x:c r="S96" s="621"/>
      <x:c r="T96" s="621"/>
      <x:c r="U96" s="621"/>
      <x:c r="V96" s="621"/>
      <x:c r="W96" s="621"/>
      <x:c r="X96" s="621"/>
      <x:c r="Y96" s="621"/>
      <x:c r="Z96" s="621" t="e">
        <x:f>HYPERLINK("#'山海经原文总库'!A1267","查看对应原文段落")</x:f>
        <x:v>HYPERLINK is not implemented. linkLocation=#'山海经原文总库'!A1267, friendlyName=查看对应原文段落</x:v>
      </x:c>
      <x:c r="AA96" s="621"/>
      <x:c r="AB96" s="621"/>
      <x:c r="AC96" s="621"/>
      <x:c r="AD96" s="621"/>
      <x:c r="AE96" s="621"/>
      <x:c r="AF96" s="621"/>
      <x:c r="AG96" s="621"/>
      <x:c r="AH96" s="621" t="str">
        <x:v>旧坐标落入昆仑主体北缘，是100里最小邻接造成的假冲突。V022只修正排版位置，不证明海域距昆仑仅20里。</x:v>
      </x:c>
      <x:c r="AI96" s="621" t="str">
        <x:v>v019显示冲突但不移动坐标：(-1179.3,+1020.7)落在昆仑8×8主体北缘内。后续需重算洋黑水路径应沿边界还是由山外展开。
V022多尺度重构：原坐标“X=-1179.3里，Y=+1020.7里（-11.8，+10.2格）”属于旧100里最小邻接布局；现改为X=-1395.9里，Y=+1064.1里（-14，+10.6格）。原文只锁方向／拓扑，20里为格内视觉偏移，不是文本里数。</x:v>
      </x:c>
      <x:c r="AJ96" s="621" t="str">
        <x:v>https://ctext.org/shan-hai-jing/hai-nei-xi-jing/zh</x:v>
      </x:c>
    </x:row>
    <x:row r="97" ht="72" customHeight="1">
      <x:c r="A97" s="621" t="str">
        <x:v>X=-635.9里，Y=+264.1里（-6.4，+2.6格）</x:v>
      </x:c>
      <x:c r="B97" s="621" t="str">
        <x:v>赤水（昆仑东北行段）</x:v>
      </x:c>
      <x:c r="C97" s="621" t="str">
        <x:v>河流／方向节点</x:v>
      </x:c>
      <x:c r="D97" s="621" t="str">
        <x:v>《海内西经》</x:v>
      </x:c>
      <x:c r="E97" s="621" t="str">
        <x:v>昆仑赤水源—氾天终止候选线</x:v>
      </x:c>
      <x:c r="F97" s="621" t="str">
        <x:v>西北</x:v>
      </x:c>
      <x:c r="G97" s="621" t="n">
        <x:v>688.5</x:v>
      </x:c>
      <x:c r="H97" s="621" t="str">
        <x:v>直接参照地：赤水昆仑源段
原文流向：出东南隅，以行其东北</x:v>
      </x:c>
      <x:c r="I97" s="621" t="str">
        <x:v>无里数</x:v>
      </x:c>
      <x:c r="J97" s="621" t="str">
        <x:v>原文方向／拓扑锁定＋格内20里排版偏移（非文本距离）</x:v>
      </x:c>
      <x:c r="K97" s="621" t="str">
        <x:v>东北初始流向锁定；后续中段未锁
V022：方向与先后关系保留；20里只用于格内排版，实际长度未锁</x:v>
      </x:c>
      <x:c r="L97" s="621" t="str">
        <x:v>线型水系方向节点
线型水系；100里主格仅为索引，不代表河宽或河道占满整格</x:v>
      </x:c>
      <x:c r="M97" s="621"/>
      <x:c r="N97" s="621" t="str">
        <x:v>赤水东北行代表段</x:v>
      </x:c>
      <x:c r="O97" s="621"/>
      <x:c r="P97" s="621"/>
      <x:c r="Q97" s="621"/>
      <x:c r="R97" s="621"/>
      <x:c r="S97" s="621"/>
      <x:c r="T97" s="621"/>
      <x:c r="U97" s="621"/>
      <x:c r="V97" s="621"/>
      <x:c r="W97" s="621"/>
      <x:c r="X97" s="621"/>
      <x:c r="Y97" s="621"/>
      <x:c r="Z97" s="621" t="e">
        <x:f>HYPERLINK("#'山海经原文总库'!A1263","查看对应原文段落")</x:f>
        <x:v>HYPERLINK is not implemented. linkLocation=#'山海经原文总库'!A1263, friendlyName=查看对应原文段落</x:v>
      </x:c>
      <x:c r="AA97" s="621"/>
      <x:c r="AB97" s="621"/>
      <x:c r="AC97" s="621"/>
      <x:c r="AD97" s="621"/>
      <x:c r="AE97" s="621"/>
      <x:c r="AF97" s="621"/>
      <x:c r="AG97" s="621"/>
      <x:c r="AH97" s="621" t="str">
        <x:v>V022：不得把主棋盘一个100里格理解为该河宽100里；本节点的20里偏移仅为可读排版。</x:v>
      </x:c>
      <x:c r="AI97" s="621" t="str">
        <x:v>源点(-650,+250)东北100里，置(-579.3,+320.7)。
V022多尺度重构：原坐标“X=-579.3里，Y=+320.7里（-5.8，+3.2格）”属于旧100里最小邻接布局；现改为X=-635.9里，Y=+264.1里（-6.4，+2.6格）。原文只锁方向／拓扑，20里为格内视觉偏移，不是文本里数。</x:v>
      </x:c>
      <x:c r="AJ97" s="621" t="str">
        <x:v>https://ctext.org/shan-hai-jing/hai-nei-xi-jing/zh</x:v>
      </x:c>
    </x:row>
    <x:row r="98" ht="72" customHeight="1">
      <x:c r="A98" s="623" t="str">
        <x:v>X=+200里，Y=-100里（+2，-1格）</x:v>
      </x:c>
      <x:c r="B98" s="623" t="str">
        <x:v>赤水（氾天山终止段）</x:v>
      </x:c>
      <x:c r="C98" s="623" t="str">
        <x:v>河流终止段／候选接驳</x:v>
      </x:c>
      <x:c r="D98" s="623" t="str">
        <x:v>《大荒南经》；《海内西经》</x:v>
      </x:c>
      <x:c r="E98" s="623" t="str">
        <x:v>南海氾天山—苍梧之野接口</x:v>
      </x:c>
      <x:c r="F98" s="623" t="str">
        <x:v>东南</x:v>
      </x:c>
      <x:c r="G98" s="623" t="n">
        <x:v>223.6</x:v>
      </x:c>
      <x:c r="H98" s="623" t="str">
        <x:v>直接参照地：氾天山；苍梧之野；赤水昆仑源段
原文关系：《大荒南经》氾天山赤水穷焉，苍梧之野在赤水东</x:v>
      </x:c>
      <x:c r="I98" s="623" t="str">
        <x:v>无里数</x:v>
      </x:c>
      <x:c r="J98" s="623" t="str">
        <x:v>终止关系锁定＋跨篇同名长程候选</x:v>
      </x:c>
      <x:c r="K98" s="623" t="str">
        <x:v>赤水穷于氾天山关系锁定；与昆仑赤水是否同一主干为高强度候选</x:v>
      </x:c>
      <x:c r="L98" s="623" t="str">
        <x:v>线型水系终止点；中间河道未恢复</x:v>
      </x:c>
      <x:c r="M98" s="623"/>
      <x:c r="N98" s="623" t="str">
        <x:v>赤水终止于氾天山</x:v>
      </x:c>
      <x:c r="O98" s="623"/>
      <x:c r="P98" s="623"/>
      <x:c r="Q98" s="623"/>
      <x:c r="R98" s="623"/>
      <x:c r="S98" s="623"/>
      <x:c r="T98" s="623"/>
      <x:c r="U98" s="623"/>
      <x:c r="V98" s="623"/>
      <x:c r="W98" s="623"/>
      <x:c r="X98" s="623"/>
      <x:c r="Y98" s="623"/>
      <x:c r="Z98" s="623" t="e">
        <x:f>HYPERLINK("#'山海经原文总库'!A1567","查看对应原文段落")</x:f>
        <x:v>HYPERLINK is not implemented. linkLocation=#'山海经原文总库'!A1567, friendlyName=查看对应原文段落</x:v>
      </x:c>
      <x:c r="AA98" s="623" t="str">
        <x:v>昆仑赤水初始东北行；大荒南经赤水在氾天山穷止。二者可能同一长程水系，但缺中间节点。</x:v>
      </x:c>
      <x:c r="AB98" s="623"/>
      <x:c r="AC98" s="623"/>
      <x:c r="AD98" s="623"/>
      <x:c r="AE98" s="623"/>
      <x:c r="AF98" s="623"/>
      <x:c r="AG98" s="623"/>
      <x:c r="AH98" s="623" t="str">
        <x:v>不能用一条直线连接昆仑与氾天山；本行只建立源—终候选关系。</x:v>
      </x:c>
      <x:c r="AI98" s="623" t="str">
        <x:v>为满足“苍梧之野在赤水东”，将终止段置(+200,-100)，苍梧之野置其东一格。</x:v>
      </x:c>
      <x:c r="AJ98" s="623" t="str">
        <x:v>https://ctext.org/shan-hai-jing/da-huang-nan-jing/zh
https://ctext.org/shan-hai-jing/hai-nei-xi-jing/zh</x:v>
      </x:c>
    </x:row>
    <x:row r="99" ht="72" customHeight="1">
      <x:c r="A99" s="623" t="str">
        <x:v>X=+200里，Y=-100里（+2，-1格）</x:v>
      </x:c>
      <x:c r="B99" s="623" t="str">
        <x:v>氾天之山（赤水穷处）</x:v>
      </x:c>
      <x:c r="C99" s="623" t="str">
        <x:v>山／南海水系终点</x:v>
      </x:c>
      <x:c r="D99" s="623" t="str">
        <x:v>《大荒南经》</x:v>
      </x:c>
      <x:c r="E99" s="623" t="str">
        <x:v>南海／赤水终点</x:v>
      </x:c>
      <x:c r="F99" s="623" t="str">
        <x:v>东南</x:v>
      </x:c>
      <x:c r="G99" s="623" t="n">
        <x:v>223.6</x:v>
      </x:c>
      <x:c r="H99" s="623" t="str">
        <x:v>直接参照地：赤水；南海；苍梧之野
原文关系：南海之中有氾天之山，赤水穷焉</x:v>
      </x:c>
      <x:c r="I99" s="623" t="str">
        <x:v>无里数</x:v>
      </x:c>
      <x:c r="J99" s="623" t="str">
        <x:v>原文包含与终止关系＋项目接口布局</x:v>
      </x:c>
      <x:c r="K99" s="623" t="str">
        <x:v>在南海中、赤水终止关系锁定；绝对距离未锁</x:v>
      </x:c>
      <x:c r="L99" s="623" t="str">
        <x:v>海中山体；与赤水终止段、南海接口共位</x:v>
      </x:c>
      <x:c r="M99" s="623" t="str">
        <x:v>南海中的山岳</x:v>
      </x:c>
      <x:c r="N99" s="623" t="str">
        <x:v>赤水在此穷止</x:v>
      </x:c>
      <x:c r="O99" s="623"/>
      <x:c r="P99" s="623"/>
      <x:c r="Q99" s="623"/>
      <x:c r="R99" s="623"/>
      <x:c r="S99" s="623"/>
      <x:c r="T99" s="623"/>
      <x:c r="U99" s="623"/>
      <x:c r="V99" s="623"/>
      <x:c r="W99" s="623"/>
      <x:c r="X99" s="623"/>
      <x:c r="Y99" s="623"/>
      <x:c r="Z99" s="623" t="e">
        <x:f>HYPERLINK("#'山海经原文总库'!A1566","查看对应原文段落")</x:f>
        <x:v>HYPERLINK is not implemented. linkLocation=#'山海经原文总库'!A1566, friendlyName=查看对应原文段落</x:v>
      </x:c>
      <x:c r="AA99" s="623"/>
      <x:c r="AB99" s="623"/>
      <x:c r="AC99" s="623"/>
      <x:c r="AD99" s="623"/>
      <x:c r="AE99" s="623"/>
      <x:c r="AF99" s="623"/>
      <x:c r="AG99" s="623"/>
      <x:c r="AH99" s="623"/>
      <x:c r="AI99" s="623" t="str">
        <x:v>与赤水终止段共位(+200,-100)，并作为苍梧之野西侧参照。</x:v>
      </x:c>
      <x:c r="AJ99" s="623" t="str">
        <x:v>https://ctext.org/shan-hai-jing/da-huang-nan-jing/zh</x:v>
      </x:c>
    </x:row>
    <x:row r="100" ht="72" customHeight="1">
      <x:c r="A100" s="623" t="str">
        <x:v>X=+200里，Y=-100里（+2，-1格）</x:v>
      </x:c>
      <x:c r="B100" s="623" t="str">
        <x:v>南海（氾天山—赤水终止区）</x:v>
      </x:c>
      <x:c r="C100" s="623" t="str">
        <x:v>海域／终止水域</x:v>
      </x:c>
      <x:c r="D100" s="623" t="str">
        <x:v>《大荒南经》</x:v>
      </x:c>
      <x:c r="E100" s="623" t="str">
        <x:v>氾天山水域</x:v>
      </x:c>
      <x:c r="F100" s="623" t="str">
        <x:v>东南</x:v>
      </x:c>
      <x:c r="G100" s="623" t="n">
        <x:v>223.6</x:v>
      </x:c>
      <x:c r="H100" s="623" t="str">
        <x:v>直接参照地：氾天山；赤水
原文关系：氾天山在南海之中</x:v>
      </x:c>
      <x:c r="I100" s="623" t="str">
        <x:v>无里数</x:v>
      </x:c>
      <x:c r="J100" s="623" t="str">
        <x:v>原文海域包含关系共位</x:v>
      </x:c>
      <x:c r="K100" s="623" t="str">
        <x:v>氾天山位于南海中关系锁定；南海边界未锁</x:v>
      </x:c>
      <x:c r="L100" s="623" t="str">
        <x:v>海域代表点；不等于整个南海范围</x:v>
      </x:c>
      <x:c r="M100" s="623"/>
      <x:c r="N100" s="623" t="str">
        <x:v>承载氾天山与赤水终止区</x:v>
      </x:c>
      <x:c r="O100" s="623"/>
      <x:c r="P100" s="623"/>
      <x:c r="Q100" s="623"/>
      <x:c r="R100" s="623"/>
      <x:c r="S100" s="623"/>
      <x:c r="T100" s="623"/>
      <x:c r="U100" s="623"/>
      <x:c r="V100" s="623"/>
      <x:c r="W100" s="623"/>
      <x:c r="X100" s="623"/>
      <x:c r="Y100" s="623"/>
      <x:c r="Z100" s="623" t="e">
        <x:f>HYPERLINK("#'山海经原文总库'!A1565","查看对应原文段落")</x:f>
        <x:v>HYPERLINK is not implemented. linkLocation=#'山海经原文总库'!A1565, friendlyName=查看对应原文段落</x:v>
      </x:c>
      <x:c r="AA100" s="623"/>
      <x:c r="AB100" s="623"/>
      <x:c r="AC100" s="623"/>
      <x:c r="AD100" s="623"/>
      <x:c r="AE100" s="623"/>
      <x:c r="AF100" s="623"/>
      <x:c r="AG100" s="623"/>
      <x:c r="AH100" s="623" t="str">
        <x:v>不可把本格视作南海整体中心。</x:v>
      </x:c>
      <x:c r="AI100" s="623" t="str">
        <x:v>与氾天山共用(+200,-100)表示海中包含关系。</x:v>
      </x:c>
      <x:c r="AJ100" s="623" t="str">
        <x:v>https://ctext.org/shan-hai-jing/da-huang-nan-jing/zh</x:v>
      </x:c>
    </x:row>
    <x:row r="101" ht="103.5" customHeight="1">
      <x:c r="A101" s="1437" t="str">
        <x:v>X=+300里，Y=-100里（+3，-1格）</x:v>
      </x:c>
      <x:c r="B101" s="1438" t="str">
        <x:v>苍梧之野（大荒南经层）</x:v>
      </x:c>
      <x:c r="C101" s="1439" t="str">
        <x:v>野／帝葬区域候选</x:v>
      </x:c>
      <x:c r="D101" s="1439" t="str">
        <x:v>《大荒南经》；《海内经》《海内南经》</x:v>
      </x:c>
      <x:c r="E101" s="1439" t="str">
        <x:v>赤水东／苍梧—舜葬模块</x:v>
      </x:c>
      <x:c r="F101" s="1439" t="str">
        <x:v>东南</x:v>
      </x:c>
      <x:c r="G101" s="1439" t="n">
        <x:v>316.2</x:v>
      </x:c>
      <x:c r="H101" s="1439" t="str">
        <x:v>直接参照地：赤水终止段；苍梧之山、丘、渊；舜葬
原文关系：在赤水之东，舜与叔均所葬</x:v>
      </x:c>
      <x:c r="I101" s="1439" t="str">
        <x:v>无里数</x:v>
      </x:c>
      <x:c r="J101" s="1439" t="str">
        <x:v>原文东向关系＋苍梧同名模块邻接候选</x:v>
      </x:c>
      <x:c r="K101" s="1439" t="str">
        <x:v>在赤水东关系锁定；与现有苍梧模块同地候选未正式合并
v020：苍梧之野位于氾林西南格内，分类为跨篇同名苍梧模块叠层；与氾林包含关系未锁
V023：叔均之葬已独立拆分为R129，本行保留区域层</x:v>
      </x:c>
      <x:c r="L101" s="1439" t="str">
        <x:v>区域对象；可与山、丘、渊、墓葬重叠</x:v>
      </x:c>
      <x:c r="M101" s="1439" t="str">
        <x:v>苍梧野地／帝葬区域</x:v>
      </x:c>
      <x:c r="N101" s="1439"/>
      <x:c r="O101" s="1439"/>
      <x:c r="P101" s="1439"/>
      <x:c r="Q101" s="1439"/>
      <x:c r="R101" s="1439"/>
      <x:c r="S101" s="1439"/>
      <x:c r="T101" s="1439" t="str">
        <x:v>舜；叔均</x:v>
      </x:c>
      <x:c r="U101" s="1439"/>
      <x:c r="V101" s="1439"/>
      <x:c r="W101" s="1439"/>
      <x:c r="X101" s="1439"/>
      <x:c r="Y101" s="1439" t="str">
        <x:v>舜与叔均葬于此</x:v>
      </x:c>
      <x:c r="Z101" s="1440" t="e">
        <x:f>HYPERLINK("#'山海经原文总库'!A1568","查看对应原文段落")</x:f>
        <x:v>HYPERLINK is not implemented. linkLocation=#'山海经原文总库'!A1568, friendlyName=查看对应原文段落</x:v>
      </x:c>
      <x:c r="AA101" s="1439" t="str">
        <x:v>现有苍梧之山、苍梧之丘、苍梧之渊及舜葬高度相关；“苍梧之野”可能是同一大区域的另一文本层。</x:v>
      </x:c>
      <x:c r="AB101" s="1439"/>
      <x:c r="AC101" s="1439"/>
      <x:c r="AD101" s="1439"/>
      <x:c r="AE101" s="1439"/>
      <x:c r="AF101" s="1439"/>
      <x:c r="AG101" s="1439"/>
      <x:c r="AH101" s="1439" t="str">
        <x:v>不能因同名直接删除各自文本层；叔均葬地也不自动等于现有舜墓点。
苍梧之野与氾林的面积相交不等于两者同名、同域或一方包含另一方。
苍梧之野、舜葬、叔均之葬可以同处一格，不等于三者必须有不同的文本距离。</x:v>
      </x:c>
      <x:c r="AI101" s="1439" t="str">
        <x:v>赤水终止段在(+200,-100)，苍梧之野按其东一格置(+300,-100)，与现有苍梧模块上下邻接。
v020保留(+300,-100)作为赤水东关系点；与海内苍梧模块及氾林分别保持独立文本层。
V023保留苍梧之野作为区域层，同时新增R129‘叔均之葬’。</x:v>
      </x:c>
      <x:c r="AJ101" s="1439" t="str">
        <x:v>https://ctext.org/shan-hai-jing/da-huang-nan-jing/zh
https://ctext.org/shan-hai-jing/hai-nei-jing/zh
https://ctext.org/shan-hai-jing/hai-nei-nan-jing/zh</x:v>
      </x:c>
    </x:row>
    <x:row r="102" ht="103.5" customHeight="1">
      <x:c r="A102" s="1442" t="str">
        <x:v>X=-1430里，Y=+250里（-14.3，+2.5格）</x:v>
      </x:c>
      <x:c r="B102" s="1443" t="str">
        <x:v>弱水—青水（东行共线段）</x:v>
      </x:c>
      <x:c r="C102" s="1444" t="str">
        <x:v>双河路径节点</x:v>
      </x:c>
      <x:c r="D102" s="1444" t="str">
        <x:v>《海内西经》</x:v>
      </x:c>
      <x:c r="E102" s="1444" t="str">
        <x:v>昆仑西南隅—毕方鸟路径</x:v>
      </x:c>
      <x:c r="F102" s="1444" t="str">
        <x:v>西北</x:v>
      </x:c>
      <x:c r="G102" s="1444" t="n">
        <x:v>1451.7</x:v>
      </x:c>
      <x:c r="H102" s="1444" t="str">
        <x:v>直接参照地：弱水、青水昆仑源段
原文流向：出西南隅，以东</x:v>
      </x:c>
      <x:c r="I102" s="1444" t="str">
        <x:v>无里数</x:v>
      </x:c>
      <x:c r="J102" s="1444" t="str">
        <x:v>原文方向／拓扑锁定＋格内20里排版偏移（非文本距离）</x:v>
      </x:c>
      <x:c r="K102" s="1444" t="str">
        <x:v>两水东行关系锁定；是否同槽共流未锁
V022：方向与先后关系保留；20里只用于格内排版，实际长度未锁</x:v>
      </x:c>
      <x:c r="L102" s="1444" t="str">
        <x:v>双河方向节点
线型水系；100里主格仅为索引，不代表河宽或河道占满整格</x:v>
      </x:c>
      <x:c r="M102" s="1444"/>
      <x:c r="N102" s="1444" t="str">
        <x:v>弱水、青水东行段</x:v>
      </x:c>
      <x:c r="O102" s="1444"/>
      <x:c r="P102" s="1444"/>
      <x:c r="Q102" s="1444"/>
      <x:c r="R102" s="1444"/>
      <x:c r="S102" s="1444"/>
      <x:c r="T102" s="1444"/>
      <x:c r="U102" s="1444"/>
      <x:c r="V102" s="1444"/>
      <x:c r="W102" s="1444"/>
      <x:c r="X102" s="1444"/>
      <x:c r="Y102" s="1444"/>
      <x:c r="Z102" s="1445" t="e">
        <x:f>HYPERLINK("#'山海经原文总库'!A1269","查看对应原文段落")</x:f>
        <x:v>HYPERLINK is not implemented. linkLocation=#'山海经原文总库'!A1269, friendlyName=查看对应原文段落</x:v>
      </x:c>
      <x:c r="AA102" s="1444"/>
      <x:c r="AB102" s="1444"/>
      <x:c r="AC102" s="1444"/>
      <x:c r="AD102" s="1444"/>
      <x:c r="AE102" s="1444"/>
      <x:c r="AF102" s="1444"/>
      <x:c r="AG102" s="1444"/>
      <x:c r="AH102" s="1444" t="str">
        <x:v>共线节点不等于两水合流。
V022：不得把主棋盘一个100里格理解为该河宽100里；本节点的20里偏移仅为可读排版。</x:v>
      </x:c>
      <x:c r="AI102" s="1444" t="str">
        <x:v>共同源角(-1450,+250)向东一格置(-1350,+250)。
V022多尺度重构：原坐标“X=-1350里，Y=+250里（-13.5，+2.5格）”属于旧100里最小邻接布局；现改为X=-1430里，Y=+250里（-14.3，+2.5格）。原文只锁方向／拓扑，20里为格内视觉偏移，不是文本里数。</x:v>
      </x:c>
      <x:c r="AJ102" s="1444" t="str">
        <x:v>https://ctext.org/shan-hai-jing/hai-nei-xi-jing/zh</x:v>
      </x:c>
    </x:row>
    <x:row r="103" ht="103.5" customHeight="1">
      <x:c r="A103" s="1442" t="str">
        <x:v>X=-1430里，Y=+270里（-14.3，+2.7格）</x:v>
      </x:c>
      <x:c r="B103" s="1443" t="str">
        <x:v>弱水—青水（北转共线段）</x:v>
      </x:c>
      <x:c r="C103" s="1444" t="str">
        <x:v>双河路径节点</x:v>
      </x:c>
      <x:c r="D103" s="1444" t="str">
        <x:v>《海内西经》</x:v>
      </x:c>
      <x:c r="E103" s="1444" t="str">
        <x:v>昆仑西南隅—毕方鸟路径</x:v>
      </x:c>
      <x:c r="F103" s="1444" t="str">
        <x:v>西北</x:v>
      </x:c>
      <x:c r="G103" s="1444" t="n">
        <x:v>1455.3</x:v>
      </x:c>
      <x:c r="H103" s="1444" t="str">
        <x:v>直接参照地：东行共线段；毕方鸟东侧折返段
原文流向：以东，又北</x:v>
      </x:c>
      <x:c r="I103" s="1444" t="str">
        <x:v>无里数</x:v>
      </x:c>
      <x:c r="J103" s="1444" t="str">
        <x:v>原文方向／拓扑锁定＋格内20里排版偏移（非文本距离）</x:v>
      </x:c>
      <x:c r="K103" s="1444" t="str">
        <x:v>北转关系锁定；长度未锁
V022：方向与先后关系保留；20里只用于格内排版，实际长度未锁</x:v>
      </x:c>
      <x:c r="L103" s="1444" t="str">
        <x:v>双河方向节点
线型水系；100里主格仅为索引，不代表河宽或河道占满整格</x:v>
      </x:c>
      <x:c r="M103" s="1444"/>
      <x:c r="N103" s="1444" t="str">
        <x:v>弱水、青水北行段</x:v>
      </x:c>
      <x:c r="O103" s="1444"/>
      <x:c r="P103" s="1444"/>
      <x:c r="Q103" s="1444"/>
      <x:c r="R103" s="1444"/>
      <x:c r="S103" s="1444"/>
      <x:c r="T103" s="1444"/>
      <x:c r="U103" s="1444"/>
      <x:c r="V103" s="1444"/>
      <x:c r="W103" s="1444"/>
      <x:c r="X103" s="1444"/>
      <x:c r="Y103" s="1444"/>
      <x:c r="Z103" s="1445" t="e">
        <x:f>HYPERLINK("#'山海经原文总库'!A1269","查看对应原文段落")</x:f>
        <x:v>HYPERLINK is not implemented. linkLocation=#'山海经原文总库'!A1269, friendlyName=查看对应原文段落</x:v>
      </x:c>
      <x:c r="AA103" s="1444"/>
      <x:c r="AB103" s="1444"/>
      <x:c r="AC103" s="1444"/>
      <x:c r="AD103" s="1444"/>
      <x:c r="AE103" s="1444"/>
      <x:c r="AF103" s="1444"/>
      <x:c r="AG103" s="1444"/>
      <x:c r="AH103" s="1444" t="str">
        <x:v>V022：不得把主棋盘一个100里格理解为该河宽100里；本节点的20里偏移仅为可读排版。</x:v>
      </x:c>
      <x:c r="AI103" s="1444" t="str">
        <x:v>由东行节点向北一格置(-1350,+350)。
V022多尺度重构：原坐标“X=-1350里，Y=+350里（-13.5，+3.5格）”属于旧100里最小邻接布局；现改为X=-1430里，Y=+270里（-14.3，+2.7格）。原文只锁方向／拓扑，20里为格内视觉偏移，不是文本里数。</x:v>
      </x:c>
      <x:c r="AJ103" s="1444" t="str">
        <x:v>https://ctext.org/shan-hai-jing/hai-nei-xi-jing/zh</x:v>
      </x:c>
    </x:row>
    <x:row r="104" ht="103.5" customHeight="1">
      <x:c r="A104" s="1442" t="str">
        <x:v>X=-1444.1里，Y=+255.9里（-14.4，+2.6格）</x:v>
      </x:c>
      <x:c r="B104" s="1443" t="str">
        <x:v>弱水—青水（西南折返／毕方东段）</x:v>
      </x:c>
      <x:c r="C104" s="1444" t="str">
        <x:v>双河路径节点／方位闭合段</x:v>
      </x:c>
      <x:c r="D104" s="1444" t="str">
        <x:v>《海内西经》《海外南经》</x:v>
      </x:c>
      <x:c r="E104" s="1444" t="str">
        <x:v>昆仑西南隅—毕方鸟路径</x:v>
      </x:c>
      <x:c r="F104" s="1444" t="str">
        <x:v>西北</x:v>
      </x:c>
      <x:c r="G104" s="1444" t="n">
        <x:v>1466.6</x:v>
      </x:c>
      <x:c r="H104" s="1444" t="str">
        <x:v>直接参照地：北转共线段；毕方鸟
原文流向：又西南，过毕方鸟东；《海外南经》毕方在青水西</x:v>
      </x:c>
      <x:c r="I104" s="1444" t="str">
        <x:v>无里数</x:v>
      </x:c>
      <x:c r="J104" s="1444" t="str">
        <x:v>原文方向／拓扑锁定＋格内20里排版偏移（非文本距离）</x:v>
      </x:c>
      <x:c r="K104" s="1444" t="str">
        <x:v>水在毕方鸟东关系锁定；折返距离推定
V022：方向与先后关系保留；20里只用于格内排版，实际长度未锁</x:v>
      </x:c>
      <x:c r="L104" s="1444" t="str">
        <x:v>双河路径节点；不代表毕方鸟固定领地
线型水系；100里主格仅为索引，不代表河宽或河道占满整格</x:v>
      </x:c>
      <x:c r="M104" s="1444"/>
      <x:c r="N104" s="1444" t="str">
        <x:v>弱水、青水西南折返段</x:v>
      </x:c>
      <x:c r="O104" s="1444"/>
      <x:c r="P104" s="1444" t="str">
        <x:v>毕方鸟为西侧参照</x:v>
      </x:c>
      <x:c r="Q104" s="1444"/>
      <x:c r="R104" s="1444"/>
      <x:c r="S104" s="1444"/>
      <x:c r="T104" s="1444"/>
      <x:c r="U104" s="1444"/>
      <x:c r="V104" s="1444"/>
      <x:c r="W104" s="1444"/>
      <x:c r="X104" s="1444"/>
      <x:c r="Y104" s="1444"/>
      <x:c r="Z104" s="1445" t="e">
        <x:f>HYPERLINK("#'山海经原文总库'!A1269","查看对应原文段落")</x:f>
        <x:v>HYPERLINK is not implemented. linkLocation=#'山海经原文总库'!A1269, friendlyName=查看对应原文段落</x:v>
      </x:c>
      <x:c r="AA104" s="1444" t="str">
        <x:v>《海内西经》与《海外南经》对“水在毕方东／毕方在青水西”的关系相互闭合。</x:v>
      </x:c>
      <x:c r="AB104" s="1444"/>
      <x:c r="AC104" s="1444"/>
      <x:c r="AD104" s="1444"/>
      <x:c r="AE104" s="1444"/>
      <x:c r="AF104" s="1444"/>
      <x:c r="AG104" s="1444"/>
      <x:c r="AH104" s="1444" t="str">
        <x:v>不得由此把毕方鸟与整条弱水、青水绑定为唯一栖息地。
V022：不得把主棋盘一个100里格理解为该河宽100里；本节点的20里偏移仅为可读排版。</x:v>
      </x:c>
      <x:c r="AI104" s="1444" t="str">
        <x:v>北转节点向西南100里，置(-1420.7,+279.3)；其X仍大于毕方(-1450,+350)，保持水在鸟东。
V022多尺度重构：原坐标“X=-1420.7里，Y=+279.3里（-14.2，+2.8格）”属于旧100里最小邻接布局；现改为X=-1444.1里，Y=+255.9里（-14.4，+2.6格）。原文只锁方向／拓扑，20里为格内视觉偏移，不是文本里数。</x:v>
      </x:c>
      <x:c r="AJ104" s="1444" t="str">
        <x:v>https://ctext.org/shan-hai-jing/hai-nei-xi-jing/zh
https://ctext.org/shan-hai-jing/hai-wai-nan-jing/zh</x:v>
      </x:c>
    </x:row>
    <x:row r="105" ht="103.5" customHeight="1">
      <x:c r="A105" s="1447" t="str">
        <x:v>X=-1050里，Y=+650里（-10.5，+6.5格）</x:v>
      </x:c>
      <x:c r="B105" s="1448" t="str">
        <x:v>昆仑之丘（西山经陆吾层）</x:v>
      </x:c>
      <x:c r="C105" s="1449" t="str">
        <x:v>山岳文本层／帝之下都</x:v>
      </x:c>
      <x:c r="D105" s="1449" t="str">
        <x:v>《西山经》；与《海内西经》《大荒西经》合参</x:v>
      </x:c>
      <x:c r="E105" s="1449" t="str">
        <x:v>昆仑复合体／西山经管理与四水分流层</x:v>
      </x:c>
      <x:c r="F105" s="1449" t="str">
        <x:v>西北</x:v>
      </x:c>
      <x:c r="G105" s="1449" t="n">
        <x:v>1234.9</x:v>
      </x:c>
      <x:c r="H105" s="1449" t="str">
        <x:v>直接参照地：海内昆仑之虚；大荒昆仑之丘；槐江之山；乐游之山
原文关系：自槐江西南四百里至昆仑；昆仑为帝之下都，陆吾司之；河、赤、洋、黑四水出焉</x:v>
      </x:c>
      <x:c r="I105" s="1449" t="str">
        <x:v>槐江至昆仑西南400里；昆仑至乐游西370里</x:v>
      </x:c>
      <x:c r="J105" s="1449" t="str">
        <x:v>同名、同职能、同四水结构正式并入昆仑主体；文本层独立</x:v>
      </x:c>
      <x:c r="K105" s="1449" t="str">
        <x:v>与海内昆仑主体同地锁定；西山经管理者和下游分流保持独立层</x:v>
      </x:c>
      <x:c r="L105" s="1449" t="str">
        <x:v>与海内昆仑方800里主体重合；本行只记录西山经文本层</x:v>
      </x:c>
      <x:c r="M105" s="1449" t="str">
        <x:v>帝之下都／怪鸟兽繁多的昆仑丘</x:v>
      </x:c>
      <x:c r="N105" s="1449" t="str">
        <x:v>河水、赤水、洋水、黑水四水出焉，各有西山经独立下游</x:v>
      </x:c>
      <x:c r="O105" s="1449" t="str">
        <x:v>沙棠；薲草</x:v>
      </x:c>
      <x:c r="P105" s="1449" t="str">
        <x:v>土蝼、钦原、鹑鸟及多怪鸟兽</x:v>
      </x:c>
      <x:c r="Q105" s="1449"/>
      <x:c r="R105" s="1449"/>
      <x:c r="S105" s="1449"/>
      <x:c r="T105" s="1449"/>
      <x:c r="U105" s="1449" t="str">
        <x:v>陆吾</x:v>
      </x:c>
      <x:c r="V105" s="1449"/>
      <x:c r="W105" s="1449" t="str">
        <x:v>陆吾虎身九尾、人面虎爪</x:v>
      </x:c>
      <x:c r="X105" s="1449" t="str">
        <x:v>帝之下都；陆吾司天之九部及帝之囿时</x:v>
      </x:c>
      <x:c r="Y105" s="1449" t="str">
        <x:v>西山经以陆吾管理层和四水分流描述昆仑</x:v>
      </x:c>
      <x:c r="Z105" s="1450" t="e">
        <x:f>HYPERLINK("#'山海经原文总库'!A207","查看对应原文段落")</x:f>
        <x:v>HYPERLINK is not implemented. linkLocation=#'山海经原文总库'!A207, friendlyName=查看对应原文段落</x:v>
      </x:c>
      <x:c r="AA105" s="1449" t="str">
        <x:v>《海内西经》同称帝之下都并共享河、赤、洋、黑四水源；《大荒西经》补充弱水环渊、炎火外层与西王母。</x:v>
      </x:c>
      <x:c r="AB105" s="1449" t="str">
        <x:v>郝懿行等倾向把海内昆仑与西山经昆仑视为同一；正文的帝都与四水同构是最强证据。</x:v>
      </x:c>
      <x:c r="AC105" s="1449"/>
      <x:c r="AD105" s="1449" t="str">
        <x:v>昆仑之丘／昆仑之虚；西山经四水流向与海内西经路径不同。</x:v>
      </x:c>
      <x:c r="AE105" s="1449" t="str">
        <x:v>本版采用“主体同地、结构分层”，不追求现实山脉定位。</x:v>
      </x:c>
      <x:c r="AF105" s="1449"/>
      <x:c r="AG105" s="1449"/>
      <x:c r="AH105" s="1449" t="str">
        <x:v>正式同地不等于把三篇所有细节熔成一条无冲突叙事。</x:v>
      </x:c>
      <x:c r="AI105" s="1449" t="str">
        <x:v>判决：西山经与海内西经的山体主体正式合并；大荒西经并入同一复合体的外围层。西山经四水下游作为另一运行版本独立建档，陆吾与开明兽不合并。</x:v>
      </x:c>
      <x:c r="AJ105" s="1449" t="str">
        <x:v>https://ctext.org/shan-hai-jing/xi-shan-jing/zh
https://ctext.org/shan-hai-jing/hai-nei-xi-jing/zh
https://ctext.org/shan-hai-jing/da-huang-xi-jing/zh</x:v>
      </x:c>
    </x:row>
    <x:row r="106" ht="103.5" customHeight="1">
      <x:c r="A106" s="1447" t="str">
        <x:v>X=-1050里，Y=+650里（-10.5，+6.5格）</x:v>
      </x:c>
      <x:c r="B106" s="1448" t="str">
        <x:v>陆吾（昆仑九部与帝囿司）</x:v>
      </x:c>
      <x:c r="C106" s="1449" t="str">
        <x:v>神祇／昆仑管理者</x:v>
      </x:c>
      <x:c r="D106" s="1449" t="str">
        <x:v>《西山经》</x:v>
      </x:c>
      <x:c r="E106" s="1449" t="str">
        <x:v>昆仑之丘／帝之下都</x:v>
      </x:c>
      <x:c r="F106" s="1449" t="str">
        <x:v>西北</x:v>
      </x:c>
      <x:c r="G106" s="1449" t="n">
        <x:v>1234.9</x:v>
      </x:c>
      <x:c r="H106" s="1449" t="str">
        <x:v>直接参照地：昆仑之丘
原文关系：神陆吾司之</x:v>
      </x:c>
      <x:c r="I106" s="1449" t="str">
        <x:v>无独立里数</x:v>
      </x:c>
      <x:c r="J106" s="1449" t="str">
        <x:v>山体管理者与昆仑中心共位</x:v>
      </x:c>
      <x:c r="K106" s="1449" t="str">
        <x:v>陆吾管理昆仑关系锁定；与开明兽、大荒白神不合并</x:v>
      </x:c>
      <x:c r="L106" s="1449" t="str">
        <x:v>神祇驻地；共享昆仑主体坐标</x:v>
      </x:c>
      <x:c r="M106" s="1449"/>
      <x:c r="N106" s="1449"/>
      <x:c r="O106" s="1449"/>
      <x:c r="P106" s="1449"/>
      <x:c r="Q106" s="1449"/>
      <x:c r="R106" s="1449"/>
      <x:c r="S106" s="1449"/>
      <x:c r="T106" s="1449"/>
      <x:c r="U106" s="1449" t="str">
        <x:v>陆吾</x:v>
      </x:c>
      <x:c r="V106" s="1449"/>
      <x:c r="W106" s="1449" t="str">
        <x:v>虎身九尾，人面虎爪</x:v>
      </x:c>
      <x:c r="X106" s="1449" t="str">
        <x:v>司天之九部及帝之囿时</x:v>
      </x:c>
      <x:c r="Y106" s="1449"/>
      <x:c r="Z106" s="1450" t="e">
        <x:f>HYPERLINK("#'山海经原文总库'!A207","查看对应原文段落")</x:f>
        <x:v>HYPERLINK is not implemented. linkLocation=#'山海经原文总库'!A207, friendlyName=查看对应原文段落</x:v>
      </x:c>
      <x:c r="AA106" s="1449" t="str">
        <x:v>开明兽九首人面、守九门；大荒昆仑白神人面虎身有文有尾。三者形态相关但职权与命名不同。</x:v>
      </x:c>
      <x:c r="AB106" s="1449"/>
      <x:c r="AC106" s="1449"/>
      <x:c r="AD106" s="1449"/>
      <x:c r="AE106" s="1449"/>
      <x:c r="AF106" s="1449"/>
      <x:c r="AG106" s="1449"/>
      <x:c r="AH106" s="1449" t="str">
        <x:v>陆吾不是开明兽的异名；九尾与九首也不可互换。</x:v>
      </x:c>
      <x:c r="AI106" s="1449" t="str">
        <x:v>陆吾属于昆仑行政与时序管理层；开明兽属于门禁层；大荒白神暂列山神层候选。</x:v>
      </x:c>
      <x:c r="AJ106" s="1449" t="str">
        <x:v>https://ctext.org/shan-hai-jing/xi-shan-jing/zh</x:v>
      </x:c>
    </x:row>
    <x:row r="107" ht="103.5" customHeight="1">
      <x:c r="A107" s="1447" t="str">
        <x:v>X=-1050里，Y=+630里（-10.5，+6.3格）</x:v>
      </x:c>
      <x:c r="B107" s="1448" t="str">
        <x:v>河水（西山经南流—东注层）</x:v>
      </x:c>
      <x:c r="C107" s="1449" t="str">
        <x:v>河流／异文分流层</x:v>
      </x:c>
      <x:c r="D107" s="1449" t="str">
        <x:v>《西山经》</x:v>
      </x:c>
      <x:c r="E107" s="1449" t="str">
        <x:v>昆仑西山经四水分流层</x:v>
      </x:c>
      <x:c r="F107" s="1449" t="str">
        <x:v>西北</x:v>
      </x:c>
      <x:c r="G107" s="1449" t="n">
        <x:v>1224.5</x:v>
      </x:c>
      <x:c r="H107" s="1449" t="str">
        <x:v>直接参照地：昆仑之丘；无达
原文流向：河水出焉，南流，东注于无达</x:v>
      </x:c>
      <x:c r="I107" s="1449" t="str">
        <x:v>无里数</x:v>
      </x:c>
      <x:c r="J107" s="1449" t="str">
        <x:v>原文方向／拓扑锁定＋格内20里排版偏移（非文本距离）</x:v>
      </x:c>
      <x:c r="K107" s="1449" t="str">
        <x:v>南流后东注次序锁定；不覆盖海内西经河水路线
V022：方向与先后关系保留；20里只用于格内排版，实际长度未锁</x:v>
      </x:c>
      <x:c r="L107" s="1449" t="str">
        <x:v>线型水系代表段
线型水系；100里主格仅为索引，不代表河宽或河道占满整格</x:v>
      </x:c>
      <x:c r="M107" s="1449"/>
      <x:c r="N107" s="1449" t="str">
        <x:v>河水南流段，继而东注无达</x:v>
      </x:c>
      <x:c r="O107" s="1449"/>
      <x:c r="P107" s="1449"/>
      <x:c r="Q107" s="1449"/>
      <x:c r="R107" s="1449"/>
      <x:c r="S107" s="1449"/>
      <x:c r="T107" s="1449"/>
      <x:c r="U107" s="1449"/>
      <x:c r="V107" s="1449"/>
      <x:c r="W107" s="1449"/>
      <x:c r="X107" s="1449"/>
      <x:c r="Y107" s="1449"/>
      <x:c r="Z107" s="1450" t="e">
        <x:f>HYPERLINK("#'山海经原文总库'!A208","查看对应原文段落")</x:f>
        <x:v>HYPERLINK is not implemented. linkLocation=#'山海经原文总库'!A208, friendlyName=查看对应原文段落</x:v>
      </x:c>
      <x:c r="AA107" s="1449"/>
      <x:c r="AB107" s="1449"/>
      <x:c r="AC107" s="1449"/>
      <x:c r="AD107" s="1449"/>
      <x:c r="AE107" s="1449"/>
      <x:c r="AF107" s="1449"/>
      <x:c r="AG107" s="1449"/>
      <x:c r="AH107" s="1449" t="str">
        <x:v>此流向与海内西经北行—渤海—积石路线冲突，应作为同源异文／分流层保留。
V022：不得把主棋盘一个100里格理解为该河宽100里；本节点的20里偏移仅为可读排版。</x:v>
      </x:c>
      <x:c r="AI107" s="1449" t="str">
        <x:v>昆仑中心向南一格置(-1050,+550)，再向东连接无达。
V022多尺度重构：原坐标“X=-1050里，Y=+550里（-10.5，+5.5格）”属于旧100里最小邻接布局；现改为X=-1050里，Y=+630里（-10.5，+6.3格）。原文只锁方向／拓扑，20里为格内视觉偏移，不是文本里数。</x:v>
      </x:c>
      <x:c r="AJ107" s="1449" t="str">
        <x:v>https://ctext.org/shan-hai-jing/xi-shan-jing/zh</x:v>
      </x:c>
    </x:row>
    <x:row r="108" ht="103.5" customHeight="1">
      <x:c r="A108" s="1447" t="str">
        <x:v>X=-1030里，Y=+630里（-10.3，+6.3格）</x:v>
      </x:c>
      <x:c r="B108" s="1448" t="str">
        <x:v>无达（西山经河水注入处）</x:v>
      </x:c>
      <x:c r="C108" s="1449" t="str">
        <x:v>水域／河水目的地</x:v>
      </x:c>
      <x:c r="D108" s="1449" t="str">
        <x:v>《西山经》</x:v>
      </x:c>
      <x:c r="E108" s="1449" t="str">
        <x:v>昆仑西山经四水分流层</x:v>
      </x:c>
      <x:c r="F108" s="1449" t="str">
        <x:v>西北</x:v>
      </x:c>
      <x:c r="G108" s="1449" t="n">
        <x:v>1207.4</x:v>
      </x:c>
      <x:c r="H108" s="1449" t="str">
        <x:v>直接参照地：河水西山经层
原文关系：河水南流东注于无达</x:v>
      </x:c>
      <x:c r="I108" s="1449" t="str">
        <x:v>无里数</x:v>
      </x:c>
      <x:c r="J108" s="1449" t="str">
        <x:v>原文方向／拓扑锁定＋格内20里排版偏移（非文本距离）</x:v>
      </x:c>
      <x:c r="K108" s="1449" t="str">
        <x:v>河水注入关系锁定；水域性质与范围未锁
V022：方向与先后关系保留；20里只用于格内排版，实际长度未锁</x:v>
      </x:c>
      <x:c r="L108" s="1449" t="str">
        <x:v>水域接口；不是现实地理定位
水域接口／面积层；蓝色面积仅表示水体存在，不据此推定完整边界</x:v>
      </x:c>
      <x:c r="M108" s="1449"/>
      <x:c r="N108" s="1449" t="str">
        <x:v>接纳西山经河水</x:v>
      </x:c>
      <x:c r="O108" s="1449"/>
      <x:c r="P108" s="1449"/>
      <x:c r="Q108" s="1449"/>
      <x:c r="R108" s="1449"/>
      <x:c r="S108" s="1449"/>
      <x:c r="T108" s="1449"/>
      <x:c r="U108" s="1449"/>
      <x:c r="V108" s="1449"/>
      <x:c r="W108" s="1449"/>
      <x:c r="X108" s="1449"/>
      <x:c r="Y108" s="1449"/>
      <x:c r="Z108" s="1450" t="e">
        <x:f>HYPERLINK("#'山海经原文总库'!A207","查看对应原文段落")</x:f>
        <x:v>HYPERLINK is not implemented. linkLocation=#'山海经原文总库'!A207, friendlyName=查看对应原文段落</x:v>
      </x:c>
      <x:c r="AA108" s="1449"/>
      <x:c r="AB108" s="1449"/>
      <x:c r="AC108" s="1449"/>
      <x:c r="AD108" s="1449"/>
      <x:c r="AE108" s="1449"/>
      <x:c r="AF108" s="1449"/>
      <x:c r="AG108" s="1449"/>
      <x:c r="AH108" s="1449" t="str">
        <x:v>V022：不得把主棋盘一个100里格理解为该河宽100里；本节点的20里偏移仅为可读排版。</x:v>
      </x:c>
      <x:c r="AI108" s="1449" t="str">
        <x:v>由河水南流代表段向东一格置(-950,+550)。
V022多尺度重构：原坐标“X=-950里，Y=+550里（-9.5，+5.5格）”属于旧100里最小邻接布局；现改为X=-1030里，Y=+630里（-10.3，+6.3格）。原文只锁方向／拓扑，20里为格内视觉偏移，不是文本里数。</x:v>
      </x:c>
      <x:c r="AJ108" s="1449" t="str">
        <x:v>https://ctext.org/shan-hai-jing/xi-shan-jing/zh</x:v>
      </x:c>
    </x:row>
    <x:row r="109" ht="103.5" customHeight="1">
      <x:c r="A109" s="1447" t="str">
        <x:v>X=-1030里，Y=+630里（-10.3，+6.3格）</x:v>
      </x:c>
      <x:c r="B109" s="1448" t="str">
        <x:v>赤水（西山经东南流层）</x:v>
      </x:c>
      <x:c r="C109" s="1449" t="str">
        <x:v>河流／异文分流层</x:v>
      </x:c>
      <x:c r="D109" s="1449" t="str">
        <x:v>《西山经》</x:v>
      </x:c>
      <x:c r="E109" s="1449" t="str">
        <x:v>昆仑西山经四水分流层</x:v>
      </x:c>
      <x:c r="F109" s="1449" t="str">
        <x:v>西北</x:v>
      </x:c>
      <x:c r="G109" s="1449" t="n">
        <x:v>1207.4</x:v>
      </x:c>
      <x:c r="H109" s="1449" t="str">
        <x:v>直接参照地：昆仑之丘；泛天之水
原文流向：赤水东南流，注于泛天之水</x:v>
      </x:c>
      <x:c r="I109" s="1449" t="str">
        <x:v>无里数</x:v>
      </x:c>
      <x:c r="J109" s="1449" t="str">
        <x:v>原文方向／拓扑锁定＋格内20里排版偏移（非文本距离）</x:v>
      </x:c>
      <x:c r="K109" s="1449" t="str">
        <x:v>东南流向与注入氾天水锁定；不覆盖海内西经东北初始流向
V022：方向与先后关系保留；20里只用于格内排版，实际长度未锁</x:v>
      </x:c>
      <x:c r="L109" s="1449" t="str">
        <x:v>线型水系代表段
线型水系；100里主格仅为索引，不代表河宽或河道占满整格</x:v>
      </x:c>
      <x:c r="M109" s="1449"/>
      <x:c r="N109" s="1449" t="str">
        <x:v>赤水东南流段</x:v>
      </x:c>
      <x:c r="O109" s="1449"/>
      <x:c r="P109" s="1449"/>
      <x:c r="Q109" s="1449"/>
      <x:c r="R109" s="1449"/>
      <x:c r="S109" s="1449"/>
      <x:c r="T109" s="1449"/>
      <x:c r="U109" s="1449"/>
      <x:c r="V109" s="1449"/>
      <x:c r="W109" s="1449"/>
      <x:c r="X109" s="1449"/>
      <x:c r="Y109" s="1449"/>
      <x:c r="Z109" s="1450" t="e">
        <x:f>HYPERLINK("#'山海经原文总库'!A209","查看对应原文段落")</x:f>
        <x:v>HYPERLINK is not implemented. linkLocation=#'山海经原文总库'!A209, friendlyName=查看对应原文段落</x:v>
      </x:c>
      <x:c r="AA109" s="1449" t="str">
        <x:v>大荒南经记氾天山赤水穷焉；“氾天之水”与“氾天山”关系密切但不是同一词。</x:v>
      </x:c>
      <x:c r="AB109" s="1449"/>
      <x:c r="AC109" s="1449"/>
      <x:c r="AD109" s="1449"/>
      <x:c r="AE109" s="1449"/>
      <x:c r="AF109" s="1449"/>
      <x:c r="AG109" s="1449"/>
      <x:c r="AH109" s="1449" t="str">
        <x:v>不能把氾天之水直接删改成氾天山，也不能用本层覆盖v017赤水源—终候选。
V022：不得把主棋盘一个100里格理解为该河宽100里；本节点的20里偏移仅为可读排版。</x:v>
      </x:c>
      <x:c r="AI109" s="1449" t="str">
        <x:v>以昆仑东南方向代表位(-950,+550)，继续东南连接氾天之水。
V022多尺度重构：原坐标“X=-950里，Y=+550里（-9.5，+5.5格）”属于旧100里最小邻接布局；现改为X=-1030里，Y=+630里（-10.3，+6.3格）。原文只锁方向／拓扑，20里为格内视觉偏移，不是文本里数。</x:v>
      </x:c>
      <x:c r="AJ109" s="1449" t="str">
        <x:v>https://ctext.org/shan-hai-jing/xi-shan-jing/zh</x:v>
      </x:c>
    </x:row>
    <x:row r="110" ht="103.5" customHeight="1">
      <x:c r="A110" s="1447" t="str">
        <x:v>X=-1015.9里，Y=+615.9里（-10.2，+6.2格）</x:v>
      </x:c>
      <x:c r="B110" s="1448" t="str">
        <x:v>泛天之水（氾天异文）</x:v>
      </x:c>
      <x:c r="C110" s="1449" t="str">
        <x:v>水域／赤水目的地</x:v>
      </x:c>
      <x:c r="D110" s="1449" t="str">
        <x:v>《西山经》；与《大荒南经》候选互证</x:v>
      </x:c>
      <x:c r="E110" s="1449" t="str">
        <x:v>昆仑赤水西山经层</x:v>
      </x:c>
      <x:c r="F110" s="1449" t="str">
        <x:v>西北</x:v>
      </x:c>
      <x:c r="G110" s="1449" t="n">
        <x:v>1188</x:v>
      </x:c>
      <x:c r="H110" s="1449" t="str">
        <x:v>直接参照地：赤水西山经层；氾天之山
原文关系：赤水东南流注于泛天之水</x:v>
      </x:c>
      <x:c r="I110" s="1449" t="str">
        <x:v>无里数</x:v>
      </x:c>
      <x:c r="J110" s="1449" t="str">
        <x:v>原文方向／拓扑锁定＋格内20里排版偏移（非文本距离）</x:v>
      </x:c>
      <x:c r="K110" s="1449" t="str">
        <x:v>赤水注入关系锁定；与大荒氾天山是否同地未锁
V022：方向与先后关系保留；20里只用于格内排版，实际长度未锁</x:v>
      </x:c>
      <x:c r="L110" s="1449" t="str">
        <x:v>水域接口／文本层
水域接口／面积层；蓝色面积仅表示水体存在，不据此推定完整边界</x:v>
      </x:c>
      <x:c r="M110" s="1449"/>
      <x:c r="N110" s="1449" t="str">
        <x:v>接纳西山经赤水</x:v>
      </x:c>
      <x:c r="O110" s="1449"/>
      <x:c r="P110" s="1449"/>
      <x:c r="Q110" s="1449"/>
      <x:c r="R110" s="1449"/>
      <x:c r="S110" s="1449"/>
      <x:c r="T110" s="1449"/>
      <x:c r="U110" s="1449"/>
      <x:c r="V110" s="1449"/>
      <x:c r="W110" s="1449"/>
      <x:c r="X110" s="1449"/>
      <x:c r="Y110" s="1449"/>
      <x:c r="Z110" s="1450" t="e">
        <x:f>HYPERLINK("#'山海经原文总库'!A212","查看对应原文段落")</x:f>
        <x:v>HYPERLINK is not implemented. linkLocation=#'山海经原文总库'!A212, friendlyName=查看对应原文段落</x:v>
      </x:c>
      <x:c r="AA110" s="1449"/>
      <x:c r="AB110" s="1449"/>
      <x:c r="AC110" s="1449"/>
      <x:c r="AD110" s="1449" t="str">
        <x:v>泛天／氾天；水体与山体可能同属一处水山复合区。</x:v>
      </x:c>
      <x:c r="AE110" s="1449"/>
      <x:c r="AF110" s="1449"/>
      <x:c r="AG110" s="1449"/>
      <x:c r="AH110" s="1449" t="str">
        <x:v>V022：不得把主棋盘一个100里格理解为该河宽100里；本节点的20里偏移仅为可读排版。</x:v>
      </x:c>
      <x:c r="AI110" s="1449" t="str">
        <x:v>由赤水代表段东南100里斜向分解，置(-850,+450)。
V022多尺度重构：原坐标“X=-850里，Y=+450里（-8.5，+4.5格）”属于旧100里最小邻接布局；现改为X=-1015.9里，Y=+615.9里（-10.2，+6.2格）。原文只锁方向／拓扑，20里为格内视觉偏移，不是文本里数。</x:v>
      </x:c>
      <x:c r="AJ110" s="1449" t="str">
        <x:v>https://ctext.org/shan-hai-jing/xi-shan-jing/zh
https://ctext.org/shan-hai-jing/da-huang-nan-jing/zh</x:v>
      </x:c>
    </x:row>
    <x:row r="111" ht="103.5" customHeight="1">
      <x:c r="A111" s="1447" t="str">
        <x:v>X=-1070里，Y=+630里（-10.7，+6.3格）</x:v>
      </x:c>
      <x:c r="B111" s="1448" t="str">
        <x:v>洋水（西山经西南流层）</x:v>
      </x:c>
      <x:c r="C111" s="1449" t="str">
        <x:v>河流／异文分流层</x:v>
      </x:c>
      <x:c r="D111" s="1449" t="str">
        <x:v>《西山经》</x:v>
      </x:c>
      <x:c r="E111" s="1449" t="str">
        <x:v>昆仑西山经四水分流层</x:v>
      </x:c>
      <x:c r="F111" s="1449" t="str">
        <x:v>西北</x:v>
      </x:c>
      <x:c r="G111" s="1449" t="n">
        <x:v>1241.7</x:v>
      </x:c>
      <x:c r="H111" s="1449" t="str">
        <x:v>直接参照地：昆仑之丘；丑涂之水
原文流向：洋水西南流注于丑涂之水</x:v>
      </x:c>
      <x:c r="I111" s="1449" t="str">
        <x:v>无里数</x:v>
      </x:c>
      <x:c r="J111" s="1449" t="str">
        <x:v>原文方向／拓扑锁定＋格内20里排版偏移（非文本距离）</x:v>
      </x:c>
      <x:c r="K111" s="1449" t="str">
        <x:v>西南流向与注入丑涂锁定；不覆盖海内西经东行路径
V022：方向与先后关系保留；20里只用于格内排版，实际长度未锁</x:v>
      </x:c>
      <x:c r="L111" s="1449" t="str">
        <x:v>线型水系代表段
线型水系；100里主格仅为索引，不代表河宽或河道占满整格</x:v>
      </x:c>
      <x:c r="M111" s="1449"/>
      <x:c r="N111" s="1449" t="str">
        <x:v>洋水西南流段</x:v>
      </x:c>
      <x:c r="O111" s="1449"/>
      <x:c r="P111" s="1449"/>
      <x:c r="Q111" s="1449"/>
      <x:c r="R111" s="1449"/>
      <x:c r="S111" s="1449"/>
      <x:c r="T111" s="1449"/>
      <x:c r="U111" s="1449"/>
      <x:c r="V111" s="1449"/>
      <x:c r="W111" s="1449"/>
      <x:c r="X111" s="1449"/>
      <x:c r="Y111" s="1449"/>
      <x:c r="Z111" s="1450" t="e">
        <x:f>HYPERLINK("#'山海经原文总库'!A210","查看对应原文段落")</x:f>
        <x:v>HYPERLINK is not implemented. linkLocation=#'山海经原文总库'!A210, friendlyName=查看对应原文段落</x:v>
      </x:c>
      <x:c r="AA111" s="1449"/>
      <x:c r="AB111" s="1449"/>
      <x:c r="AC111" s="1449"/>
      <x:c r="AD111" s="1449"/>
      <x:c r="AE111" s="1449"/>
      <x:c r="AF111" s="1449"/>
      <x:c r="AG111" s="1449"/>
      <x:c r="AH111" s="1449" t="str">
        <x:v>V022：不得把主棋盘一个100里格理解为该河宽100里；本节点的20里偏移仅为可读排版。</x:v>
      </x:c>
      <x:c r="AI111" s="1449" t="str">
        <x:v>以昆仑西南方向代表位(-1150,+550)，继续西南连接丑涂。
V022多尺度重构：原坐标“X=-1150里，Y=+550里（-11.5，+5.5格）”属于旧100里最小邻接布局；现改为X=-1070里，Y=+630里（-10.7，+6.3格）。原文只锁方向／拓扑，20里为格内视觉偏移，不是文本里数。</x:v>
      </x:c>
      <x:c r="AJ111" s="1449" t="str">
        <x:v>https://ctext.org/shan-hai-jing/xi-shan-jing/zh</x:v>
      </x:c>
    </x:row>
    <x:row r="112" ht="103.5" customHeight="1">
      <x:c r="A112" s="1447" t="str">
        <x:v>X=-1084.1里，Y=+615.9里（-10.8，+6.2格）</x:v>
      </x:c>
      <x:c r="B112" s="1448" t="str">
        <x:v>丑涂之水（西山经洋水注入处）</x:v>
      </x:c>
      <x:c r="C112" s="1449" t="str">
        <x:v>水域／洋水目的地</x:v>
      </x:c>
      <x:c r="D112" s="1449" t="str">
        <x:v>《西山经》</x:v>
      </x:c>
      <x:c r="E112" s="1449" t="str">
        <x:v>昆仑洋水西山经层</x:v>
      </x:c>
      <x:c r="F112" s="1449" t="str">
        <x:v>西北</x:v>
      </x:c>
      <x:c r="G112" s="1449" t="n">
        <x:v>1246.9</x:v>
      </x:c>
      <x:c r="H112" s="1449" t="str">
        <x:v>直接参照地：洋水西山经层
原文关系：洋水西南流注于丑涂之水</x:v>
      </x:c>
      <x:c r="I112" s="1449" t="str">
        <x:v>无里数</x:v>
      </x:c>
      <x:c r="J112" s="1449" t="str">
        <x:v>原文方向／拓扑锁定＋格内20里排版偏移（非文本距离）</x:v>
      </x:c>
      <x:c r="K112" s="1449" t="str">
        <x:v>洋水注入关系锁定；水域范围未锁
V022：方向与先后关系保留；20里只用于格内排版，实际长度未锁</x:v>
      </x:c>
      <x:c r="L112" s="1449" t="str">
        <x:v>水域接口
水域接口／面积层；蓝色面积仅表示水体存在，不据此推定完整边界</x:v>
      </x:c>
      <x:c r="M112" s="1449"/>
      <x:c r="N112" s="1449" t="str">
        <x:v>接纳西山经洋水</x:v>
      </x:c>
      <x:c r="O112" s="1449"/>
      <x:c r="P112" s="1449"/>
      <x:c r="Q112" s="1449"/>
      <x:c r="R112" s="1449"/>
      <x:c r="S112" s="1449"/>
      <x:c r="T112" s="1449"/>
      <x:c r="U112" s="1449"/>
      <x:c r="V112" s="1449"/>
      <x:c r="W112" s="1449"/>
      <x:c r="X112" s="1449"/>
      <x:c r="Y112" s="1449"/>
      <x:c r="Z112" s="1450" t="e">
        <x:f>HYPERLINK("#'山海经原文总库'!A213","查看对应原文段落")</x:f>
        <x:v>HYPERLINK is not implemented. linkLocation=#'山海经原文总库'!A213, friendlyName=查看对应原文段落</x:v>
      </x:c>
      <x:c r="AA112" s="1449"/>
      <x:c r="AB112" s="1449"/>
      <x:c r="AC112" s="1449"/>
      <x:c r="AD112" s="1449"/>
      <x:c r="AE112" s="1449"/>
      <x:c r="AF112" s="1449"/>
      <x:c r="AG112" s="1449"/>
      <x:c r="AH112" s="1449" t="str">
        <x:v>V022：不得把主棋盘一个100里格理解为该河宽100里；本节点的20里偏移仅为可读排版。</x:v>
      </x:c>
      <x:c r="AI112" s="1449" t="str">
        <x:v>由洋水代表段西南100里分解，置(-1250,+450)。
V022多尺度重构：原坐标“X=-1250里，Y=+450里（-12.5，+4.5格）”属于旧100里最小邻接布局；现改为X=-1084.1里，Y=+615.9里（-10.8，+6.2格）。原文只锁方向／拓扑，20里为格内视觉偏移，不是文本里数。</x:v>
      </x:c>
      <x:c r="AJ112" s="1449" t="str">
        <x:v>https://ctext.org/shan-hai-jing/xi-shan-jing/zh</x:v>
      </x:c>
    </x:row>
    <x:row r="113" ht="103.5" customHeight="1">
      <x:c r="A113" s="1447" t="str">
        <x:v>X=-1070里，Y=+650里（-10.7，+6.5格）</x:v>
      </x:c>
      <x:c r="B113" s="1448" t="str">
        <x:v>黑水（西山经西流层）</x:v>
      </x:c>
      <x:c r="C113" s="1449" t="str">
        <x:v>河流／异文分流层</x:v>
      </x:c>
      <x:c r="D113" s="1449" t="str">
        <x:v>《西山经》</x:v>
      </x:c>
      <x:c r="E113" s="1449" t="str">
        <x:v>昆仑西山经四水分流层</x:v>
      </x:c>
      <x:c r="F113" s="1449" t="str">
        <x:v>西北</x:v>
      </x:c>
      <x:c r="G113" s="1449" t="n">
        <x:v>1252</x:v>
      </x:c>
      <x:c r="H113" s="1449" t="str">
        <x:v>直接参照地：昆仑之丘；大杅
原文流向：黑水西流于大杅</x:v>
      </x:c>
      <x:c r="I113" s="1449" t="str">
        <x:v>无里数</x:v>
      </x:c>
      <x:c r="J113" s="1449" t="str">
        <x:v>原文方向／拓扑锁定＋格内20里排版偏移（非文本距离）</x:v>
      </x:c>
      <x:c r="K113" s="1449" t="str">
        <x:v>西流关系锁定；不覆盖海内西经洋黑水共线层
V022：方向与先后关系保留；20里只用于格内排版，实际长度未锁</x:v>
      </x:c>
      <x:c r="L113" s="1449" t="str">
        <x:v>线型水系代表段
线型水系；100里主格仅为索引，不代表河宽或河道占满整格</x:v>
      </x:c>
      <x:c r="M113" s="1449"/>
      <x:c r="N113" s="1449" t="str">
        <x:v>黑水西流段</x:v>
      </x:c>
      <x:c r="O113" s="1449"/>
      <x:c r="P113" s="1449"/>
      <x:c r="Q113" s="1449"/>
      <x:c r="R113" s="1449"/>
      <x:c r="S113" s="1449"/>
      <x:c r="T113" s="1449"/>
      <x:c r="U113" s="1449"/>
      <x:c r="V113" s="1449"/>
      <x:c r="W113" s="1449"/>
      <x:c r="X113" s="1449"/>
      <x:c r="Y113" s="1449"/>
      <x:c r="Z113" s="1450" t="e">
        <x:f>HYPERLINK("#'山海经原文总库'!A211","查看对应原文段落")</x:f>
        <x:v>HYPERLINK is not implemented. linkLocation=#'山海经原文总库'!A211, friendlyName=查看对应原文段落</x:v>
      </x:c>
      <x:c r="AA113" s="1449"/>
      <x:c r="AB113" s="1449"/>
      <x:c r="AC113" s="1449"/>
      <x:c r="AD113" s="1449"/>
      <x:c r="AE113" s="1449"/>
      <x:c r="AF113" s="1449"/>
      <x:c r="AG113" s="1449"/>
      <x:c r="AH113" s="1449" t="str">
        <x:v>本层不与昆仑海内层黑水、幽都黑水、都广边界黑水直接合并。
V022：不得把主棋盘一个100里格理解为该河宽100里；本节点的20里偏移仅为可读排版。</x:v>
      </x:c>
      <x:c r="AI113" s="1449" t="str">
        <x:v>昆仑中心向西一格置(-1150,+650)，再接大杅。
V022多尺度重构：原坐标“X=-1150里，Y=+650里（-11.5，+6.5格）”属于旧100里最小邻接布局；现改为X=-1070里，Y=+650里（-10.7，+6.5格）。原文只锁方向／拓扑，20里为格内视觉偏移，不是文本里数。</x:v>
      </x:c>
      <x:c r="AJ113" s="1449" t="str">
        <x:v>https://ctext.org/shan-hai-jing/xi-shan-jing/zh</x:v>
      </x:c>
    </x:row>
    <x:row r="114" ht="103.5" customHeight="1">
      <x:c r="A114" s="1447" t="str">
        <x:v>X=-1090里，Y=+650里（-10.9，+6.5格）</x:v>
      </x:c>
      <x:c r="B114" s="1448" t="str">
        <x:v>大杅（西山经黑水流入处）</x:v>
      </x:c>
      <x:c r="C114" s="1449" t="str">
        <x:v>水域／黑水目的地</x:v>
      </x:c>
      <x:c r="D114" s="1449" t="str">
        <x:v>《西山经》</x:v>
      </x:c>
      <x:c r="E114" s="1449" t="str">
        <x:v>昆仑黑水西山经层</x:v>
      </x:c>
      <x:c r="F114" s="1449" t="str">
        <x:v>西北</x:v>
      </x:c>
      <x:c r="G114" s="1449" t="n">
        <x:v>1269.1</x:v>
      </x:c>
      <x:c r="H114" s="1449" t="str">
        <x:v>直接参照地：黑水西山经层
原文关系：黑水西流于大杅</x:v>
      </x:c>
      <x:c r="I114" s="1449" t="str">
        <x:v>无里数</x:v>
      </x:c>
      <x:c r="J114" s="1449" t="str">
        <x:v>原文方向／拓扑锁定＋格内20里排版偏移（非文本距离）</x:v>
      </x:c>
      <x:c r="K114" s="1449" t="str">
        <x:v>黑水流入关系锁定；地貌性质未锁
V022：方向与先后关系保留；20里只用于格内排版，实际长度未锁</x:v>
      </x:c>
      <x:c r="L114" s="1449" t="str">
        <x:v>水域／低地接口
水域接口／面积层；蓝色面积仅表示水体存在，不据此推定完整边界</x:v>
      </x:c>
      <x:c r="M114" s="1449"/>
      <x:c r="N114" s="1449" t="str">
        <x:v>接纳西山经黑水</x:v>
      </x:c>
      <x:c r="O114" s="1449"/>
      <x:c r="P114" s="1449"/>
      <x:c r="Q114" s="1449"/>
      <x:c r="R114" s="1449"/>
      <x:c r="S114" s="1449"/>
      <x:c r="T114" s="1449"/>
      <x:c r="U114" s="1449"/>
      <x:c r="V114" s="1449"/>
      <x:c r="W114" s="1449"/>
      <x:c r="X114" s="1449"/>
      <x:c r="Y114" s="1449"/>
      <x:c r="Z114" s="1450" t="e">
        <x:f>HYPERLINK("#'山海经原文总库'!A207","查看对应原文段落")</x:f>
        <x:v>HYPERLINK is not implemented. linkLocation=#'山海经原文总库'!A207, friendlyName=查看对应原文段落</x:v>
      </x:c>
      <x:c r="AA114" s="1449"/>
      <x:c r="AB114" s="1449"/>
      <x:c r="AC114" s="1449"/>
      <x:c r="AD114" s="1449" t="str">
        <x:v>“杅”字形与地貌解释存在异说，本表保留原名。</x:v>
      </x:c>
      <x:c r="AE114" s="1449"/>
      <x:c r="AF114" s="1449"/>
      <x:c r="AG114" s="1449"/>
      <x:c r="AH114" s="1449" t="str">
        <x:v>V022：不得把主棋盘一个100里格理解为该河宽100里；本节点的20里偏移仅为可读排版。</x:v>
      </x:c>
      <x:c r="AI114" s="1449" t="str">
        <x:v>由黑水西流段向西一格置(-1250,+650)。
V022多尺度重构：原坐标“X=-1250里，Y=+650里（-12.5，+6.5格）”属于旧100里最小邻接布局；现改为X=-1090里，Y=+650里（-10.9，+6.5格）。原文只锁方向／拓扑，20里为格内视觉偏移，不是文本里数。</x:v>
      </x:c>
      <x:c r="AJ114" s="1449" t="str">
        <x:v>https://ctext.org/shan-hai-jing/xi-shan-jing/zh</x:v>
      </x:c>
    </x:row>
    <x:row r="115" ht="103.5" customHeight="1">
      <x:c r="A115" s="1447" t="str">
        <x:v>X=-367.2里，Y=+1332.8里（-3.7，+13.3格）</x:v>
      </x:c>
      <x:c r="B115" s="1448" t="str">
        <x:v>槐江之山（昆仑东北四百里锚点）</x:v>
      </x:c>
      <x:c r="C115" s="1449" t="str">
        <x:v>山／帝之平圃</x:v>
      </x:c>
      <x:c r="D115" s="1449" t="str">
        <x:v>《西山经》</x:v>
      </x:c>
      <x:c r="E115" s="1449" t="str">
        <x:v>西次三经／昆仑东接锚点</x:v>
      </x:c>
      <x:c r="F115" s="1449" t="str">
        <x:v>西北</x:v>
      </x:c>
      <x:c r="G115" s="1449" t="n">
        <x:v>1382.5</x:v>
      </x:c>
      <x:c r="H115" s="1449" t="str">
        <x:v>直接参照地：昆仑之丘
原文关系：自槐江西南四百里至昆仑；槐江南望昆仑</x:v>
      </x:c>
      <x:c r="I115" s="1449" t="str">
        <x:v>昆仑在其西南400里</x:v>
      </x:c>
      <x:c r="J115" s="1449" t="str">
        <x:v>原文斜向400里硬距离</x:v>
      </x:c>
      <x:c r="K115" s="1449" t="str">
        <x:v>V021重算后锁定；以昆仑东北边界顶点为400里基准，不再落入昆仑主体</x:v>
      </x:c>
      <x:c r="L115" s="1449" t="str">
        <x:v>山体／帝之平圃；中心改为(-367.2,+1332.8)</x:v>
      </x:c>
      <x:c r="M115" s="1449" t="str">
        <x:v>槐江山／平圃</x:v>
      </x:c>
      <x:c r="N115" s="1449" t="str">
        <x:v>丘时之水；淫水</x:v>
      </x:c>
      <x:c r="O115" s="1449"/>
      <x:c r="P115" s="1449"/>
      <x:c r="Q115" s="1449" t="str">
        <x:v>琅玕、黄金、玉、青雄黄、丹粟、金银</x:v>
      </x:c>
      <x:c r="R115" s="1449"/>
      <x:c r="S115" s="1449"/>
      <x:c r="T115" s="1449"/>
      <x:c r="U115" s="1449" t="str">
        <x:v>英招</x:v>
      </x:c>
      <x:c r="V115" s="1449"/>
      <x:c r="W115" s="1449"/>
      <x:c r="X115" s="1449" t="str">
        <x:v>神英招司帝之平圃，徇于四海</x:v>
      </x:c>
      <x:c r="Y115" s="1449"/>
      <x:c r="Z115" s="1450" t="e">
        <x:f>HYPERLINK("#'山海经原文总库'!A200","查看对应原文段落")</x:f>
        <x:v>HYPERLINK is not implemented. linkLocation=#'山海经原文总库'!A200, friendlyName=查看对应原文段落</x:v>
      </x:c>
      <x:c r="AA115" s="1449"/>
      <x:c r="AB115" s="1449"/>
      <x:c r="AC115" s="1449"/>
      <x:c r="AD115" s="1449"/>
      <x:c r="AE115" s="1449"/>
      <x:c r="AF115" s="1449"/>
      <x:c r="AG115" s="1449"/>
      <x:c r="AH115" s="1449" t="str">
        <x:v>若仍按昆仑中心至槐江中心400里计算，槐江会落入昆仑主体内部，几何上不成立。</x:v>
      </x:c>
      <x:c r="AI115" s="1449" t="str">
        <x:v>V021：将“槐江之山西南四百里曰昆仑之丘”解释为从昆仑东北边界顶点(-650,+1050)逆推400里，故槐江中心改为(-367.2,+1332.8)，不再嵌入昆仑8×8主体。</x:v>
      </x:c>
      <x:c r="AJ115" s="1449" t="str">
        <x:v>https://ctext.org/shan-hai-jing/xi-shan-jing/zh</x:v>
      </x:c>
    </x:row>
    <x:row r="116" ht="103.5" customHeight="1">
      <x:c r="A116" s="1447" t="str">
        <x:v>X=-1820里，Y=+650里（-18.2，+6.5格）</x:v>
      </x:c>
      <x:c r="B116" s="1448" t="str">
        <x:v>乐游之山</x:v>
      </x:c>
      <x:c r="C116" s="1449" t="str">
        <x:v>山</x:v>
      </x:c>
      <x:c r="D116" s="1449" t="str">
        <x:v>《西山经》</x:v>
      </x:c>
      <x:c r="E116" s="1449" t="str">
        <x:v>西次三经／昆仑西行走廊</x:v>
      </x:c>
      <x:c r="F116" s="1449" t="str">
        <x:v>西北</x:v>
      </x:c>
      <x:c r="G116" s="1449" t="n">
        <x:v>1932.6</x:v>
      </x:c>
      <x:c r="H116" s="1449" t="str">
        <x:v>直接参照地：昆仑之丘
原文方向：又西三百七十里</x:v>
      </x:c>
      <x:c r="I116" s="1449" t="str">
        <x:v>昆仑以西370里</x:v>
      </x:c>
      <x:c r="J116" s="1449" t="str">
        <x:v>原文正西硬距离</x:v>
      </x:c>
      <x:c r="K116" s="1449" t="str">
        <x:v>V021重算后锁定；以昆仑西边界为370里基准，西次三经整体西移</x:v>
      </x:c>
      <x:c r="L116" s="1449" t="str">
        <x:v>山体；中心改为(-1820,+650)</x:v>
      </x:c>
      <x:c r="M116" s="1449"/>
      <x:c r="N116" s="1449" t="str">
        <x:v>桃水西流注稷泽</x:v>
      </x:c>
      <x:c r="O116" s="1449"/>
      <x:c r="P116" s="1449"/>
      <x:c r="Q116" s="1449" t="str">
        <x:v>白玉</x:v>
      </x:c>
      <x:c r="R116" s="1449"/>
      <x:c r="S116" s="1449"/>
      <x:c r="T116" s="1449"/>
      <x:c r="U116" s="1449"/>
      <x:c r="V116" s="1449"/>
      <x:c r="W116" s="1449"/>
      <x:c r="X116" s="1449"/>
      <x:c r="Y116" s="1449"/>
      <x:c r="Z116" s="1450" t="e">
        <x:f>HYPERLINK("#'山海经原文总库'!A224","查看对应原文段落")</x:f>
        <x:v>HYPERLINK is not implemented. linkLocation=#'山海经原文总库'!A224, friendlyName=查看对应原文段落</x:v>
      </x:c>
      <x:c r="AA116" s="1449"/>
      <x:c r="AB116" s="1449"/>
      <x:c r="AC116" s="1449"/>
      <x:c r="AD116" s="1449"/>
      <x:c r="AE116" s="1449"/>
      <x:c r="AF116" s="1449"/>
      <x:c r="AG116" s="1449"/>
      <x:c r="AH116" s="1449" t="str">
        <x:v>若仍按昆仑中心起算370里，乐游仍处于昆仑8×8主体内部。</x:v>
      </x:c>
      <x:c r="AI116" s="1449" t="str">
        <x:v>V021：乐游“又西三百七十里”改由昆仑西边界X=-1450起算，故乐游改为(-1820,+650)。流沙—蠃母—玉山—三危山整条西次三经走廊作为刚性模块整体向西平移400里。</x:v>
      </x:c>
      <x:c r="AJ116" s="1449" t="str">
        <x:v>https://ctext.org/shan-hai-jing/xi-shan-jing/zh</x:v>
      </x:c>
    </x:row>
    <x:row r="117" ht="103.5" customHeight="1">
      <x:c r="A117" s="1447" t="str">
        <x:v>X=-2220里，Y=+650里（-22.2，+6.5格）</x:v>
      </x:c>
      <x:c r="B117" s="1448" t="str">
        <x:v>流沙（西次三经水行段）</x:v>
      </x:c>
      <x:c r="C117" s="1449" t="str">
        <x:v>区域／水行走廊</x:v>
      </x:c>
      <x:c r="D117" s="1449" t="str">
        <x:v>《西山经》</x:v>
      </x:c>
      <x:c r="E117" s="1449" t="str">
        <x:v>乐游—蠃母之间</x:v>
      </x:c>
      <x:c r="F117" s="1449" t="str">
        <x:v>西北</x:v>
      </x:c>
      <x:c r="G117" s="1449" t="n">
        <x:v>2313.2</x:v>
      </x:c>
      <x:c r="H117" s="1449" t="str">
        <x:v>直接参照地：乐游之山；蠃母之山
原文关系：西水行四百里曰流沙，二百里至蠃母</x:v>
      </x:c>
      <x:c r="I117" s="1449" t="str">
        <x:v>乐游后西水行400里</x:v>
      </x:c>
      <x:c r="J117" s="1449" t="str">
        <x:v>原文水行硬距离代表点</x:v>
      </x:c>
      <x:c r="K117" s="1449" t="str">
        <x:v>V021：随乐游锚点整体西移400里；内部里数与共位关系锁定</x:v>
      </x:c>
      <x:c r="L117" s="1449" t="str">
        <x:v>区域／水路节点</x:v>
      </x:c>
      <x:c r="M117" s="1449"/>
      <x:c r="N117" s="1449"/>
      <x:c r="O117" s="1449"/>
      <x:c r="P117" s="1449"/>
      <x:c r="Q117" s="1449"/>
      <x:c r="R117" s="1449"/>
      <x:c r="S117" s="1449"/>
      <x:c r="T117" s="1449"/>
      <x:c r="U117" s="1449"/>
      <x:c r="V117" s="1449"/>
      <x:c r="W117" s="1449"/>
      <x:c r="X117" s="1449"/>
      <x:c r="Y117" s="1449"/>
      <x:c r="Z117" s="1450" t="e">
        <x:f>HYPERLINK("#'山海经原文总库'!A227","查看对应原文段落")</x:f>
        <x:v>HYPERLINK is not implemented. linkLocation=#'山海经原文总库'!A227, friendlyName=查看对应原文段落</x:v>
      </x:c>
      <x:c r="AA117" s="1449"/>
      <x:c r="AB117" s="1449"/>
      <x:c r="AC117" s="1449"/>
      <x:c r="AD117" s="1449"/>
      <x:c r="AE117" s="1449"/>
      <x:c r="AF117" s="1449"/>
      <x:c r="AG117" s="1449"/>
      <x:c r="AH117" s="1449" t="str">
        <x:v>本次修正的是昆仑边界起算基准，不是重写西次三经内部链条。</x:v>
      </x:c>
      <x:c r="AI117" s="1449" t="str">
        <x:v>乐游X=-1820，西水行400里，流沙代表点X=-2220。
V021：本对象所属西次三经刚性模块整体西移400里，内部原文里数顺序不变。</x:v>
      </x:c>
      <x:c r="AJ117" s="1449" t="str">
        <x:v>https://ctext.org/shan-hai-jing/xi-shan-jing/zh</x:v>
      </x:c>
    </x:row>
    <x:row r="118" ht="103.5" customHeight="1">
      <x:c r="A118" s="1447" t="str">
        <x:v>X=-2420里，Y=+650里（-24.2，+6.5格）</x:v>
      </x:c>
      <x:c r="B118" s="1448" t="str">
        <x:v>蠃母之山</x:v>
      </x:c>
      <x:c r="C118" s="1449" t="str">
        <x:v>山</x:v>
      </x:c>
      <x:c r="D118" s="1449" t="str">
        <x:v>《西山经》</x:v>
      </x:c>
      <x:c r="E118" s="1449" t="str">
        <x:v>西次三经／流沙西端</x:v>
      </x:c>
      <x:c r="F118" s="1449" t="str">
        <x:v>西北</x:v>
      </x:c>
      <x:c r="G118" s="1449" t="n">
        <x:v>2505.8</x:v>
      </x:c>
      <x:c r="H118" s="1449" t="str">
        <x:v>直接参照地：流沙；玉山
原文关系：流沙后二百里至蠃母；又西三百五十里至玉山</x:v>
      </x:c>
      <x:c r="I118" s="1449" t="str">
        <x:v>流沙以西200里</x:v>
      </x:c>
      <x:c r="J118" s="1449" t="str">
        <x:v>原文正西硬距离</x:v>
      </x:c>
      <x:c r="K118" s="1449" t="str">
        <x:v>V021：随乐游锚点整体西移400里；内部里数与共位关系锁定</x:v>
      </x:c>
      <x:c r="L118" s="1449" t="str">
        <x:v>山体</x:v>
      </x:c>
      <x:c r="M118" s="1449"/>
      <x:c r="N118" s="1449"/>
      <x:c r="O118" s="1449"/>
      <x:c r="P118" s="1449"/>
      <x:c r="Q118" s="1449" t="str">
        <x:v>玉、青石</x:v>
      </x:c>
      <x:c r="R118" s="1449"/>
      <x:c r="S118" s="1449"/>
      <x:c r="T118" s="1449"/>
      <x:c r="U118" s="1449" t="str">
        <x:v>长乘</x:v>
      </x:c>
      <x:c r="V118" s="1449"/>
      <x:c r="W118" s="1449"/>
      <x:c r="X118" s="1449" t="str">
        <x:v>长乘为天之九德</x:v>
      </x:c>
      <x:c r="Y118" s="1449"/>
      <x:c r="Z118" s="1450" t="e">
        <x:f>HYPERLINK("#'山海经原文总库'!A228","查看对应原文段落")</x:f>
        <x:v>HYPERLINK is not implemented. linkLocation=#'山海经原文总库'!A228, friendlyName=查看对应原文段落</x:v>
      </x:c>
      <x:c r="AA118" s="1449"/>
      <x:c r="AB118" s="1449"/>
      <x:c r="AC118" s="1449"/>
      <x:c r="AD118" s="1449"/>
      <x:c r="AE118" s="1449"/>
      <x:c r="AF118" s="1449"/>
      <x:c r="AG118" s="1449"/>
      <x:c r="AH118" s="1449" t="str">
        <x:v>本次修正的是昆仑边界起算基准，不是重写西次三经内部链条。</x:v>
      </x:c>
      <x:c r="AI118" s="1449" t="str">
        <x:v>流沙X=-2220，向西200里得X=-2420。
V021：本对象所属西次三经刚性模块整体西移400里，内部原文里数顺序不变。</x:v>
      </x:c>
      <x:c r="AJ118" s="1449" t="str">
        <x:v>https://ctext.org/shan-hai-jing/xi-shan-jing/zh</x:v>
      </x:c>
    </x:row>
    <x:row r="119" ht="103.5" customHeight="1">
      <x:c r="A119" s="1447" t="str">
        <x:v>X=-2770里，Y=+650里（-27.7，+6.5格）</x:v>
      </x:c>
      <x:c r="B119" s="1448" t="str">
        <x:v>玉山（西王母居所）</x:v>
      </x:c>
      <x:c r="C119" s="1449" t="str">
        <x:v>山／神祇居所</x:v>
      </x:c>
      <x:c r="D119" s="1449" t="str">
        <x:v>《西山经》</x:v>
      </x:c>
      <x:c r="E119" s="1449" t="str">
        <x:v>西次三经／西王母玉山层</x:v>
      </x:c>
      <x:c r="F119" s="1449" t="str">
        <x:v>西北</x:v>
      </x:c>
      <x:c r="G119" s="1449" t="n">
        <x:v>2845.2</x:v>
      </x:c>
      <x:c r="H119" s="1449" t="str">
        <x:v>直接参照地：蠃母之山；轩辕之丘；西王母
原文关系：又西三百五十里曰玉山，是西王母所居</x:v>
      </x:c>
      <x:c r="I119" s="1449" t="str">
        <x:v>蠃母以西350里；轩辕丘在其西480里</x:v>
      </x:c>
      <x:c r="J119" s="1449" t="str">
        <x:v>原文正西硬距离</x:v>
      </x:c>
      <x:c r="K119" s="1449" t="str">
        <x:v>V021：随乐游锚点整体西移400里；内部里数与共位关系锁定</x:v>
      </x:c>
      <x:c r="L119" s="1449" t="str">
        <x:v>山体／神祇居所</x:v>
      </x:c>
      <x:c r="M119" s="1449"/>
      <x:c r="N119" s="1449"/>
      <x:c r="O119" s="1449"/>
      <x:c r="P119" s="1449" t="str">
        <x:v>狡、胜遇</x:v>
      </x:c>
      <x:c r="Q119" s="1449"/>
      <x:c r="R119" s="1449"/>
      <x:c r="S119" s="1449"/>
      <x:c r="T119" s="1449"/>
      <x:c r="U119" s="1449" t="str">
        <x:v>西王母</x:v>
      </x:c>
      <x:c r="V119" s="1449"/>
      <x:c r="W119" s="1449"/>
      <x:c r="X119" s="1449" t="str">
        <x:v>西王母司天之厉及五残；狡见则大穰，胜遇见则大水</x:v>
      </x:c>
      <x:c r="Y119" s="1449"/>
      <x:c r="Z119" s="1450" t="e">
        <x:f>HYPERLINK("#'山海经原文总库'!A230","查看对应原文段落")</x:f>
        <x:v>HYPERLINK is not implemented. linkLocation=#'山海经原文总库'!A230, friendlyName=查看对应原文段落</x:v>
      </x:c>
      <x:c r="AA119" s="1449"/>
      <x:c r="AB119" s="1449"/>
      <x:c r="AC119" s="1449"/>
      <x:c r="AD119" s="1449"/>
      <x:c r="AE119" s="1449"/>
      <x:c r="AF119" s="1449"/>
      <x:c r="AG119" s="1449"/>
      <x:c r="AH119" s="1449" t="str">
        <x:v>玉山居所不等同昆仑虚北位置，也不因大荒西经而自动搬入昆仑山体。
本次修正的是昆仑边界起算基准，不是重写西次三经内部链条。</x:v>
      </x:c>
      <x:c r="AI119" s="1449" t="str">
        <x:v>蠃母X=-2420，向西350里得玉山X=-2770。
V021：本对象所属西次三经刚性模块整体西移400里，内部原文里数顺序不变。</x:v>
      </x:c>
      <x:c r="AJ119" s="1449" t="str">
        <x:v>https://ctext.org/shan-hai-jing/xi-shan-jing/zh</x:v>
      </x:c>
    </x:row>
    <x:row r="120" ht="103.5" customHeight="1">
      <x:c r="A120" s="1447" t="str">
        <x:v>X=-2770里，Y=+650里（-27.7，+6.5格）</x:v>
      </x:c>
      <x:c r="B120" s="1448" t="str">
        <x:v>西王母（玉山居所层）</x:v>
      </x:c>
      <x:c r="C120" s="1449" t="str">
        <x:v>神祇／居所文本层</x:v>
      </x:c>
      <x:c r="D120" s="1449" t="str">
        <x:v>《西山经》</x:v>
      </x:c>
      <x:c r="E120" s="1449" t="str">
        <x:v>玉山</x:v>
      </x:c>
      <x:c r="F120" s="1449" t="str">
        <x:v>西北</x:v>
      </x:c>
      <x:c r="G120" s="1449" t="n">
        <x:v>2845.2</x:v>
      </x:c>
      <x:c r="H120" s="1449" t="str">
        <x:v>直接参照地：玉山
原文关系：玉山是西王母所居</x:v>
      </x:c>
      <x:c r="I120" s="1449" t="str">
        <x:v>与玉山共位</x:v>
      </x:c>
      <x:c r="J120" s="1449" t="str">
        <x:v>原文居所关系共位</x:v>
      </x:c>
      <x:c r="K120" s="1449" t="str">
        <x:v>V021：随乐游锚点整体西移400里；内部里数与共位关系锁定</x:v>
      </x:c>
      <x:c r="L120" s="1449" t="str">
        <x:v>神祇居所点</x:v>
      </x:c>
      <x:c r="M120" s="1449"/>
      <x:c r="N120" s="1449"/>
      <x:c r="O120" s="1449"/>
      <x:c r="P120" s="1449"/>
      <x:c r="Q120" s="1449"/>
      <x:c r="R120" s="1449"/>
      <x:c r="S120" s="1449"/>
      <x:c r="T120" s="1449"/>
      <x:c r="U120" s="1449" t="str">
        <x:v>西王母</x:v>
      </x:c>
      <x:c r="V120" s="1449"/>
      <x:c r="W120" s="1449" t="str">
        <x:v>状如人，豹尾虎齿，善啸，蓬发戴胜</x:v>
      </x:c>
      <x:c r="X120" s="1449" t="str">
        <x:v>司天之厉及五残</x:v>
      </x:c>
      <x:c r="Y120" s="1449"/>
      <x:c r="Z120" s="1450" t="e">
        <x:f>HYPERLINK("#'山海经原文总库'!A230","查看对应原文段落")</x:f>
        <x:v>HYPERLINK is not implemented. linkLocation=#'山海经原文总库'!A230, friendlyName=查看对应原文段落</x:v>
      </x:c>
      <x:c r="AA120" s="1449" t="str">
        <x:v>三处地理传统：玉山所居；昆仑虚北；大荒昆仑穴处。判定为多居所／多文本层，不压成单点。</x:v>
      </x:c>
      <x:c r="AB120" s="1449"/>
      <x:c r="AC120" s="1449"/>
      <x:c r="AD120" s="1449"/>
      <x:c r="AE120" s="1449"/>
      <x:c r="AF120" s="1449"/>
      <x:c r="AG120" s="1449"/>
      <x:c r="AH120" s="1449" t="str">
        <x:v>不能用后世昆仑宫统一覆盖玉山文本。
本次修正的是昆仑边界起算基准，不是重写西次三经内部链条。</x:v>
      </x:c>
      <x:c r="AI120" s="1449" t="str">
        <x:v>与玉山共位(-2770,+650)，作为独立居所层。
V021：本对象所属西次三经刚性模块整体西移400里，内部原文里数顺序不变。</x:v>
      </x:c>
      <x:c r="AJ120" s="1449" t="str">
        <x:v>https://ctext.org/shan-hai-jing/xi-shan-jing/zh</x:v>
      </x:c>
    </x:row>
    <x:row r="121" ht="103.5" customHeight="1">
      <x:c r="A121" s="1447" t="str">
        <x:v>X=-3250里，Y=+650里（-32.5，+6.5格）</x:v>
      </x:c>
      <x:c r="B121" s="1448" t="str">
        <x:v>轩辕之丘（西次三经）</x:v>
      </x:c>
      <x:c r="C121" s="1449" t="str">
        <x:v>丘</x:v>
      </x:c>
      <x:c r="D121" s="1449" t="str">
        <x:v>《西山经》</x:v>
      </x:c>
      <x:c r="E121" s="1449" t="str">
        <x:v>玉山—积石走廊</x:v>
      </x:c>
      <x:c r="F121" s="1449" t="str">
        <x:v>西北</x:v>
      </x:c>
      <x:c r="G121" s="1449" t="n">
        <x:v>3314.4</x:v>
      </x:c>
      <x:c r="H121" s="1449" t="str">
        <x:v>直接参照地：玉山；积石之山
原文关系：玉山又西四百八十里；再西三百里至积石</x:v>
      </x:c>
      <x:c r="I121" s="1449" t="str">
        <x:v>玉山以西480里</x:v>
      </x:c>
      <x:c r="J121" s="1449" t="str">
        <x:v>原文正西硬距离</x:v>
      </x:c>
      <x:c r="K121" s="1449" t="str">
        <x:v>V021：随乐游锚点整体西移400里；内部里数与共位关系锁定</x:v>
      </x:c>
      <x:c r="L121" s="1449" t="str">
        <x:v>丘体</x:v>
      </x:c>
      <x:c r="M121" s="1449"/>
      <x:c r="N121" s="1449" t="str">
        <x:v>洵水南流注黑水</x:v>
      </x:c>
      <x:c r="O121" s="1449"/>
      <x:c r="P121" s="1449"/>
      <x:c r="Q121" s="1449" t="str">
        <x:v>丹粟、青雄黄</x:v>
      </x:c>
      <x:c r="R121" s="1449"/>
      <x:c r="S121" s="1449"/>
      <x:c r="T121" s="1449"/>
      <x:c r="U121" s="1449"/>
      <x:c r="V121" s="1449"/>
      <x:c r="W121" s="1449"/>
      <x:c r="X121" s="1449"/>
      <x:c r="Y121" s="1449"/>
      <x:c r="Z121" s="1450" t="e">
        <x:f>HYPERLINK("#'山海经原文总库'!A231","查看对应原文段落")</x:f>
        <x:v>HYPERLINK is not implemented. linkLocation=#'山海经原文总库'!A231, friendlyName=查看对应原文段落</x:v>
      </x:c>
      <x:c r="AA121" s="1449"/>
      <x:c r="AB121" s="1449"/>
      <x:c r="AC121" s="1449"/>
      <x:c r="AD121" s="1449"/>
      <x:c r="AE121" s="1449"/>
      <x:c r="AF121" s="1449"/>
      <x:c r="AG121" s="1449"/>
      <x:c r="AH121" s="1449" t="str">
        <x:v>本次修正的是昆仑边界起算基准，不是重写西次三经内部链条。</x:v>
      </x:c>
      <x:c r="AI121" s="1449" t="str">
        <x:v>玉山X=-2770，向西480里得X=-3250。
V021：本对象所属西次三经刚性模块整体西移400里，内部原文里数顺序不变。</x:v>
      </x:c>
      <x:c r="AJ121" s="1449" t="str">
        <x:v>https://ctext.org/shan-hai-jing/xi-shan-jing/zh</x:v>
      </x:c>
    </x:row>
    <x:row r="122" ht="103.5" customHeight="1">
      <x:c r="A122" s="1447" t="str">
        <x:v>X=-3550里，Y=+650里（-35.5，+6.5格）</x:v>
      </x:c>
      <x:c r="B122" s="1448" t="str">
        <x:v>积石之山（西山经层）</x:v>
      </x:c>
      <x:c r="C122" s="1449" t="str">
        <x:v>山／石门河道</x:v>
      </x:c>
      <x:c r="D122" s="1449" t="str">
        <x:v>《西山经》</x:v>
      </x:c>
      <x:c r="E122" s="1449" t="str">
        <x:v>西次三经／轩辕丘西</x:v>
      </x:c>
      <x:c r="F122" s="1449" t="str">
        <x:v>西北</x:v>
      </x:c>
      <x:c r="G122" s="1449" t="n">
        <x:v>3609</x:v>
      </x:c>
      <x:c r="H122" s="1449" t="str">
        <x:v>直接参照地：轩辕之丘；长留之山；河水
原文关系：轩辕丘又西三百里；山下石门，河水冒以西流</x:v>
      </x:c>
      <x:c r="I122" s="1449" t="str">
        <x:v>轩辕丘以西300里</x:v>
      </x:c>
      <x:c r="J122" s="1449" t="str">
        <x:v>原文正西硬距离</x:v>
      </x:c>
      <x:c r="K122" s="1449" t="str">
        <x:v>V021：随乐游锚点整体西移400里；内部里数与共位关系锁定</x:v>
      </x:c>
      <x:c r="L122" s="1449" t="str">
        <x:v>山体／石门河道</x:v>
      </x:c>
      <x:c r="M122" s="1449" t="str">
        <x:v>山下石门</x:v>
      </x:c>
      <x:c r="N122" s="1449" t="str">
        <x:v>河水冒过石门向西流</x:v>
      </x:c>
      <x:c r="O122" s="1449"/>
      <x:c r="P122" s="1449"/>
      <x:c r="Q122" s="1449"/>
      <x:c r="R122" s="1449"/>
      <x:c r="S122" s="1449"/>
      <x:c r="T122" s="1449"/>
      <x:c r="U122" s="1449"/>
      <x:c r="V122" s="1449"/>
      <x:c r="W122" s="1449"/>
      <x:c r="X122" s="1449"/>
      <x:c r="Y122" s="1449"/>
      <x:c r="Z122" s="1450" t="e">
        <x:f>HYPERLINK("#'山海经原文总库'!A234","查看对应原文段落")</x:f>
        <x:v>HYPERLINK is not implemented. linkLocation=#'山海经原文总库'!A234, friendlyName=查看对应原文段落</x:v>
      </x:c>
      <x:c r="AA122" s="1449" t="str">
        <x:v>海内西经、海外北经、大荒北经的禹所积石为河水所入；本山是河水冒石门西流，功能相近但方向与叙述不同。</x:v>
      </x:c>
      <x:c r="AB122" s="1449"/>
      <x:c r="AC122" s="1449"/>
      <x:c r="AD122" s="1449"/>
      <x:c r="AE122" s="1449"/>
      <x:c r="AF122" s="1449"/>
      <x:c r="AG122" s="1449"/>
      <x:c r="AH122" s="1449" t="str">
        <x:v>不能仅因“积石”二字就正式并入禹所积石。
本次修正的是昆仑边界起算基准，不是重写西次三经内部链条。</x:v>
      </x:c>
      <x:c r="AI122" s="1449" t="str">
        <x:v>轩辕丘X=-3250，向西300里得X=-3550。
V021：本对象所属西次三经刚性模块整体西移400里，内部原文里数顺序不变。</x:v>
      </x:c>
      <x:c r="AJ122" s="1449" t="str">
        <x:v>https://ctext.org/shan-hai-jing/xi-shan-jing/zh</x:v>
      </x:c>
    </x:row>
    <x:row r="123" ht="103.5" customHeight="1">
      <x:c r="A123" s="1447" t="str">
        <x:v>X=-3750里，Y=+650里（-37.5，+6.5格）</x:v>
      </x:c>
      <x:c r="B123" s="1448" t="str">
        <x:v>长留之山</x:v>
      </x:c>
      <x:c r="C123" s="1449" t="str">
        <x:v>山／白帝少昊居所</x:v>
      </x:c>
      <x:c r="D123" s="1449" t="str">
        <x:v>《西山经》</x:v>
      </x:c>
      <x:c r="E123" s="1449" t="str">
        <x:v>西次三经</x:v>
      </x:c>
      <x:c r="F123" s="1449" t="str">
        <x:v>西北</x:v>
      </x:c>
      <x:c r="G123" s="1449" t="n">
        <x:v>3805.9</x:v>
      </x:c>
      <x:c r="H123" s="1449" t="str">
        <x:v>直接参照地：积石之山；章莪之山
原文关系：积石又西二百里</x:v>
      </x:c>
      <x:c r="I123" s="1449" t="str">
        <x:v>积石以西200里</x:v>
      </x:c>
      <x:c r="J123" s="1449" t="str">
        <x:v>原文正西硬距离</x:v>
      </x:c>
      <x:c r="K123" s="1449" t="str">
        <x:v>V021：随乐游锚点整体西移400里；内部里数与共位关系锁定</x:v>
      </x:c>
      <x:c r="L123" s="1449" t="str">
        <x:v>山体／神宫</x:v>
      </x:c>
      <x:c r="M123" s="1449"/>
      <x:c r="N123" s="1449"/>
      <x:c r="O123" s="1449"/>
      <x:c r="P123" s="1449"/>
      <x:c r="Q123" s="1449"/>
      <x:c r="R123" s="1449"/>
      <x:c r="S123" s="1449"/>
      <x:c r="T123" s="1449"/>
      <x:c r="U123" s="1449" t="str">
        <x:v>白帝少昊；员神磈氏</x:v>
      </x:c>
      <x:c r="V123" s="1449"/>
      <x:c r="W123" s="1449"/>
      <x:c r="X123" s="1449" t="str">
        <x:v>主司反景</x:v>
      </x:c>
      <x:c r="Y123" s="1449"/>
      <x:c r="Z123" s="1450" t="e">
        <x:f>HYPERLINK("#'山海经原文总库'!A235","查看对应原文段落")</x:f>
        <x:v>HYPERLINK is not implemented. linkLocation=#'山海经原文总库'!A235, friendlyName=查看对应原文段落</x:v>
      </x:c>
      <x:c r="AA123" s="1449"/>
      <x:c r="AB123" s="1449"/>
      <x:c r="AC123" s="1449"/>
      <x:c r="AD123" s="1449"/>
      <x:c r="AE123" s="1449"/>
      <x:c r="AF123" s="1449"/>
      <x:c r="AG123" s="1449"/>
      <x:c r="AH123" s="1449" t="str">
        <x:v>本次修正的是昆仑边界起算基准，不是重写西次三经内部链条。</x:v>
      </x:c>
      <x:c r="AI123" s="1449" t="str">
        <x:v>积石X=-3550，向西200里得X=-3750。
V021：本对象所属西次三经刚性模块整体西移400里，内部原文里数顺序不变。</x:v>
      </x:c>
      <x:c r="AJ123" s="1449" t="str">
        <x:v>https://ctext.org/shan-hai-jing/xi-shan-jing/zh</x:v>
      </x:c>
    </x:row>
    <x:row r="124" ht="103.5" customHeight="1">
      <x:c r="A124" s="1447" t="str">
        <x:v>X=-4030里，Y=+650里（-40.3，+6.5格）</x:v>
      </x:c>
      <x:c r="B124" s="1448" t="str">
        <x:v>章莪之山</x:v>
      </x:c>
      <x:c r="C124" s="1449" t="str">
        <x:v>山／毕方见火地</x:v>
      </x:c>
      <x:c r="D124" s="1449" t="str">
        <x:v>《西山经》</x:v>
      </x:c>
      <x:c r="E124" s="1449" t="str">
        <x:v>西次三经</x:v>
      </x:c>
      <x:c r="F124" s="1449" t="str">
        <x:v>西北</x:v>
      </x:c>
      <x:c r="G124" s="1449" t="n">
        <x:v>4082.1</x:v>
      </x:c>
      <x:c r="H124" s="1449" t="str">
        <x:v>直接参照地：长留之山；阴山
原文关系：长留又西二百八十里</x:v>
      </x:c>
      <x:c r="I124" s="1449" t="str">
        <x:v>长留以西280里</x:v>
      </x:c>
      <x:c r="J124" s="1449" t="str">
        <x:v>原文正西硬距离</x:v>
      </x:c>
      <x:c r="K124" s="1449" t="str">
        <x:v>V021：随乐游锚点整体西移400里；内部里数与共位关系锁定</x:v>
      </x:c>
      <x:c r="L124" s="1449" t="str">
        <x:v>山体</x:v>
      </x:c>
      <x:c r="M124" s="1449"/>
      <x:c r="N124" s="1449"/>
      <x:c r="O124" s="1449"/>
      <x:c r="P124" s="1449" t="str">
        <x:v>狰；毕方</x:v>
      </x:c>
      <x:c r="Q124" s="1449" t="str">
        <x:v>瑶碧</x:v>
      </x:c>
      <x:c r="R124" s="1449"/>
      <x:c r="S124" s="1449"/>
      <x:c r="T124" s="1449"/>
      <x:c r="U124" s="1449"/>
      <x:c r="V124" s="1449"/>
      <x:c r="W124" s="1449"/>
      <x:c r="X124" s="1449" t="str">
        <x:v>毕方出现则邑有讹火</x:v>
      </x:c>
      <x:c r="Y124" s="1449"/>
      <x:c r="Z124" s="1450" t="e">
        <x:f>HYPERLINK("#'山海经原文总库'!A236","查看对应原文段落")</x:f>
        <x:v>HYPERLINK is not implemented. linkLocation=#'山海经原文总库'!A236, friendlyName=查看对应原文段落</x:v>
      </x:c>
      <x:c r="AA124" s="1449" t="str">
        <x:v>本处毕方是章莪山异鸟；昆仑水路毕方是方位参照，暂不判定同一只或同一驻地。</x:v>
      </x:c>
      <x:c r="AB124" s="1449"/>
      <x:c r="AC124" s="1449"/>
      <x:c r="AD124" s="1449"/>
      <x:c r="AE124" s="1449"/>
      <x:c r="AF124" s="1449"/>
      <x:c r="AG124" s="1449"/>
      <x:c r="AH124" s="1449" t="str">
        <x:v>本次修正的是昆仑边界起算基准，不是重写西次三经内部链条。</x:v>
      </x:c>
      <x:c r="AI124" s="1449" t="str">
        <x:v>长留X=-3750，向西280里得X=-4030。
V021：本对象所属西次三经刚性模块整体西移400里，内部原文里数顺序不变。</x:v>
      </x:c>
      <x:c r="AJ124" s="1449" t="str">
        <x:v>https://ctext.org/shan-hai-jing/xi-shan-jing/zh</x:v>
      </x:c>
    </x:row>
    <x:row r="125" ht="103.5" customHeight="1">
      <x:c r="A125" s="1447" t="str">
        <x:v>X=-4330里，Y=+650里（-43.3，+6.5格）</x:v>
      </x:c>
      <x:c r="B125" s="1448" t="str">
        <x:v>阴山（西次三经）</x:v>
      </x:c>
      <x:c r="C125" s="1449" t="str">
        <x:v>山</x:v>
      </x:c>
      <x:c r="D125" s="1449" t="str">
        <x:v>《西山经》</x:v>
      </x:c>
      <x:c r="E125" s="1449" t="str">
        <x:v>西次三经</x:v>
      </x:c>
      <x:c r="F125" s="1449" t="str">
        <x:v>西北</x:v>
      </x:c>
      <x:c r="G125" s="1449" t="n">
        <x:v>4378.5</x:v>
      </x:c>
      <x:c r="H125" s="1449" t="str">
        <x:v>直接参照地：章莪之山；符惕之山
原文关系：章莪又西三百里</x:v>
      </x:c>
      <x:c r="I125" s="1449" t="str">
        <x:v>章莪以西300里</x:v>
      </x:c>
      <x:c r="J125" s="1449" t="str">
        <x:v>原文正西硬距离</x:v>
      </x:c>
      <x:c r="K125" s="1449" t="str">
        <x:v>V021：随乐游锚点整体西移400里；内部里数与共位关系锁定</x:v>
      </x:c>
      <x:c r="L125" s="1449" t="str">
        <x:v>山体</x:v>
      </x:c>
      <x:c r="M125" s="1449"/>
      <x:c r="N125" s="1449" t="str">
        <x:v>浊浴之水南流注蕃泽</x:v>
      </x:c>
      <x:c r="O125" s="1449"/>
      <x:c r="P125" s="1449" t="str">
        <x:v>天狗</x:v>
      </x:c>
      <x:c r="Q125" s="1449"/>
      <x:c r="R125" s="1449"/>
      <x:c r="S125" s="1449"/>
      <x:c r="T125" s="1449"/>
      <x:c r="U125" s="1449"/>
      <x:c r="V125" s="1449"/>
      <x:c r="W125" s="1449"/>
      <x:c r="X125" s="1449" t="str">
        <x:v>天狗可御凶</x:v>
      </x:c>
      <x:c r="Y125" s="1449"/>
      <x:c r="Z125" s="1450" t="e">
        <x:f>HYPERLINK("#'山海经原文总库'!A237","查看对应原文段落")</x:f>
        <x:v>HYPERLINK is not implemented. linkLocation=#'山海经原文总库'!A237, friendlyName=查看对应原文段落</x:v>
      </x:c>
      <x:c r="AA125" s="1449"/>
      <x:c r="AB125" s="1449"/>
      <x:c r="AC125" s="1449"/>
      <x:c r="AD125" s="1449"/>
      <x:c r="AE125" s="1449"/>
      <x:c r="AF125" s="1449"/>
      <x:c r="AG125" s="1449"/>
      <x:c r="AH125" s="1449" t="str">
        <x:v>本次修正的是昆仑边界起算基准，不是重写西次三经内部链条。</x:v>
      </x:c>
      <x:c r="AI125" s="1449" t="str">
        <x:v>章莪X=-4030，向西300里得X=-4330。
V021：本对象所属西次三经刚性模块整体西移400里，内部原文里数顺序不变。</x:v>
      </x:c>
      <x:c r="AJ125" s="1449" t="str">
        <x:v>https://ctext.org/shan-hai-jing/xi-shan-jing/zh</x:v>
      </x:c>
    </x:row>
    <x:row r="126" ht="103.5" customHeight="1">
      <x:c r="A126" s="1447" t="str">
        <x:v>X=-4530里，Y=+650里（-45.3，+6.5格）</x:v>
      </x:c>
      <x:c r="B126" s="1448" t="str">
        <x:v>符愓之山</x:v>
      </x:c>
      <x:c r="C126" s="1449" t="str">
        <x:v>山／风云源地</x:v>
      </x:c>
      <x:c r="D126" s="1449" t="str">
        <x:v>《西山经》</x:v>
      </x:c>
      <x:c r="E126" s="1449" t="str">
        <x:v>西次三经</x:v>
      </x:c>
      <x:c r="F126" s="1449" t="str">
        <x:v>西北</x:v>
      </x:c>
      <x:c r="G126" s="1449" t="n">
        <x:v>4576.4</x:v>
      </x:c>
      <x:c r="H126" s="1449" t="str">
        <x:v>直接参照地：阴山；三危之山
原文关系：阴山又西二百里；三危再西二百二十里</x:v>
      </x:c>
      <x:c r="I126" s="1449" t="str">
        <x:v>阴山以西200里</x:v>
      </x:c>
      <x:c r="J126" s="1449" t="str">
        <x:v>原文正西硬距离</x:v>
      </x:c>
      <x:c r="K126" s="1449" t="str">
        <x:v>V021：随乐游锚点整体西移400里；内部里数与共位关系锁定</x:v>
      </x:c>
      <x:c r="L126" s="1449" t="str">
        <x:v>山体</x:v>
      </x:c>
      <x:c r="M126" s="1449"/>
      <x:c r="N126" s="1449"/>
      <x:c r="O126" s="1449" t="str">
        <x:v>棕、楠</x:v>
      </x:c>
      <x:c r="P126" s="1449"/>
      <x:c r="Q126" s="1449" t="str">
        <x:v>金玉</x:v>
      </x:c>
      <x:c r="R126" s="1449"/>
      <x:c r="S126" s="1449"/>
      <x:c r="T126" s="1449"/>
      <x:c r="U126" s="1449" t="str">
        <x:v>江疑</x:v>
      </x:c>
      <x:c r="V126" s="1449"/>
      <x:c r="W126" s="1449"/>
      <x:c r="X126" s="1449" t="str">
        <x:v>多怪雨，为风云所出</x:v>
      </x:c>
      <x:c r="Y126" s="1449"/>
      <x:c r="Z126" s="1450" t="e">
        <x:f>HYPERLINK("#'山海经原文总库'!A240","查看对应原文段落")</x:f>
        <x:v>HYPERLINK is not implemented. linkLocation=#'山海经原文总库'!A240, friendlyName=查看对应原文段落</x:v>
      </x:c>
      <x:c r="AA126" s="1449"/>
      <x:c r="AB126" s="1449"/>
      <x:c r="AC126" s="1449"/>
      <x:c r="AD126" s="1449"/>
      <x:c r="AE126" s="1449"/>
      <x:c r="AF126" s="1449"/>
      <x:c r="AG126" s="1449"/>
      <x:c r="AH126" s="1449" t="str">
        <x:v>本次修正的是昆仑边界起算基准，不是重写西次三经内部链条。</x:v>
      </x:c>
      <x:c r="AI126" s="1449" t="str">
        <x:v>阴山X=-4330，向西200里得X=-4530。
V021：本对象所属西次三经刚性模块整体西移400里，内部原文里数顺序不变。</x:v>
      </x:c>
      <x:c r="AJ126" s="1449" t="str">
        <x:v>https://ctext.org/shan-hai-jing/xi-shan-jing/zh</x:v>
      </x:c>
    </x:row>
    <x:row r="127" ht="103.5" customHeight="1">
      <x:c r="A127" s="1447" t="str">
        <x:v>X=-4750里，Y=+650里（-47.5，+6.5格）</x:v>
      </x:c>
      <x:c r="B127" s="1448" t="str">
        <x:v>三危之山（三青鸟居处）</x:v>
      </x:c>
      <x:c r="C127" s="1449" t="str">
        <x:v>山／神鸟居所</x:v>
      </x:c>
      <x:c r="D127" s="1449" t="str">
        <x:v>《西山经》</x:v>
      </x:c>
      <x:c r="E127" s="1449" t="str">
        <x:v>西次三经／三青鸟西端锚点</x:v>
      </x:c>
      <x:c r="F127" s="1449" t="str">
        <x:v>西北</x:v>
      </x:c>
      <x:c r="G127" s="1449" t="n">
        <x:v>4794.3</x:v>
      </x:c>
      <x:c r="H127" s="1449" t="str">
        <x:v>直接参照地：符惕之山；三青鸟
原文关系：符惕又西二百二十里；三青鸟居之</x:v>
      </x:c>
      <x:c r="I127" s="1449" t="str">
        <x:v>符惕以西220里；山广员100里</x:v>
      </x:c>
      <x:c r="J127" s="1449" t="str">
        <x:v>原文正西硬距离＋山体面积</x:v>
      </x:c>
      <x:c r="K127" s="1449" t="str">
        <x:v>V021：随乐游锚点整体西移400里；内部里数与共位关系锁定</x:v>
      </x:c>
      <x:c r="L127" s="1449" t="str">
        <x:v>原文“广员百里”；棋盘按一格尺度标识，中心为(-4750,+650)，不强制解释为方形100里</x:v>
      </x:c>
      <x:c r="M127" s="1449"/>
      <x:c r="N127" s="1449"/>
      <x:c r="O127" s="1449"/>
      <x:c r="P127" s="1449" t="str">
        <x:v>三青鸟；傲因；鸱</x:v>
      </x:c>
      <x:c r="Q127" s="1449"/>
      <x:c r="R127" s="1449"/>
      <x:c r="S127" s="1449"/>
      <x:c r="T127" s="1449"/>
      <x:c r="U127" s="1449"/>
      <x:c r="V127" s="1449"/>
      <x:c r="W127" s="1449"/>
      <x:c r="X127" s="1449"/>
      <x:c r="Y127" s="1449"/>
      <x:c r="Z127" s="1450" t="e">
        <x:f>HYPERLINK("#'山海经原文总库'!A241","查看对应原文段落")</x:f>
        <x:v>HYPERLINK is not implemented. linkLocation=#'山海经原文总库'!A241, friendlyName=查看对应原文段落</x:v>
      </x:c>
      <x:c r="AA127" s="1449" t="str">
        <x:v>海内北经三青鸟在西王母南、昆仑虚北；本处为明确长期居山。可能形成取食往返网络，但无直接路程证据。</x:v>
      </x:c>
      <x:c r="AB127" s="1449"/>
      <x:c r="AC127" s="1449"/>
      <x:c r="AD127" s="1449"/>
      <x:c r="AE127" s="1449"/>
      <x:c r="AF127" s="1449"/>
      <x:c r="AG127" s="1449"/>
      <x:c r="AH127" s="1449" t="str">
        <x:v>三危山三青鸟不能直接移动到昆仑北侧；两处应视为居所与任务点的候选关系。
本次修正的是昆仑边界起算基准，不是重写西次三经内部链条。</x:v>
      </x:c>
      <x:c r="AI127" s="1449" t="str">
        <x:v>v019按百里尺度绘制单格山域标志；因中心落在半格坐标，格内保留精确中心值，不把“广员”擅改为严格方百里。
V021：本对象所属西次三经刚性模块整体西移400里，内部原文里数顺序不变。</x:v>
      </x:c>
      <x:c r="AJ127" s="1449" t="str">
        <x:v>https://ctext.org/shan-hai-jing/xi-shan-jing/zh</x:v>
      </x:c>
    </x:row>
    <x:row r="128" ht="103.5" customHeight="1">
      <x:c r="A128" s="1447" t="str">
        <x:v>X=-4750里，Y=+650里（-47.5，+6.5格）</x:v>
      </x:c>
      <x:c r="B128" s="1448" t="str">
        <x:v>三青鸟（三危山居处层）</x:v>
      </x:c>
      <x:c r="C128" s="1449" t="str">
        <x:v>神鸟／居所文本层</x:v>
      </x:c>
      <x:c r="D128" s="1449" t="str">
        <x:v>《西山经》；与《海内北经》合参</x:v>
      </x:c>
      <x:c r="E128" s="1449" t="str">
        <x:v>三危之山</x:v>
      </x:c>
      <x:c r="F128" s="1449" t="str">
        <x:v>西北</x:v>
      </x:c>
      <x:c r="G128" s="1449" t="n">
        <x:v>4794.3</x:v>
      </x:c>
      <x:c r="H128" s="1449" t="str">
        <x:v>直接参照地：三危之山；西王母
原文关系：三青鸟居三危山；另一篇在西王母南为其取食</x:v>
      </x:c>
      <x:c r="I128" s="1449" t="str">
        <x:v>与三危山共位</x:v>
      </x:c>
      <x:c r="J128" s="1449" t="str">
        <x:v>原文居所共位；跨篇任务点分层</x:v>
      </x:c>
      <x:c r="K128" s="1449" t="str">
        <x:v>V021：随乐游锚点整体西移400里；内部里数与共位关系锁定</x:v>
      </x:c>
      <x:c r="L128" s="1449" t="str">
        <x:v>神鸟居所点</x:v>
      </x:c>
      <x:c r="M128" s="1449"/>
      <x:c r="N128" s="1449"/>
      <x:c r="O128" s="1449"/>
      <x:c r="P128" s="1449" t="str">
        <x:v>三青鸟</x:v>
      </x:c>
      <x:c r="Q128" s="1449"/>
      <x:c r="R128" s="1449"/>
      <x:c r="S128" s="1449"/>
      <x:c r="T128" s="1449"/>
      <x:c r="U128" s="1449"/>
      <x:c r="V128" s="1449"/>
      <x:c r="W128" s="1449"/>
      <x:c r="X128" s="1449"/>
      <x:c r="Y128" s="1449" t="str">
        <x:v>在三危山居住；在昆仑北为西王母取食</x:v>
      </x:c>
      <x:c r="Z128" s="1450" t="e">
        <x:f>HYPERLINK("#'山海经原文总库'!A241","查看对应原文段落")</x:f>
        <x:v>HYPERLINK is not implemented. linkLocation=#'山海经原文总库'!A241, friendlyName=查看对应原文段落</x:v>
      </x:c>
      <x:c r="AA128" s="1449" t="str">
        <x:v>同名、同西王母关系使两处极可能为同一群体的居所与服务点，但正文没有迁徙路径。</x:v>
      </x:c>
      <x:c r="AB128" s="1449"/>
      <x:c r="AC128" s="1449"/>
      <x:c r="AD128" s="1449"/>
      <x:c r="AE128" s="1449"/>
      <x:c r="AF128" s="1449"/>
      <x:c r="AG128" s="1449"/>
      <x:c r="AH128" s="1449" t="str">
        <x:v>不能把三青鸟与三足乌合并。
本次修正的是昆仑边界起算基准，不是重写西次三经内部链条。</x:v>
      </x:c>
      <x:c r="AI128" s="1449" t="str">
        <x:v>与三危山共位(-4750,+650)；不绘制至昆仑北的确定路线，只登记往返候选。
V021：本对象所属西次三经刚性模块整体西移400里，内部原文里数顺序不变。</x:v>
      </x:c>
      <x:c r="AJ128" s="1449" t="str">
        <x:v>https://ctext.org/shan-hai-jing/xi-shan-jing/zh
https://ctext.org/shan-hai-jing/hai-nei-bei-jing/zh</x:v>
      </x:c>
    </x:row>
    <x:row r="129" ht="103.5" customHeight="1">
      <x:c r="A129" s="1437" t="str">
        <x:v>X=+300里，Y=-100里（+3，-1格）</x:v>
      </x:c>
      <x:c r="B129" s="1438" t="str">
        <x:v>叔均之葬（苍梧之野共位层）</x:v>
      </x:c>
      <x:c r="C129" s="1439" t="str">
        <x:v>墓葬／农神谱系帝葬层</x:v>
      </x:c>
      <x:c r="D129" s="1439" t="str">
        <x:v>《大荒南经》；《海内经》</x:v>
      </x:c>
      <x:c r="E129" s="1439" t="str">
        <x:v>赤水东／苍梧—舜葬模块</x:v>
      </x:c>
      <x:c r="F129" s="1439" t="str">
        <x:v>东南</x:v>
      </x:c>
      <x:c r="G129" s="1439" t="n">
        <x:v>316.2</x:v>
      </x:c>
      <x:c r="H129" s="1439" t="str">
        <x:v>直接参照地：赤水终止段；苍梧之野
原文关系：在赤水之东，舜与叔均所葬</x:v>
      </x:c>
      <x:c r="I129" s="1439" t="str">
        <x:v>无里数</x:v>
      </x:c>
      <x:c r="J129" s="1439" t="str">
        <x:v>与苍梧之野共位；同域拆分对象</x:v>
      </x:c>
      <x:c r="K129" s="1439" t="str">
        <x:v>与苍梧之野共位关系锁定；独立对象新增
V023：作为大荒南经‘舜与叔均所葬’中的叔均分拆条目</x:v>
      </x:c>
      <x:c r="L129" s="1439" t="str">
        <x:v>墓葬对象；与苍梧之野区域、舜葬文本层可重叠</x:v>
      </x:c>
      <x:c r="M129" s="1439" t="str">
        <x:v>帝葬／农耕始祖谱系墓葬层</x:v>
      </x:c>
      <x:c r="N129" s="1439"/>
      <x:c r="O129" s="1439"/>
      <x:c r="P129" s="1439"/>
      <x:c r="Q129" s="1439"/>
      <x:c r="R129" s="1439"/>
      <x:c r="S129" s="1439"/>
      <x:c r="T129" s="1439" t="str">
        <x:v>舜；叔均</x:v>
      </x:c>
      <x:c r="U129" s="1439"/>
      <x:c r="V129" s="1439"/>
      <x:c r="W129" s="1439"/>
      <x:c r="X129" s="1439"/>
      <x:c r="Y129" s="1439" t="str">
        <x:v>舜与叔均葬于此</x:v>
      </x:c>
      <x:c r="Z129" s="1440" t="e">
        <x:f>HYPERLINK("#'山海经原文总库'!A1565","查看对应原文段落")</x:f>
        <x:v>HYPERLINK is not implemented. linkLocation=#'山海经原文总库'!A1565, friendlyName=查看对应原文段落</x:v>
      </x:c>
      <x:c r="AA129" s="1439" t="str">
        <x:v>叔均见于《大荒西经》后稷谱系条，亦见此处帝葬关系。此版只拆分苍梧之野中的葬地对象，不与人物条自动合并。</x:v>
      </x:c>
      <x:c r="AB129" s="1439"/>
      <x:c r="AC129" s="1439"/>
      <x:c r="AD129" s="1439"/>
      <x:c r="AE129" s="1439"/>
      <x:c r="AF129" s="1439"/>
      <x:c r="AG129" s="1439"/>
      <x:c r="AH129" s="1439" t="str">
        <x:v>叔均之葬不应继续只隐含在苍梧之野说明中；拆出为独立对象，但不据此强行新设与舜葬的距离。
与苍梧之野共位不等于叔均只是区域注释；本行作为独立对象存在。
V029：卷十八“叔均始作牛耕”不等于牛耕发生在叔均葬地；R129只承载《大荒南经》的葬地关系。</x:v>
      </x:c>
      <x:c r="AI129" s="1439" t="str">
        <x:v>V023把‘舜与叔均所葬’中的叔均自区域说明中独立拆出，坐标与苍梧之野共位(+300,-100)。因原文未给叔均相对舜的距离，本版不做人为拉开。
V029谱系分类：叔均人物、牛耕起源与叔均之葬分层记录，不能因同名而合并空间。</x:v>
      </x:c>
      <x:c r="AJ129" s="1439" t="str">
        <x:v>https://ctext.org/shan-hai-jing/da-huang-nan-jing/zh
https://ctext.org/shan-hai-jing/hai-nei-jing/zh</x:v>
      </x:c>
    </x:row>
    <x:row r="130" ht="111" customHeight="1">
      <x:c r="A130" s="1452" t="str">
        <x:v>X=-1090里，Y=+230里（-10.9，+2.3格）</x:v>
      </x:c>
      <x:c r="B130" s="1453" t="str">
        <x:v>阳污之山</x:v>
      </x:c>
      <x:c r="C130" s="1454" t="str">
        <x:v>山／河水双源之一</x:v>
      </x:c>
      <x:c r="D130" s="1454" t="str">
        <x:v>《海内北经》</x:v>
      </x:c>
      <x:c r="E130" s="1454" t="str">
        <x:v>昆仑南—从极之渊后续模块</x:v>
      </x:c>
      <x:c r="F130" s="1454" t="str">
        <x:v>西北</x:v>
      </x:c>
      <x:c r="G130" s="1454" t="n">
        <x:v>1114</x:v>
      </x:c>
      <x:c r="H130" s="1454" t="str">
        <x:v>直接参照地：从极之渊；凌门之山
原文关系：阳污之山，河出其中</x:v>
      </x:c>
      <x:c r="I130" s="1454" t="str">
        <x:v>无里数</x:v>
      </x:c>
      <x:c r="J130" s="1454" t="str">
        <x:v>原文出水关系＋同主格格内排版</x:v>
      </x:c>
      <x:c r="K130" s="1454" t="str">
        <x:v>河水从山中发源关系锁定；与从极之渊仅属篇章连续，方向和距离未锁</x:v>
      </x:c>
      <x:c r="L130" s="1454" t="str">
        <x:v>山体点对象；与同模块对象共用一个100里主格，格内偏移不代表文本距离</x:v>
      </x:c>
      <x:c r="M130" s="1454" t="str">
        <x:v>山体／河源山</x:v>
      </x:c>
      <x:c r="N130" s="1454" t="str">
        <x:v>河水从其中出</x:v>
      </x:c>
      <x:c r="O130" s="1454"/>
      <x:c r="P130" s="1454"/>
      <x:c r="Q130" s="1454"/>
      <x:c r="R130" s="1454"/>
      <x:c r="S130" s="1454"/>
      <x:c r="T130" s="1454"/>
      <x:c r="U130" s="1454"/>
      <x:c r="V130" s="1454"/>
      <x:c r="W130" s="1454"/>
      <x:c r="X130" s="1454"/>
      <x:c r="Y130" s="1454" t="str">
        <x:v>河水发源</x:v>
      </x:c>
      <x:c r="Z130" s="1455" t="e">
        <x:f>HYPERLINK("#'山海经原文总库'!A1312","查看对应原文段落")</x:f>
        <x:v>HYPERLINK is not implemented. linkLocation=#'山海经原文总库'!A1312, friendlyName=查看对应原文段落</x:v>
      </x:c>
      <x:c r="AA130" s="1454" t="str">
        <x:v>当前原文总库未见第二处可直接合并的阳污之山。</x:v>
      </x:c>
      <x:c r="AB130" s="1454"/>
      <x:c r="AC130" s="1454"/>
      <x:c r="AD130" s="1454" t="str">
        <x:v>阳污／陽污</x:v>
      </x:c>
      <x:c r="AE130" s="1454"/>
      <x:c r="AF130" s="1454"/>
      <x:c r="AG130" s="1454"/>
      <x:c r="AH130" s="1454" t="str">
        <x:v>不得把本处河水自动等同昆仑东北隅河水、黄河或凌门山河源；正文只说‘河出其中’。</x:v>
      </x:c>
      <x:c r="AI130" s="1454" t="str">
        <x:v>V024把本段作为昆仑南接口的同域模块处理。阳污山置于从极之渊同一主格内，格内坐标Δ(+10,+30)里；该偏移只为排版。</x:v>
      </x:c>
      <x:c r="AJ130" s="1454" t="str">
        <x:v>https://ctext.org/shan-hai-jing/hai-nei-bei-jing/zh
https://zh.wikisource.org/zh-hans/山海經/海內北經</x:v>
      </x:c>
    </x:row>
    <x:row r="131" ht="111" customHeight="1">
      <x:c r="A131" s="1452" t="str">
        <x:v>X=-1090里，Y=+230里（-10.9，+2.3格）</x:v>
      </x:c>
      <x:c r="B131" s="1453" t="str">
        <x:v>河水（阳污山源段）</x:v>
      </x:c>
      <x:c r="C131" s="1454" t="str">
        <x:v>河流源点／双源候选之一</x:v>
      </x:c>
      <x:c r="D131" s="1454" t="str">
        <x:v>《海内北经》</x:v>
      </x:c>
      <x:c r="E131" s="1454" t="str">
        <x:v>昆仑南—阳污山河源</x:v>
      </x:c>
      <x:c r="F131" s="1454" t="str">
        <x:v>西北</x:v>
      </x:c>
      <x:c r="G131" s="1454" t="n">
        <x:v>1114</x:v>
      </x:c>
      <x:c r="H131" s="1454" t="str">
        <x:v>直接参照地：阳污之山；凌门之山河源
原文关系：阳污之山，河出其中</x:v>
      </x:c>
      <x:c r="I131" s="1454" t="str">
        <x:v>无里数</x:v>
      </x:c>
      <x:c r="J131" s="1454" t="str">
        <x:v>原文源点共位＋线型水系</x:v>
      </x:c>
      <x:c r="K131" s="1454" t="str">
        <x:v>从阳污山发源关系锁定；与凌门山河源是否汇成同一主干未锁</x:v>
      </x:c>
      <x:c r="L131" s="1454" t="str">
        <x:v>线型水系源点；主格不代表河宽，格内坐标与阳污山共位</x:v>
      </x:c>
      <x:c r="M131" s="1454"/>
      <x:c r="N131" s="1454" t="str">
        <x:v>河水源段</x:v>
      </x:c>
      <x:c r="O131" s="1454"/>
      <x:c r="P131" s="1454"/>
      <x:c r="Q131" s="1454"/>
      <x:c r="R131" s="1454"/>
      <x:c r="S131" s="1454"/>
      <x:c r="T131" s="1454"/>
      <x:c r="U131" s="1454"/>
      <x:c r="V131" s="1454"/>
      <x:c r="W131" s="1454"/>
      <x:c r="X131" s="1454"/>
      <x:c r="Y131" s="1454" t="str">
        <x:v>河水从阳污山中出</x:v>
      </x:c>
      <x:c r="Z131" s="1455" t="e">
        <x:f>HYPERLINK("#'山海经原文总库'!A1314","查看对应原文段落")</x:f>
        <x:v>HYPERLINK is not implemented. linkLocation=#'山海经原文总库'!A1314, friendlyName=查看对应原文段落</x:v>
      </x:c>
      <x:c r="AA131" s="1454" t="str">
        <x:v>与凌门之山同句另有一处‘河出其中’，可能为同一河的双源，也可能为两条同名水系。</x:v>
      </x:c>
      <x:c r="AB131" s="1454"/>
      <x:c r="AC131" s="1454"/>
      <x:c r="AD131" s="1454"/>
      <x:c r="AE131" s="1454"/>
      <x:c r="AF131" s="1454"/>
      <x:c r="AG131" s="1454"/>
      <x:c r="AH131" s="1454" t="str">
        <x:v>不能因为两处都称‘河’就直接画成一条已经闭合的主河道。</x:v>
      </x:c>
      <x:c r="AI131" s="1454" t="str">
        <x:v>V024与阳污山共位，只登记源点。后续下游缺失，不添加流向箭头和假里数。</x:v>
      </x:c>
      <x:c r="AJ131" s="1454" t="str">
        <x:v>https://ctext.org/shan-hai-jing/hai-nei-bei-jing/zh
https://zh.wikisource.org/zh-hans/山海經/海內北經</x:v>
      </x:c>
    </x:row>
    <x:row r="132" ht="111" customHeight="1">
      <x:c r="A132" s="1452" t="str">
        <x:v>X=-1070里，Y=+230里（-10.7，+2.3格）</x:v>
      </x:c>
      <x:c r="B132" s="1453" t="str">
        <x:v>凌门之山</x:v>
      </x:c>
      <x:c r="C132" s="1454" t="str">
        <x:v>山／河水双源之一</x:v>
      </x:c>
      <x:c r="D132" s="1454" t="str">
        <x:v>《海内北经》</x:v>
      </x:c>
      <x:c r="E132" s="1454" t="str">
        <x:v>昆仑南—从极之渊后续模块</x:v>
      </x:c>
      <x:c r="F132" s="1454" t="str">
        <x:v>西北</x:v>
      </x:c>
      <x:c r="G132" s="1454" t="n">
        <x:v>1094.4</x:v>
      </x:c>
      <x:c r="H132" s="1454" t="str">
        <x:v>直接参照地：从极之渊；阳污之山
原文关系：凌门之山，河出其中</x:v>
      </x:c>
      <x:c r="I132" s="1454" t="str">
        <x:v>无里数</x:v>
      </x:c>
      <x:c r="J132" s="1454" t="str">
        <x:v>原文出水关系＋同主格格内排版</x:v>
      </x:c>
      <x:c r="K132" s="1454" t="str">
        <x:v>河水从山中发源关系锁定；与阳污山的相对方向和距离未锁</x:v>
      </x:c>
      <x:c r="L132" s="1454" t="str">
        <x:v>山体点对象；与同模块对象共用一个100里主格，格内偏移不代表文本距离</x:v>
      </x:c>
      <x:c r="M132" s="1454" t="str">
        <x:v>山体／河源山</x:v>
      </x:c>
      <x:c r="N132" s="1454" t="str">
        <x:v>河水从其中出</x:v>
      </x:c>
      <x:c r="O132" s="1454"/>
      <x:c r="P132" s="1454"/>
      <x:c r="Q132" s="1454"/>
      <x:c r="R132" s="1454"/>
      <x:c r="S132" s="1454"/>
      <x:c r="T132" s="1454"/>
      <x:c r="U132" s="1454"/>
      <x:c r="V132" s="1454"/>
      <x:c r="W132" s="1454"/>
      <x:c r="X132" s="1454"/>
      <x:c r="Y132" s="1454" t="str">
        <x:v>河水发源</x:v>
      </x:c>
      <x:c r="Z132" s="1455" t="e">
        <x:f>HYPERLINK("#'山海经原文总库'!A1313","查看对应原文段落")</x:f>
        <x:v>HYPERLINK is not implemented. linkLocation=#'山海经原文总库'!A1313, friendlyName=查看对应原文段落</x:v>
      </x:c>
      <x:c r="AA132" s="1454" t="str">
        <x:v>当前原文总库未见第二处可直接合并的凌门之山。</x:v>
      </x:c>
      <x:c r="AB132" s="1454"/>
      <x:c r="AC132" s="1454"/>
      <x:c r="AD132" s="1454" t="str">
        <x:v>凌门／凌門</x:v>
      </x:c>
      <x:c r="AE132" s="1454"/>
      <x:c r="AF132" s="1454"/>
      <x:c r="AG132" s="1454"/>
      <x:c r="AH132" s="1454" t="str">
        <x:v>不得把凌门解释为城门、关门或昆仑九门；正文地名明确为山。</x:v>
      </x:c>
      <x:c r="AI132" s="1454" t="str">
        <x:v>V024将凌门山与阳污山放入从极之渊同一主格，仅用格内Δ(+30,+30)里区分，未制造真实东西距离。</x:v>
      </x:c>
      <x:c r="AJ132" s="1454" t="str">
        <x:v>https://ctext.org/shan-hai-jing/hai-nei-bei-jing/zh
https://zh.wikisource.org/zh-hans/山海經/海內北經</x:v>
      </x:c>
    </x:row>
    <x:row r="133" ht="111" customHeight="1">
      <x:c r="A133" s="1452" t="str">
        <x:v>X=-1070里，Y=+230里（-10.7，+2.3格）</x:v>
      </x:c>
      <x:c r="B133" s="1453" t="str">
        <x:v>河水（凌门山源段）</x:v>
      </x:c>
      <x:c r="C133" s="1454" t="str">
        <x:v>河流源点／双源候选之一</x:v>
      </x:c>
      <x:c r="D133" s="1454" t="str">
        <x:v>《海内北经》</x:v>
      </x:c>
      <x:c r="E133" s="1454" t="str">
        <x:v>昆仑南—凌门山河源</x:v>
      </x:c>
      <x:c r="F133" s="1454" t="str">
        <x:v>西北</x:v>
      </x:c>
      <x:c r="G133" s="1454" t="n">
        <x:v>1094.4</x:v>
      </x:c>
      <x:c r="H133" s="1454" t="str">
        <x:v>直接参照地：凌门之山；阳污之山河源
原文关系：凌门之山，河出其中</x:v>
      </x:c>
      <x:c r="I133" s="1454" t="str">
        <x:v>无里数</x:v>
      </x:c>
      <x:c r="J133" s="1454" t="str">
        <x:v>原文源点共位＋线型水系</x:v>
      </x:c>
      <x:c r="K133" s="1454" t="str">
        <x:v>从凌门山发源关系锁定；与阳污山河源是否汇成同一主干未锁</x:v>
      </x:c>
      <x:c r="L133" s="1454" t="str">
        <x:v>线型水系源点；主格不代表河宽，格内坐标与凌门山共位</x:v>
      </x:c>
      <x:c r="M133" s="1454"/>
      <x:c r="N133" s="1454" t="str">
        <x:v>河水源段</x:v>
      </x:c>
      <x:c r="O133" s="1454"/>
      <x:c r="P133" s="1454"/>
      <x:c r="Q133" s="1454"/>
      <x:c r="R133" s="1454"/>
      <x:c r="S133" s="1454"/>
      <x:c r="T133" s="1454"/>
      <x:c r="U133" s="1454"/>
      <x:c r="V133" s="1454"/>
      <x:c r="W133" s="1454"/>
      <x:c r="X133" s="1454"/>
      <x:c r="Y133" s="1454" t="str">
        <x:v>河水从凌门山中出</x:v>
      </x:c>
      <x:c r="Z133" s="1455" t="e">
        <x:f>HYPERLINK("#'山海经原文总库'!A1314","查看对应原文段落")</x:f>
        <x:v>HYPERLINK is not implemented. linkLocation=#'山海经原文总库'!A1314, friendlyName=查看对应原文段落</x:v>
      </x:c>
      <x:c r="AA133" s="1454" t="str">
        <x:v>与阳污山河源同句并列；双源关系存在，但是否同河未明。</x:v>
      </x:c>
      <x:c r="AB133" s="1454"/>
      <x:c r="AC133" s="1454"/>
      <x:c r="AD133" s="1454"/>
      <x:c r="AE133" s="1454"/>
      <x:c r="AF133" s="1454"/>
      <x:c r="AG133" s="1454"/>
      <x:c r="AH133" s="1454" t="str">
        <x:v>不能把两处河源强行合并，也不能把它们自动接到昆仑河水路径。</x:v>
      </x:c>
      <x:c r="AI133" s="1454" t="str">
        <x:v>V024与凌门山共位，只登记第二源点；下游、汇流点和长度全部留空。</x:v>
      </x:c>
      <x:c r="AJ133" s="1454" t="str">
        <x:v>https://ctext.org/shan-hai-jing/hai-nei-bei-jing/zh
https://zh.wikisource.org/zh-hans/山海經/海內北經</x:v>
      </x:c>
    </x:row>
    <x:row r="134" ht="111" customHeight="1">
      <x:c r="A134" s="1452" t="str">
        <x:v>X=-1080里，Y=+210里（-10.8，+2.1格）</x:v>
      </x:c>
      <x:c r="B134" s="1453" t="str">
        <x:v>王子夜之尸</x:v>
      </x:c>
      <x:c r="C134" s="1454" t="str">
        <x:v>尸体／地标</x:v>
      </x:c>
      <x:c r="D134" s="1454" t="str">
        <x:v>《海内北经》</x:v>
      </x:c>
      <x:c r="E134" s="1454" t="str">
        <x:v>昆仑南—从极之渊后续模块</x:v>
      </x:c>
      <x:c r="F134" s="1454" t="str">
        <x:v>西北</x:v>
      </x:c>
      <x:c r="G134" s="1454" t="n">
        <x:v>1100.2</x:v>
      </x:c>
      <x:c r="H134" s="1454" t="str">
        <x:v>直接参照地：阳污山、凌门山、河大泽
原文关系：位于同一连续段落，未给方向和里数</x:v>
      </x:c>
      <x:c r="I134" s="1454" t="str">
        <x:v>无里数</x:v>
      </x:c>
      <x:c r="J134" s="1454" t="str">
        <x:v>篇章连续＋同主格格内排版</x:v>
      </x:c>
      <x:c r="K134" s="1454" t="str">
        <x:v>尸体形态锁定；与山、泽之间的空间方向和距离未锁</x:v>
      </x:c>
      <x:c r="L134" s="1454" t="str">
        <x:v>尸体地标；同模块共格，不单独占据100里范围</x:v>
      </x:c>
      <x:c r="M134" s="1454"/>
      <x:c r="N134" s="1454"/>
      <x:c r="O134" s="1454"/>
      <x:c r="P134" s="1454"/>
      <x:c r="Q134" s="1454"/>
      <x:c r="R134" s="1454"/>
      <x:c r="S134" s="1454"/>
      <x:c r="T134" s="1454"/>
      <x:c r="U134" s="1454"/>
      <x:c r="V134" s="1454"/>
      <x:c r="W134" s="1454" t="str">
        <x:v>两手、两股、胸、首、齿皆断异处</x:v>
      </x:c>
      <x:c r="X134" s="1454"/>
      <x:c r="Y134" s="1454" t="str">
        <x:v>王子夜尸身各部分断裂异处</x:v>
      </x:c>
      <x:c r="Z134" s="1455" t="e">
        <x:f>HYPERLINK("#'山海经原文总库'!A1315","查看对应原文段落")</x:f>
        <x:v>HYPERLINK is not implemented. linkLocation=#'山海经原文总库'!A1315, friendlyName=查看对应原文段落</x:v>
      </x:c>
      <x:c r="AA134" s="1454" t="str">
        <x:v>当前原文总库未见第二处王子夜之尸地理条目。</x:v>
      </x:c>
      <x:c r="AB134" s="1454"/>
      <x:c r="AC134" s="1454"/>
      <x:c r="AD134" s="1454"/>
      <x:c r="AE134" s="1454"/>
      <x:c r="AF134" s="1454"/>
      <x:c r="AG134" s="1454"/>
      <x:c r="AH134" s="1454" t="str">
        <x:v>文本没有说明死因、凶手、年代或与昆仑诸神的关系，不得补造战斗故事。</x:v>
      </x:c>
      <x:c r="AI134" s="1454" t="str">
        <x:v>V024只利用篇章连续把王子夜之尸收入昆仑南接口模块，置同一主格Δ(+20,+10)里；不把段落相邻当作实际相邻里数。</x:v>
      </x:c>
      <x:c r="AJ134" s="1454" t="str">
        <x:v>https://ctext.org/shan-hai-jing/hai-nei-bei-jing/zh
https://zh.wikisource.org/zh-hans/山海經/海內北經</x:v>
      </x:c>
    </x:row>
    <x:row r="135" ht="111" customHeight="1">
      <x:c r="A135" s="1452" t="str">
        <x:v>X=-1080里，Y=+190里（-10.8，+1.9格）</x:v>
      </x:c>
      <x:c r="B135" s="1453" t="str">
        <x:v>河大泽</x:v>
      </x:c>
      <x:c r="C135" s="1454" t="str">
        <x:v>泽／神女居处与照明中心</x:v>
      </x:c>
      <x:c r="D135" s="1454" t="str">
        <x:v>《海内北经》</x:v>
      </x:c>
      <x:c r="E135" s="1454" t="str">
        <x:v>昆仑南—河大泽模块</x:v>
      </x:c>
      <x:c r="F135" s="1454" t="str">
        <x:v>西北</x:v>
      </x:c>
      <x:c r="G135" s="1454" t="n">
        <x:v>1096.6</x:v>
      </x:c>
      <x:c r="H135" s="1454" t="str">
        <x:v>直接参照地：宵明；烛光；登比氏
原文关系：二女处河大泽</x:v>
      </x:c>
      <x:c r="I135" s="1454" t="str">
        <x:v>照明所及方100里；水泽面积未载</x:v>
      </x:c>
      <x:c r="J135" s="1454" t="str">
        <x:v>原文居处共位＋效果范围分层</x:v>
      </x:c>
      <x:c r="K135" s="1454" t="str">
        <x:v>二女居处与照明方百里锁定；河大泽水体边界和与前段对象的距离未锁
V025：方百里照明效果已独立拆分为R139，不再混同河大泽面积。</x:v>
      </x:c>
      <x:c r="L135" s="1454" t="str">
        <x:v>水泽对象；水体边界未知。‘方百里’只用于光照效应层，不作为湖泽面积</x:v>
      </x:c>
      <x:c r="M135" s="1454" t="str">
        <x:v>大泽／水域中心</x:v>
      </x:c>
      <x:c r="N135" s="1454" t="str">
        <x:v>河大泽</x:v>
      </x:c>
      <x:c r="O135" s="1454"/>
      <x:c r="P135" s="1454"/>
      <x:c r="Q135" s="1454"/>
      <x:c r="R135" s="1454"/>
      <x:c r="S135" s="1454"/>
      <x:c r="T135" s="1454" t="str">
        <x:v>宵明；烛光</x:v>
      </x:c>
      <x:c r="U135" s="1454"/>
      <x:c r="V135" s="1454" t="str">
        <x:v>舜妻登比氏所生二女</x:v>
      </x:c>
      <x:c r="W135" s="1454"/>
      <x:c r="X135" s="1454" t="str">
        <x:v>二女之灵能照此所方百里</x:v>
      </x:c>
      <x:c r="Y135" s="1454" t="str">
        <x:v>宵明、烛光居于河大泽</x:v>
      </x:c>
      <x:c r="Z135" s="1455" t="e">
        <x:f>HYPERLINK("#'山海经原文总库'!A1316","查看对应原文段落")</x:f>
        <x:v>HYPERLINK is not implemented. linkLocation=#'山海经原文总库'!A1316, friendlyName=查看对应原文段落</x:v>
      </x:c>
      <x:c r="AA135" s="1454" t="str">
        <x:v>当前原文总库未见第二处可直接合并的河大泽。</x:v>
      </x:c>
      <x:c r="AB135" s="1454"/>
      <x:c r="AC135" s="1454"/>
      <x:c r="AD135" s="1454" t="str">
        <x:v>登比氏／登北氏</x:v>
      </x:c>
      <x:c r="AE135" s="1454"/>
      <x:c r="AF135" s="1454"/>
      <x:c r="AG135" s="1454"/>
      <x:c r="AH135" s="1454" t="str">
        <x:v>‘方百里’修饰二女灵光照耀范围，不足以证明河大泽本身方百里。</x:v>
      </x:c>
      <x:c r="AI135" s="1454" t="str">
        <x:v>V024将河大泽置于同一主格Δ(+20,-10)里；棋盘保持浅蓝水体标识，并以文字注明照明范围方百里，不扩画成确定湖界。</x:v>
      </x:c>
      <x:c r="AJ135" s="1454" t="str">
        <x:v>https://ctext.org/shan-hai-jing/hai-nei-bei-jing/zh
https://zh.wikisource.org/zh-hans/山海經/海內北經</x:v>
      </x:c>
    </x:row>
    <x:row r="136" ht="111" customHeight="1">
      <x:c r="A136" s="1452" t="str">
        <x:v>X=-1090里，Y=+180里（-10.9，+1.8格）</x:v>
      </x:c>
      <x:c r="B136" s="1453" t="str">
        <x:v>宵明</x:v>
      </x:c>
      <x:c r="C136" s="1454" t="str">
        <x:v>神女／光照者</x:v>
      </x:c>
      <x:c r="D136" s="1454" t="str">
        <x:v>《海内北经》</x:v>
      </x:c>
      <x:c r="E136" s="1454" t="str">
        <x:v>昆仑南—河大泽模块</x:v>
      </x:c>
      <x:c r="F136" s="1454" t="str">
        <x:v>西北</x:v>
      </x:c>
      <x:c r="G136" s="1454" t="n">
        <x:v>1104.8</x:v>
      </x:c>
      <x:c r="H136" s="1454" t="str">
        <x:v>直接参照地：河大泽；烛光；登比氏
原文关系：舜妻登比氏生宵明、烛光，处河大泽</x:v>
      </x:c>
      <x:c r="I136" s="1454" t="str">
        <x:v>与河大泽共域；照明方100里</x:v>
      </x:c>
      <x:c r="J136" s="1454" t="str">
        <x:v>原文居处关系＋格内人物点位</x:v>
      </x:c>
      <x:c r="K136" s="1454" t="str">
        <x:v>身份、姐妹关系、居处和照明能力锁定；个体精确位置未锁
V025：照明作用域独立建档为R139。</x:v>
      </x:c>
      <x:c r="L136" s="1454" t="str">
        <x:v>人物／神女点位；与河大泽共格</x:v>
      </x:c>
      <x:c r="M136" s="1454"/>
      <x:c r="N136" s="1454"/>
      <x:c r="O136" s="1454"/>
      <x:c r="P136" s="1454"/>
      <x:c r="Q136" s="1454"/>
      <x:c r="R136" s="1454"/>
      <x:c r="S136" s="1454"/>
      <x:c r="T136" s="1454" t="str">
        <x:v>宵明</x:v>
      </x:c>
      <x:c r="U136" s="1454"/>
      <x:c r="V136" s="1454" t="str">
        <x:v>舜妻登比氏之女</x:v>
      </x:c>
      <x:c r="W136" s="1454"/>
      <x:c r="X136" s="1454" t="str">
        <x:v>与烛光之灵照此所方百里</x:v>
      </x:c>
      <x:c r="Y136" s="1454" t="str">
        <x:v>居河大泽</x:v>
      </x:c>
      <x:c r="Z136" s="1455" t="e">
        <x:f>HYPERLINK("#'山海经原文总库'!A1316","查看对应原文段落")</x:f>
        <x:v>HYPERLINK is not implemented. linkLocation=#'山海经原文总库'!A1316, friendlyName=查看对应原文段落</x:v>
      </x:c>
      <x:c r="AA136" s="1454" t="str">
        <x:v>本卷同句出现；暂无第二处独立地理条目。</x:v>
      </x:c>
      <x:c r="AB136" s="1454"/>
      <x:c r="AC136" s="1454"/>
      <x:c r="AD136" s="1454" t="str">
        <x:v>宵明</x:v>
      </x:c>
      <x:c r="AE136" s="1454"/>
      <x:c r="AF136" s="1454"/>
      <x:c r="AG136" s="1454"/>
      <x:c r="AH136" s="1454" t="str">
        <x:v>正文没有把宵明明确等同太阳、月亮、晨星或某种天体，不宜直接人格化为日月神。</x:v>
      </x:c>
      <x:c r="AI136" s="1454" t="str">
        <x:v>V024将宵明作为河大泽内部人物对象独立建档，格内Δ(+10,-20)里只为排版。</x:v>
      </x:c>
      <x:c r="AJ136" s="1454" t="str">
        <x:v>https://ctext.org/shan-hai-jing/hai-nei-bei-jing/zh
https://zh.wikisource.org/zh-hans/山海經/海內北經</x:v>
      </x:c>
    </x:row>
    <x:row r="137" ht="111" customHeight="1">
      <x:c r="A137" s="1452" t="str">
        <x:v>X=-1070里，Y=+180里（-10.7，+1.8格）</x:v>
      </x:c>
      <x:c r="B137" s="1453" t="str">
        <x:v>烛光</x:v>
      </x:c>
      <x:c r="C137" s="1454" t="str">
        <x:v>神女／光照者</x:v>
      </x:c>
      <x:c r="D137" s="1454" t="str">
        <x:v>《海内北经》</x:v>
      </x:c>
      <x:c r="E137" s="1454" t="str">
        <x:v>昆仑南—河大泽模块</x:v>
      </x:c>
      <x:c r="F137" s="1454" t="str">
        <x:v>西北</x:v>
      </x:c>
      <x:c r="G137" s="1454" t="n">
        <x:v>1085</x:v>
      </x:c>
      <x:c r="H137" s="1454" t="str">
        <x:v>直接参照地：河大泽；宵明；登比氏
原文关系：舜妻登比氏生宵明、烛光，处河大泽</x:v>
      </x:c>
      <x:c r="I137" s="1454" t="str">
        <x:v>与河大泽共域；照明方100里</x:v>
      </x:c>
      <x:c r="J137" s="1454" t="str">
        <x:v>原文居处关系＋格内人物点位</x:v>
      </x:c>
      <x:c r="K137" s="1454" t="str">
        <x:v>身份、姐妹关系、居处和照明能力锁定；个体精确位置未锁
V025：照明作用域独立建档为R139。</x:v>
      </x:c>
      <x:c r="L137" s="1454" t="str">
        <x:v>人物／神女点位；与河大泽共格</x:v>
      </x:c>
      <x:c r="M137" s="1454"/>
      <x:c r="N137" s="1454"/>
      <x:c r="O137" s="1454"/>
      <x:c r="P137" s="1454"/>
      <x:c r="Q137" s="1454"/>
      <x:c r="R137" s="1454"/>
      <x:c r="S137" s="1454"/>
      <x:c r="T137" s="1454" t="str">
        <x:v>烛光</x:v>
      </x:c>
      <x:c r="U137" s="1454"/>
      <x:c r="V137" s="1454" t="str">
        <x:v>舜妻登比氏之女</x:v>
      </x:c>
      <x:c r="W137" s="1454"/>
      <x:c r="X137" s="1454" t="str">
        <x:v>与宵明之灵照此所方百里</x:v>
      </x:c>
      <x:c r="Y137" s="1454" t="str">
        <x:v>居河大泽</x:v>
      </x:c>
      <x:c r="Z137" s="1455" t="e">
        <x:f>HYPERLINK("#'山海经原文总库'!A1316","查看对应原文段落")</x:f>
        <x:v>HYPERLINK is not implemented. linkLocation=#'山海经原文总库'!A1316, friendlyName=查看对应原文段落</x:v>
      </x:c>
      <x:c r="AA137" s="1454" t="str">
        <x:v>本卷同句出现；暂无第二处独立地理条目。</x:v>
      </x:c>
      <x:c r="AB137" s="1454"/>
      <x:c r="AC137" s="1454"/>
      <x:c r="AD137" s="1454" t="str">
        <x:v>烛光／燭光</x:v>
      </x:c>
      <x:c r="AE137" s="1454"/>
      <x:c r="AF137" s="1454"/>
      <x:c r="AG137" s="1454"/>
      <x:c r="AH137" s="1454" t="str">
        <x:v>烛光与《大荒北经》烛龙、烛阴名称相近，但正文没有提供同一证据，不能合并。</x:v>
      </x:c>
      <x:c r="AI137" s="1454" t="str">
        <x:v>V024将烛光作为河大泽内部人物对象独立建档，格内Δ(+30,-20)里只为排版。</x:v>
      </x:c>
      <x:c r="AJ137" s="1454" t="str">
        <x:v>https://ctext.org/shan-hai-jing/hai-nei-bei-jing/zh
https://zh.wikisource.org/zh-hans/山海經/海內北經</x:v>
      </x:c>
    </x:row>
    <x:row r="138" ht="111" customHeight="1">
      <x:c r="A138" s="1452" t="str">
        <x:v>X=-1050里，Y=+250里（-10.5，+2.5格）</x:v>
      </x:c>
      <x:c r="B138" s="1453" t="str">
        <x:v>冰夷（从极之渊居者）</x:v>
      </x:c>
      <x:c r="C138" s="1454" t="str">
        <x:v>神祇／河神居者</x:v>
      </x:c>
      <x:c r="D138" s="1454" t="str">
        <x:v>《海内北经》</x:v>
      </x:c>
      <x:c r="E138" s="1454" t="str">
        <x:v>昆仑南—从极之渊模块</x:v>
      </x:c>
      <x:c r="F138" s="1454" t="str">
        <x:v>西北</x:v>
      </x:c>
      <x:c r="G138" s="1454" t="n">
        <x:v>1079.4</x:v>
      </x:c>
      <x:c r="H138" s="1454" t="str">
        <x:v>直接参照地：从极之渊／忠极之渊
原文关系：维冰夷恒都焉；冰夷人面，乘两龙</x:v>
      </x:c>
      <x:c r="I138" s="1454" t="str">
        <x:v>与从极之渊共位</x:v>
      </x:c>
      <x:c r="J138" s="1454" t="str">
        <x:v>原文恒居关系共位</x:v>
      </x:c>
      <x:c r="K138" s="1454" t="str">
        <x:v>居于从极之渊关系、外形与乘龙关系锁定；与冯夷／河伯是否同一仍属古注传统</x:v>
      </x:c>
      <x:c r="L138" s="1454" t="str">
        <x:v>神祇居者点；与从极之渊共格，不另占100里范围</x:v>
      </x:c>
      <x:c r="M138" s="1454" t="str">
        <x:v>深渊居者</x:v>
      </x:c>
      <x:c r="N138" s="1454" t="str">
        <x:v>从极之渊</x:v>
      </x:c>
      <x:c r="O138" s="1454"/>
      <x:c r="P138" s="1454"/>
      <x:c r="Q138" s="1454"/>
      <x:c r="R138" s="1454"/>
      <x:c r="S138" s="1454"/>
      <x:c r="T138" s="1454"/>
      <x:c r="U138" s="1454" t="str">
        <x:v>冰夷</x:v>
      </x:c>
      <x:c r="V138" s="1454"/>
      <x:c r="W138" s="1454" t="str">
        <x:v>人面，乘两龙</x:v>
      </x:c>
      <x:c r="X138" s="1454" t="str">
        <x:v>恒居深渊；河神传统候选</x:v>
      </x:c>
      <x:c r="Y138" s="1454" t="str">
        <x:v>冰夷恒都于从极之渊</x:v>
      </x:c>
      <x:c r="Z138" s="1455" t="e">
        <x:f>HYPERLINK("#'山海经原文总库'!A1311","查看对应原文段落")</x:f>
        <x:v>HYPERLINK is not implemented. linkLocation=#'山海经原文总库'!A1311, friendlyName=查看对应原文段落</x:v>
      </x:c>
      <x:c r="AA138" s="1454" t="str">
        <x:v>古注常以冰夷联系冯夷、河伯，但正文只称冰夷。</x:v>
      </x:c>
      <x:c r="AB138" s="1454" t="str">
        <x:v>郭璞以冰夷为冯夷、河伯传统；这是注家解释，不等于正文已直接同名。</x:v>
      </x:c>
      <x:c r="AC138" s="1454"/>
      <x:c r="AD138" s="1454" t="str">
        <x:v>冰夷／冯夷（注家传统）</x:v>
      </x:c>
      <x:c r="AE138" s="1454"/>
      <x:c r="AF138" s="1454"/>
      <x:c r="AG138" s="1454"/>
      <x:c r="AH138" s="1454" t="str">
        <x:v>“恒都焉”意为长期居住于此，不是另一个地名，也不能据此虚构城市。</x:v>
      </x:c>
      <x:c r="AI138" s="1454" t="str">
        <x:v>V025把原先仅附着在从极之渊行中的冰夷拆为独立对象，与R65共位(-1050,+250)。</x:v>
      </x:c>
      <x:c r="AJ138" s="1454" t="str">
        <x:v>https://ctext.org/shan-hai-jing/hai-nei-bei-jing/zh
https://zh.wikisource.org/zh-hans/山海經/海內北經</x:v>
      </x:c>
    </x:row>
    <x:row r="139" ht="111" customHeight="1">
      <x:c r="A139" s="1452" t="str">
        <x:v>X=-1080里，Y=+190里（-10.8，+1.9格）</x:v>
      </x:c>
      <x:c r="B139" s="1453" t="str">
        <x:v>宵明—烛光照明域（方百里）</x:v>
      </x:c>
      <x:c r="C139" s="1454" t="str">
        <x:v>能力作用域／光照区域</x:v>
      </x:c>
      <x:c r="D139" s="1454" t="str">
        <x:v>《海内北经》</x:v>
      </x:c>
      <x:c r="E139" s="1454" t="str">
        <x:v>昆仑南—河大泽模块</x:v>
      </x:c>
      <x:c r="F139" s="1454" t="str">
        <x:v>西北</x:v>
      </x:c>
      <x:c r="G139" s="1454" t="n">
        <x:v>1096.6</x:v>
      </x:c>
      <x:c r="H139" s="1454" t="str">
        <x:v>直接参照地：河大泽；宵明；烛光
原文关系：二女之灵能照此所方百里</x:v>
      </x:c>
      <x:c r="I139" s="1454" t="str">
        <x:v>方100里</x:v>
      </x:c>
      <x:c r="J139" s="1454" t="str">
        <x:v>原文能力范围＋河大泽中心锚定</x:v>
      </x:c>
      <x:c r="K139" s="1454" t="str">
        <x:v>照明方百里锁定；具体边界朝向与是否严格正方形未锁</x:v>
      </x:c>
      <x:c r="L139" s="1454" t="str">
        <x:v>能力影响区域；以河大泽代表中心绘制1个100里主格，不等于河大泽本身方百里</x:v>
      </x:c>
      <x:c r="M139" s="1454" t="str">
        <x:v>河大泽周边照明区</x:v>
      </x:c>
      <x:c r="N139" s="1454" t="str">
        <x:v>河大泽</x:v>
      </x:c>
      <x:c r="O139" s="1454"/>
      <x:c r="P139" s="1454"/>
      <x:c r="Q139" s="1454"/>
      <x:c r="R139" s="1454"/>
      <x:c r="S139" s="1454"/>
      <x:c r="T139" s="1454" t="str">
        <x:v>宵明；烛光</x:v>
      </x:c>
      <x:c r="U139" s="1454"/>
      <x:c r="V139" s="1454"/>
      <x:c r="W139" s="1454"/>
      <x:c r="X139" s="1454" t="str">
        <x:v>二女之灵照此所方百里</x:v>
      </x:c>
      <x:c r="Y139" s="1454" t="str">
        <x:v>河大泽周边形成百里光照范围</x:v>
      </x:c>
      <x:c r="Z139" s="1455" t="e">
        <x:f>HYPERLINK("#'山海经原文总库'!A1316","查看对应原文段落")</x:f>
        <x:v>HYPERLINK is not implemented. linkLocation=#'山海经原文总库'!A1316, friendlyName=查看对应原文段落</x:v>
      </x:c>
      <x:c r="AA139" s="1454" t="str">
        <x:v>当前全文未见第二处同名照明域。</x:v>
      </x:c>
      <x:c r="AB139" s="1454"/>
      <x:c r="AC139" s="1454"/>
      <x:c r="AD139" s="1454"/>
      <x:c r="AE139" s="1454"/>
      <x:c r="AF139" s="1454"/>
      <x:c r="AG139" s="1454"/>
      <x:c r="AH139" s="1454" t="str">
        <x:v>方百里修饰灵光照耀范围，不是湖泽面积，也不能直接解释成太阳或月亮的轨道范围。</x:v>
      </x:c>
      <x:c r="AI139" s="1454" t="str">
        <x:v>V025将照明效果从河大泽对象中拆成独立空间层。中心沿用河大泽(-1080,+190)，用一个100里主格表达原文方百里效应。</x:v>
      </x:c>
      <x:c r="AJ139" s="1454" t="str">
        <x:v>https://ctext.org/shan-hai-jing/hai-nei-bei-jing/zh
https://zh.wikisource.org/zh-hans/山海經/海內北經</x:v>
      </x:c>
    </x:row>
    <x:row r="140" ht="103.5" customHeight="1">
      <x:c r="A140" s="1482" t="str">
        <x:v>X=+20里，Y=0里（+0.2，0格）</x:v>
      </x:c>
      <x:c r="B140" s="1483" t="str">
        <x:v>都广百谷—鸾凤草木生态层</x:v>
      </x:c>
      <x:c r="C140" s="1481" t="str">
        <x:v>生态区域／丰饶作用层</x:v>
      </x:c>
      <x:c r="D140" s="1481" t="str">
        <x:v>《海内经》</x:v>
      </x:c>
      <x:c r="E140" s="1481" t="str">
        <x:v>都广之野／建木—九丘核心</x:v>
      </x:c>
      <x:c r="F140" s="1481" t="str">
        <x:v>都广内部／中心东侧格内位</x:v>
      </x:c>
      <x:c r="G140" s="1481" t="n">
        <x:v>20</x:v>
      </x:c>
      <x:c r="H140" s="1481" t="str">
        <x:v>直接参照地：都广之野；后稷之葬；建木
原文关系：百谷自生，鸾鸟自歌，凤鸟自舞，草木所聚，百兽相群，草木冬夏不死</x:v>
      </x:c>
      <x:c r="I140" s="1481" t="str">
        <x:v>都广内部；无独立里数</x:v>
      </x:c>
      <x:c r="J140" s="1481" t="str">
        <x:v>原文区域包含＋格内20里排版偏移（非文本距离）</x:v>
      </x:c>
      <x:c r="K140" s="1481" t="str">
        <x:v>属于都广之野的生态层锁定；具体边界和内部物种分布未锁</x:v>
      </x:c>
      <x:c r="L140" s="1481" t="str">
        <x:v>生态作用层；覆盖都广内部，不等于20里半径，也不把都广之野边界缩成一个主格</x:v>
      </x:c>
      <x:c r="M140" s="1481" t="str">
        <x:v>百谷自生、草木聚集、冬夏不死的丰饶野地</x:v>
      </x:c>
      <x:c r="N140" s="1481"/>
      <x:c r="O140" s="1481" t="str">
        <x:v>膏菽、膏稻、膏黍、膏稷、灵寿及聚集草木</x:v>
      </x:c>
      <x:c r="P140" s="1481" t="str">
        <x:v>鸾鸟、凤鸟、百兽</x:v>
      </x:c>
      <x:c r="Q140" s="1481"/>
      <x:c r="R140" s="1481"/>
      <x:c r="S140" s="1481"/>
      <x:c r="T140" s="1481"/>
      <x:c r="U140" s="1481"/>
      <x:c r="V140" s="1481"/>
      <x:c r="W140" s="1481"/>
      <x:c r="X140" s="1481" t="str">
        <x:v>百谷自生；鸾凤自歌舞；草木冬夏不死；百兽相群</x:v>
      </x:c>
      <x:c r="Y140" s="1481" t="str">
        <x:v>都广之野持续呈现丰饶与不凋生态</x:v>
      </x:c>
      <x:c r="Z140" s="1484" t="e">
        <x:f>HYPERLINK("#'山海经原文总库'!A1851","查看对应原文段落")</x:f>
        <x:v>HYPERLINK is not implemented. linkLocation=#'山海经原文总库'!A1851, friendlyName=查看对应原文段落</x:v>
      </x:c>
      <x:c r="AA140" s="1481" t="str">
        <x:v>本行不是新增古地名，而是从《海内经》都广段拆出的原文空间作用层，用于避免生态信息只滞留在说明栏。</x:v>
      </x:c>
      <x:c r="AB140" s="1481"/>
      <x:c r="AC140" s="1481"/>
      <x:c r="AD140" s="1481"/>
      <x:c r="AE140" s="1481"/>
      <x:c r="AF140" s="1481"/>
      <x:c r="AG140" s="1481"/>
      <x:c r="AH140" s="1481" t="str">
        <x:v>不得把此层解释为独立国家、园林或后世仙境；它属于都广之野的原文生态属性。
V029：都广“百谷自生”与“后稷播百谷”在主题上相关，但原文没有明说前者由后稷在此播种造成，不得把生态层改写成后稷耕作区。</x:v>
      </x:c>
      <x:c r="AI140" s="1481" t="str">
        <x:v>V026将百谷、鸾凤、灵寿、百兽与不死草木合并为一个生态空间层，与都广主体共格。格内(+20,0)里仅用于排版，不是都广生态层的真实中心。
V029谱系分类：R140继续表示都广自身的丰饶生态；后稷播谷是非定点文明事件，不覆盖本生态层。</x:v>
      </x:c>
      <x:c r="AJ140" s="1481" t="str">
        <x:v>https://ctext.org/shan-hai-jing/hai-nei-jing/zh
https://zh.wikisource.org/zh-hans/山海經/海內經</x:v>
      </x:c>
    </x:row>
    <x:row r="141" ht="103.5" customHeight="1">
      <x:c r="A141" s="1503" t="str">
        <x:v>X=-100里，Y=-200里（-1，-2格）</x:v>
      </x:c>
      <x:c r="B141" s="1504" t="str">
        <x:v>南海之内（若木水系区域层）</x:v>
      </x:c>
      <x:c r="C141" s="1502" t="str">
        <x:v>区域限定／水系环境层</x:v>
      </x:c>
      <x:c r="D141" s="1502" t="str">
        <x:v>《海内经》</x:v>
      </x:c>
      <x:c r="E141" s="1502" t="str">
        <x:v>若木—黑水—青水系统</x:v>
      </x:c>
      <x:c r="F141" s="1502" t="str">
        <x:v>西南／南部外缘候选</x:v>
      </x:c>
      <x:c r="G141" s="1502" t="n">
        <x:v>223.6</x:v>
      </x:c>
      <x:c r="H141" s="1502" t="str">
        <x:v>直接参照地：若木；黑水；青水；南海
原文关系：南海之内，黑水青水之间，有木名曰若木</x:v>
      </x:c>
      <x:c r="I141" s="1502" t="str">
        <x:v>无里数</x:v>
      </x:c>
      <x:c r="J141" s="1502" t="str">
        <x:v>原文区域限定＋与若木同格代表位</x:v>
      </x:c>
      <x:c r="K141" s="1502" t="str">
        <x:v>若木模块位于‘南海之内’关系锁定；南海边界、方向与实际距离未锁</x:v>
      </x:c>
      <x:c r="L141" s="1502" t="str">
        <x:v>区域语义层；代表坐标与若木共位，不等于南海之内区域只有一个100里格</x:v>
      </x:c>
      <x:c r="M141" s="1502" t="str">
        <x:v>南海外缘／两水之间的神木水系区</x:v>
      </x:c>
      <x:c r="N141" s="1502" t="str">
        <x:v>黑水、青水、若水</x:v>
      </x:c>
      <x:c r="O141" s="1502" t="str">
        <x:v>若木</x:v>
      </x:c>
      <x:c r="P141" s="1502"/>
      <x:c r="Q141" s="1502"/>
      <x:c r="R141" s="1502"/>
      <x:c r="S141" s="1502"/>
      <x:c r="T141" s="1502"/>
      <x:c r="U141" s="1502"/>
      <x:c r="V141" s="1502"/>
      <x:c r="W141" s="1502"/>
      <x:c r="X141" s="1502"/>
      <x:c r="Y141" s="1502"/>
      <x:c r="Z141" s="1505" t="e">
        <x:f>HYPERLINK("#'山海经原文总库'!A1852","查看对应原文段落")</x:f>
        <x:v>HYPERLINK is not implemented. linkLocation=#'山海经原文总库'!A1852, friendlyName=查看对应原文段落</x:v>
      </x:c>
      <x:c r="AA141" s="1502" t="str">
        <x:v>《山海经》多次出现南海内外方位，本行仅代表卷十八若木句的区域层，不与其他南海对象自动合并。</x:v>
      </x:c>
      <x:c r="AB141" s="1502"/>
      <x:c r="AC141" s="1502"/>
      <x:c r="AD141" s="1502"/>
      <x:c r="AE141" s="1502"/>
      <x:c r="AF141" s="1502"/>
      <x:c r="AG141" s="1502"/>
      <x:c r="AH141" s="1502" t="str">
        <x:v>‘南海之内’是范围限定，不足以把若木直接钉在现代南海海岸，也不能反推与都广的里数。</x:v>
      </x:c>
      <x:c r="AI141" s="1502" t="str">
        <x:v>V031校验：SHJ-18-009-1应为‘南海之内’。该区域层与若木系统同格；坐标仍是既有模块排版，不新增原文没有的距离。</x:v>
      </x:c>
      <x:c r="AJ141" s="1502" t="str">
        <x:v>https://ctext.org/shan-hai-jing/hai-nei-jing/zh
https://zh.wikisource.org/zh-hans/山海經/海內經</x:v>
      </x:c>
    </x:row>
    <x:row r="142" ht="103.5" customHeight="1">
      <x:c r="A142" s="1503" t="str">
        <x:v>X=-160里，Y=-200里（-1.6，-2格）</x:v>
      </x:c>
      <x:c r="B142" s="1504" t="str">
        <x:v>流沙（卷十八黑水西界层）</x:v>
      </x:c>
      <x:c r="C142" s="1502" t="str">
        <x:v>区域／西部界面</x:v>
      </x:c>
      <x:c r="D142" s="1502" t="str">
        <x:v>《海内经》</x:v>
      </x:c>
      <x:c r="E142" s="1502" t="str">
        <x:v>卷十八流沙—黑水西侧走廊</x:v>
      </x:c>
      <x:c r="F142" s="1502" t="str">
        <x:v>西南／西侧拓扑</x:v>
      </x:c>
      <x:c r="G142" s="1502" t="n">
        <x:v>256.1</x:v>
      </x:c>
      <x:c r="H142" s="1502" t="str">
        <x:v>直接参照地：黑水；朝云国；司彘国；不死山
原文关系：朝云、司彘与不死山均在流沙之东</x:v>
      </x:c>
      <x:c r="I142" s="1502" t="str">
        <x:v>无里数</x:v>
      </x:c>
      <x:c r="J142" s="1502" t="str">
        <x:v>局部拓扑锚点＋格内40里排版偏移</x:v>
      </x:c>
      <x:c r="K142" s="1502" t="str">
        <x:v>作为卷十八流沙东界关系锚点锁定；与西次三经流沙、其他篇流沙是否同一未锁</x:v>
      </x:c>
      <x:c r="L142" s="1502" t="str">
        <x:v>流沙区域代表点；不等于流沙整体宽度或中心</x:v>
      </x:c>
      <x:c r="M142" s="1502" t="str">
        <x:v>流沙／沙海边界</x:v>
      </x:c>
      <x:c r="N142" s="1502"/>
      <x:c r="O142" s="1502"/>
      <x:c r="P142" s="1502"/>
      <x:c r="Q142" s="1502"/>
      <x:c r="R142" s="1502"/>
      <x:c r="S142" s="1502"/>
      <x:c r="T142" s="1502"/>
      <x:c r="U142" s="1502"/>
      <x:c r="V142" s="1502"/>
      <x:c r="W142" s="1502"/>
      <x:c r="X142" s="1502"/>
      <x:c r="Y142" s="1502"/>
      <x:c r="Z142" s="1505" t="e">
        <x:f>HYPERLINK("#'山海经原文总库'!A1836","查看对应原文段落")</x:f>
        <x:v>HYPERLINK is not implemented. linkLocation=#'山海经原文总库'!A1836, friendlyName=查看对应原文段落</x:v>
      </x:c>
      <x:c r="AA142" s="1502" t="str">
        <x:v>全书存在多处流沙，本行只承载卷十八‘流沙之东／之西／之中’系列关系。</x:v>
      </x:c>
      <x:c r="AB142" s="1502"/>
      <x:c r="AC142" s="1502"/>
      <x:c r="AD142" s="1502"/>
      <x:c r="AE142" s="1502"/>
      <x:c r="AF142" s="1502"/>
      <x:c r="AG142" s="1502"/>
      <x:c r="AH142" s="1502" t="str">
        <x:v>不得因同名把本流沙直接并入R117西次三经流沙；两者缺乏里数和连续路径。</x:v>
      </x:c>
      <x:c r="AI142" s="1502" t="str">
        <x:v>V027将卷十八流沙界面置于黑水西侧40里，仅用于形成‘流沙东—黑水西’局部拓扑。</x:v>
      </x:c>
      <x:c r="AJ142" s="1502" t="str">
        <x:v>https://ctext.org/shan-hai-jing/hai-nei-jing/zh
https://zh.wikisource.org/zh-hans/山海經/海內經</x:v>
      </x:c>
    </x:row>
    <x:row r="143" ht="103.5" customHeight="1">
      <x:c r="A143" s="1503" t="str">
        <x:v>X=-145里，Y=-190里（-1.4，-1.9格）</x:v>
      </x:c>
      <x:c r="B143" s="1504" t="str">
        <x:v>朝云国</x:v>
      </x:c>
      <x:c r="C143" s="1502" t="str">
        <x:v>国家／族群区域</x:v>
      </x:c>
      <x:c r="D143" s="1502" t="str">
        <x:v>《海内经》</x:v>
      </x:c>
      <x:c r="E143" s="1502" t="str">
        <x:v>卷十八流沙—黑水西侧走廊</x:v>
      </x:c>
      <x:c r="F143" s="1502" t="str">
        <x:v>西南</x:v>
      </x:c>
      <x:c r="G143" s="1502" t="n">
        <x:v>239</x:v>
      </x:c>
      <x:c r="H143" s="1502" t="str">
        <x:v>直接参照地：流沙；黑水；司彘国
原文关系：流沙之东，黑水之西，有朝云之国、司彘之国</x:v>
      </x:c>
      <x:c r="I143" s="1502" t="str">
        <x:v>无里数</x:v>
      </x:c>
      <x:c r="J143" s="1502" t="str">
        <x:v>双边界夹持关系＋格内排版</x:v>
      </x:c>
      <x:c r="K143" s="1502" t="str">
        <x:v>位于流沙东、黑水西关系锁定；与司彘国相对次序和国域边界未锁</x:v>
      </x:c>
      <x:c r="L143" s="1502" t="str">
        <x:v>国家代表点；不以主格或格内偏移推定国土面积</x:v>
      </x:c>
      <x:c r="M143" s="1502"/>
      <x:c r="N143" s="1502"/>
      <x:c r="O143" s="1502"/>
      <x:c r="P143" s="1502"/>
      <x:c r="Q143" s="1502"/>
      <x:c r="R143" s="1502"/>
      <x:c r="S143" s="1502"/>
      <x:c r="T143" s="1502"/>
      <x:c r="U143" s="1502"/>
      <x:c r="V143" s="1502" t="str">
        <x:v>朝云国居民</x:v>
      </x:c>
      <x:c r="W143" s="1502"/>
      <x:c r="X143" s="1502"/>
      <x:c r="Y143" s="1502" t="str">
        <x:v>与司彘国并列处于流沙—黑水之间</x:v>
      </x:c>
      <x:c r="Z143" s="1505" t="e">
        <x:f>HYPERLINK("#'山海经原文总库'!A1838","查看对应原文段落")</x:f>
        <x:v>HYPERLINK is not implemented. linkLocation=#'山海经原文总库'!A1838, friendlyName=查看对应原文段落</x:v>
      </x:c>
      <x:c r="AA143" s="1502" t="str">
        <x:v>当前卷十八仅此一处朝云国。</x:v>
      </x:c>
      <x:c r="AB143" s="1502"/>
      <x:c r="AC143" s="1502"/>
      <x:c r="AD143" s="1502"/>
      <x:c r="AE143" s="1502"/>
      <x:c r="AF143" s="1502"/>
      <x:c r="AG143" s="1502"/>
      <x:c r="AH143" s="1502" t="str">
        <x:v>原文没有说明朝云国在司彘国的北、南、东或西，也没有提供与若水帝系的隶属关系。</x:v>
      </x:c>
      <x:c r="AI143" s="1502" t="str">
        <x:v>V027置于流沙(-160)与黑水(-120)之间，X=-145；Y=+10里错位只为同格排版。</x:v>
      </x:c>
      <x:c r="AJ143" s="1502" t="str">
        <x:v>https://ctext.org/shan-hai-jing/hai-nei-jing/zh
https://zh.wikisource.org/zh-hans/山海經/海內經</x:v>
      </x:c>
    </x:row>
    <x:row r="144" ht="103.5" customHeight="1">
      <x:c r="A144" s="1503" t="str">
        <x:v>X=-135里，Y=-210里（-1.4，-2.1格）</x:v>
      </x:c>
      <x:c r="B144" s="1504" t="str">
        <x:v>司彘国</x:v>
      </x:c>
      <x:c r="C144" s="1502" t="str">
        <x:v>国家／族群区域</x:v>
      </x:c>
      <x:c r="D144" s="1502" t="str">
        <x:v>《海内经》</x:v>
      </x:c>
      <x:c r="E144" s="1502" t="str">
        <x:v>卷十八流沙—黑水西侧走廊</x:v>
      </x:c>
      <x:c r="F144" s="1502" t="str">
        <x:v>西南</x:v>
      </x:c>
      <x:c r="G144" s="1502" t="n">
        <x:v>249.6</x:v>
      </x:c>
      <x:c r="H144" s="1502" t="str">
        <x:v>直接参照地：流沙；黑水；朝云国
原文关系：流沙之东，黑水之西，有朝云之国、司彘之国</x:v>
      </x:c>
      <x:c r="I144" s="1502" t="str">
        <x:v>无里数</x:v>
      </x:c>
      <x:c r="J144" s="1502" t="str">
        <x:v>双边界夹持关系＋格内排版</x:v>
      </x:c>
      <x:c r="K144" s="1502" t="str">
        <x:v>位于流沙东、黑水西关系锁定；与朝云国相对次序和国域边界未锁</x:v>
      </x:c>
      <x:c r="L144" s="1502" t="str">
        <x:v>国家代表点；不以主格或格内偏移推定国土面积</x:v>
      </x:c>
      <x:c r="M144" s="1502"/>
      <x:c r="N144" s="1502"/>
      <x:c r="O144" s="1502"/>
      <x:c r="P144" s="1502"/>
      <x:c r="Q144" s="1502"/>
      <x:c r="R144" s="1502"/>
      <x:c r="S144" s="1502"/>
      <x:c r="T144" s="1502"/>
      <x:c r="U144" s="1502"/>
      <x:c r="V144" s="1502" t="str">
        <x:v>司彘国居民</x:v>
      </x:c>
      <x:c r="W144" s="1502"/>
      <x:c r="X144" s="1502"/>
      <x:c r="Y144" s="1502" t="str">
        <x:v>与朝云国并列处于流沙—黑水之间</x:v>
      </x:c>
      <x:c r="Z144" s="1505" t="e">
        <x:f>HYPERLINK("#'山海经原文总库'!A1839","查看对应原文段落")</x:f>
        <x:v>HYPERLINK is not implemented. linkLocation=#'山海经原文总库'!A1839, friendlyName=查看对应原文段落</x:v>
      </x:c>
      <x:c r="AA144" s="1502" t="str">
        <x:v>当前卷十八仅此一处司彘国。</x:v>
      </x:c>
      <x:c r="AB144" s="1502"/>
      <x:c r="AC144" s="1502"/>
      <x:c r="AD144" s="1502"/>
      <x:c r="AE144" s="1502"/>
      <x:c r="AF144" s="1502"/>
      <x:c r="AG144" s="1502"/>
      <x:c r="AH144" s="1502" t="str">
        <x:v>‘司彘’名称不能直接解释为养猪官署或后世行政国家，正文没有给出制度信息。</x:v>
      </x:c>
      <x:c r="AI144" s="1502" t="str">
        <x:v>V027置于流沙(-160)与黑水(-120)之间，X=-135；Y=-10里错位只为同格排版。</x:v>
      </x:c>
      <x:c r="AJ144" s="1502" t="str">
        <x:v>https://ctext.org/shan-hai-jing/hai-nei-jing/zh
https://zh.wikisource.org/zh-hans/山海經/海內經</x:v>
      </x:c>
    </x:row>
    <x:row r="145" ht="103.5" customHeight="1">
      <x:c r="A145" s="1503" t="str">
        <x:v>X=-130里，Y=-180里（-1.3，-1.8格）</x:v>
      </x:c>
      <x:c r="B145" s="1504" t="str">
        <x:v>不死之山</x:v>
      </x:c>
      <x:c r="C145" s="1502" t="str">
        <x:v>山／黑水界面地标</x:v>
      </x:c>
      <x:c r="D145" s="1502" t="str">
        <x:v>《海内经》</x:v>
      </x:c>
      <x:c r="E145" s="1502" t="str">
        <x:v>卷十八流沙—黑水西侧走廊</x:v>
      </x:c>
      <x:c r="F145" s="1502" t="str">
        <x:v>西南</x:v>
      </x:c>
      <x:c r="G145" s="1502" t="n">
        <x:v>222</x:v>
      </x:c>
      <x:c r="H145" s="1502" t="str">
        <x:v>直接参照地：流沙；黑水
原文关系：流沙之东，黑水之间，有山名不死之山</x:v>
      </x:c>
      <x:c r="I145" s="1502" t="str">
        <x:v>无里数</x:v>
      </x:c>
      <x:c r="J145" s="1502" t="str">
        <x:v>流沙东关系＋黑水水网内部／界面候选</x:v>
      </x:c>
      <x:c r="K145" s="1502" t="str">
        <x:v>位于流沙东关系锁定；‘黑水之间’究竟指两支黑水之间或黑水区域内部未锁</x:v>
      </x:c>
      <x:c r="L145" s="1502" t="str">
        <x:v>山体代表点；不得据名称推定整山居民不死或具有复活能力</x:v>
      </x:c>
      <x:c r="M145" s="1502" t="str">
        <x:v>黑水区域内／水网之间的山岳</x:v>
      </x:c>
      <x:c r="N145" s="1502"/>
      <x:c r="O145" s="1502"/>
      <x:c r="P145" s="1502"/>
      <x:c r="Q145" s="1502"/>
      <x:c r="R145" s="1502"/>
      <x:c r="S145" s="1502"/>
      <x:c r="T145" s="1502"/>
      <x:c r="U145" s="1502"/>
      <x:c r="V145" s="1502"/>
      <x:c r="W145" s="1502"/>
      <x:c r="X145" s="1502" t="str">
        <x:v>正文仅有山名‘不死’，未明载具体功效</x:v>
      </x:c>
      <x:c r="Y145" s="1502"/>
      <x:c r="Z145" s="1505" t="e">
        <x:f>HYPERLINK("#'山海经原文总库'!A1843","查看对应原文段落")</x:f>
        <x:v>HYPERLINK is not implemented. linkLocation=#'山海经原文总库'!A1843, friendlyName=查看对应原文段落</x:v>
      </x:c>
      <x:c r="AA145" s="1502" t="str">
        <x:v>全书存在不死国、不死民及不死药传统，但本句只给山名，不能自动合并。</x:v>
      </x:c>
      <x:c r="AB145" s="1502"/>
      <x:c r="AC145" s="1502"/>
      <x:c r="AD145" s="1502"/>
      <x:c r="AE145" s="1502"/>
      <x:c r="AF145" s="1502"/>
      <x:c r="AG145" s="1502"/>
      <x:c r="AH145" s="1502" t="str">
        <x:v>不死之山不等于昆仑不死药产地，也不能凭山名补造西王母、神药或复生仪式。</x:v>
      </x:c>
      <x:c r="AI145" s="1502" t="str">
        <x:v>V027将其置于流沙东、黑水西侧接口的同一主格，X=-130；Y=+20里仅为排版。</x:v>
      </x:c>
      <x:c r="AJ145" s="1502" t="str">
        <x:v>https://ctext.org/shan-hai-jing/hai-nei-jing/zh
https://zh.wikisource.org/zh-hans/山海經/海內經</x:v>
      </x:c>
    </x:row>
    <x:row r="146" ht="103.5" customHeight="1">
      <x:c r="A146" s="1524" t="str">
        <x:v>X=+120里，Y=-300里（+1.2，-3格）</x:v>
      </x:c>
      <x:c r="B146" s="1525" t="str">
        <x:v>柏高（肇山升降者）</x:v>
      </x:c>
      <x:c r="C146" s="1523" t="str">
        <x:v>人物／天地升降事件主体</x:v>
      </x:c>
      <x:c r="D146" s="1523" t="str">
        <x:v>《海内经》</x:v>
      </x:c>
      <x:c r="E146" s="1523" t="str">
        <x:v>华山—青水—肇山升降接口</x:v>
      </x:c>
      <x:c r="F146" s="1523" t="str">
        <x:v>东南／项目模块位</x:v>
      </x:c>
      <x:c r="G146" s="1523" t="n">
        <x:v>323.1</x:v>
      </x:c>
      <x:c r="H146" s="1523" t="str">
        <x:v>直接参照地：肇山
原文关系：有人名曰柏高，柏高上下于此，至于天</x:v>
      </x:c>
      <x:c r="I146" s="1523" t="str">
        <x:v>与肇山共位；无独立里数</x:v>
      </x:c>
      <x:c r="J146" s="1523" t="str">
        <x:v>原文事件共位</x:v>
      </x:c>
      <x:c r="K146" s="1523" t="str">
        <x:v>柏高在肇山上下至天关系锁定；身份、出身、升降方式与次数未锁</x:v>
      </x:c>
      <x:c r="L146" s="1523" t="str">
        <x:v>人物事件点；与肇山共位，不另占100里范围</x:v>
      </x:c>
      <x:c r="M146" s="1523" t="str">
        <x:v>肇山升降事件现场</x:v>
      </x:c>
      <x:c r="N146" s="1523"/>
      <x:c r="O146" s="1523"/>
      <x:c r="P146" s="1523"/>
      <x:c r="Q146" s="1523"/>
      <x:c r="R146" s="1523"/>
      <x:c r="S146" s="1523"/>
      <x:c r="T146" s="1523" t="str">
        <x:v>柏高</x:v>
      </x:c>
      <x:c r="U146" s="1523"/>
      <x:c r="V146" s="1523"/>
      <x:c r="W146" s="1523"/>
      <x:c r="X146" s="1523" t="str">
        <x:v>可在肇山上下往来，至于天</x:v>
      </x:c>
      <x:c r="Y146" s="1523" t="str">
        <x:v>柏高上下于肇山，至于天</x:v>
      </x:c>
      <x:c r="Z146" s="1526" t="e">
        <x:f>HYPERLINK("#'山海经原文总库'!A1847","查看对应原文段落")</x:f>
        <x:v>HYPERLINK is not implemented. linkLocation=#'山海经原文总库'!A1847, friendlyName=查看对应原文段落</x:v>
      </x:c>
      <x:c r="AA146" s="1523" t="str">
        <x:v>当前卷十八只见此处柏高；正文没有说明其为神、巫、帝臣或凡人。</x:v>
      </x:c>
      <x:c r="AB146" s="1523"/>
      <x:c r="AC146" s="1523"/>
      <x:c r="AD146" s="1523"/>
      <x:c r="AE146" s="1523"/>
      <x:c r="AF146" s="1523"/>
      <x:c r="AG146" s="1523"/>
      <x:c r="AH146" s="1523" t="str">
        <x:v>不得把柏高自动等同建木使用者、天帝使者或山神，也不能补造固定升天仪式。</x:v>
      </x:c>
      <x:c r="AI146" s="1523" t="str">
        <x:v>V028将柏高独立建档，并与肇山共位(+120,-300)。其坐标只表达事件发生地。</x:v>
      </x:c>
      <x:c r="AJ146" s="1523" t="str">
        <x:v>https://ctext.org/shan-hai-jing/hai-nei-jing/zh
https://zh.wikisource.org/zh-hans/山海經/海內經</x:v>
      </x:c>
    </x:row>
    <x:row r="147" ht="103.5" customHeight="1">
      <x:c r="A147" s="1620" t="str">
        <x:v>X=+300里，Y=+1500里（+3，+15格）</x:v>
      </x:c>
      <x:c r="B147" s="1621" t="str">
        <x:v>东海之内（卷十八区域层）</x:v>
      </x:c>
      <x:c r="C147" s="1619" t="str">
        <x:v>区域限定</x:v>
      </x:c>
      <x:c r="D147" s="1619" t="str">
        <x:v>《海内经》</x:v>
      </x:c>
      <x:c r="E147" s="1619" t="str">
        <x:v>卷十八东海—北海隅拓扑模块</x:v>
      </x:c>
      <x:c r="F147" s="1619" t="str">
        <x:v>未锚定拓扑模块／纯排版方向</x:v>
      </x:c>
      <x:c r="G147" s="1619"/>
      <x:c r="H147" s="1619" t="str">
        <x:v>直接参照地：北海之隅、朝鲜国、天毒国
原文关系：东海之内、北海之隅有朝鲜、天毒</x:v>
      </x:c>
      <x:c r="I147" s="1619" t="str">
        <x:v>无里数</x:v>
      </x:c>
      <x:c r="J147" s="1619" t="str">
        <x:v>卷内局部拓扑＋主棋盘专用排版坐标（非绝对里数）</x:v>
      </x:c>
      <x:c r="K147" s="1619" t="str">
        <x:v>原文内部关系锁定；与都广、昆仑及其他卷的绝对方向和距离未锁
V030：以专用拓扑带完成卷内闭合，不得把坐标值解释为真实里数</x:v>
      </x:c>
      <x:c r="L147" s="1619" t="str">
        <x:v>局部拓扑对象；主格只作模块索引，不代表国域、山体、水域或事件范围</x:v>
      </x:c>
      <x:c r="M147" s="1619" t="str">
        <x:v>东海内部区域</x:v>
      </x:c>
      <x:c r="N147" s="1619"/>
      <x:c r="O147" s="1619"/>
      <x:c r="P147" s="1619"/>
      <x:c r="Q147" s="1619"/>
      <x:c r="R147" s="1619"/>
      <x:c r="S147" s="1619"/>
      <x:c r="T147" s="1619"/>
      <x:c r="U147" s="1619"/>
      <x:c r="V147" s="1619"/>
      <x:c r="W147" s="1619"/>
      <x:c r="X147" s="1619"/>
      <x:c r="Y147" s="1619"/>
      <x:c r="Z147" s="1622" t="e">
        <x:f>HYPERLINK("#'山海经原文总库'!A1821","查看对应原文段落")</x:f>
        <x:v>HYPERLINK is not implemented. linkLocation=#'山海经原文总库'!A1821, friendlyName=查看对应原文段落</x:v>
      </x:c>
      <x:c r="AA147" s="1619" t="str">
        <x:v>只承载卷十八首段的东海之内，不与其他篇章东海区域自动合并。</x:v>
      </x:c>
      <x:c r="AB147" s="1619"/>
      <x:c r="AC147" s="1619"/>
      <x:c r="AD147" s="1619"/>
      <x:c r="AE147" s="1619"/>
      <x:c r="AF147" s="1619"/>
      <x:c r="AG147" s="1619"/>
      <x:c r="AH147" s="1619" t="str">
        <x:v>本行坐标属于卷内拓扑排版，不得据此推算与都广、昆仑或现实地理的距离。</x:v>
      </x:c>
      <x:c r="AI147" s="1619" t="str">
        <x:v>V030以卷十八局部关系建立拓扑对象R147；坐标仅用于在专用模块带内区分对象。</x:v>
      </x:c>
      <x:c r="AJ147" s="1619" t="str">
        <x:v>https://ctext.org/shan-hai-jing/hai-nei-jing/zh
https://zh.wikisource.org/zh-hans/山海經/海內經</x:v>
      </x:c>
    </x:row>
    <x:row r="148" ht="103.5" customHeight="1">
      <x:c r="A148" s="1620" t="str">
        <x:v>X=+400里，Y=+1500里（+4，+15格）</x:v>
      </x:c>
      <x:c r="B148" s="1621" t="str">
        <x:v>北海之隅（东海内接口）</x:v>
      </x:c>
      <x:c r="C148" s="1619" t="str">
        <x:v>区域／海隅</x:v>
      </x:c>
      <x:c r="D148" s="1619" t="str">
        <x:v>《海内经》</x:v>
      </x:c>
      <x:c r="E148" s="1619" t="str">
        <x:v>卷十八东海—北海隅拓扑模块</x:v>
      </x:c>
      <x:c r="F148" s="1619" t="str">
        <x:v>未锚定拓扑模块／纯排版方向</x:v>
      </x:c>
      <x:c r="G148" s="1619"/>
      <x:c r="H148" s="1619" t="str">
        <x:v>直接参照地：东海之内、朝鲜国、天毒国
原文关系：东海之内，北海之隅</x:v>
      </x:c>
      <x:c r="I148" s="1619" t="str">
        <x:v>无里数</x:v>
      </x:c>
      <x:c r="J148" s="1619" t="str">
        <x:v>卷内局部拓扑＋主棋盘专用排版坐标（非绝对里数）</x:v>
      </x:c>
      <x:c r="K148" s="1619" t="str">
        <x:v>原文内部关系锁定；与都广、昆仑及其他卷的绝对方向和距离未锁
V030：以专用拓扑带完成卷内闭合，不得把坐标值解释为真实里数</x:v>
      </x:c>
      <x:c r="L148" s="1619" t="str">
        <x:v>局部拓扑对象；主格只作模块索引，不代表国域、山体、水域或事件范围</x:v>
      </x:c>
      <x:c r="M148" s="1619" t="str">
        <x:v>东海与北海交界的海隅</x:v>
      </x:c>
      <x:c r="N148" s="1619"/>
      <x:c r="O148" s="1619"/>
      <x:c r="P148" s="1619"/>
      <x:c r="Q148" s="1619"/>
      <x:c r="R148" s="1619"/>
      <x:c r="S148" s="1619"/>
      <x:c r="T148" s="1619"/>
      <x:c r="U148" s="1619"/>
      <x:c r="V148" s="1619"/>
      <x:c r="W148" s="1619"/>
      <x:c r="X148" s="1619"/>
      <x:c r="Y148" s="1619"/>
      <x:c r="Z148" s="1622" t="e">
        <x:f>HYPERLINK("#'山海经原文总库'!A1822","查看对应原文段落")</x:f>
        <x:v>HYPERLINK is not implemented. linkLocation=#'山海经原文总库'!A1822, friendlyName=查看对应原文段落</x:v>
      </x:c>
      <x:c r="AA148" s="1619"/>
      <x:c r="AB148" s="1619"/>
      <x:c r="AC148" s="1619"/>
      <x:c r="AD148" s="1619"/>
      <x:c r="AE148" s="1619"/>
      <x:c r="AF148" s="1619"/>
      <x:c r="AG148" s="1619"/>
      <x:c r="AH148" s="1619" t="str">
        <x:v>北海之隅不等于整个北海，也不能据此把朝鲜、天毒直接套入现代国家坐标。</x:v>
      </x:c>
      <x:c r="AI148" s="1619" t="str">
        <x:v>V030以卷十八局部关系建立拓扑对象R148；坐标仅用于在专用模块带内区分对象。</x:v>
      </x:c>
      <x:c r="AJ148" s="1619" t="str">
        <x:v>https://ctext.org/shan-hai-jing/hai-nei-jing/zh
https://zh.wikisource.org/zh-hans/山海經/海內經</x:v>
      </x:c>
    </x:row>
    <x:row r="149" ht="103.5" customHeight="1">
      <x:c r="A149" s="1620" t="str">
        <x:v>X=+380里，Y=+1420里（+3.8，+14.2格）</x:v>
      </x:c>
      <x:c r="B149" s="1621" t="str">
        <x:v>朝鲜国（卷十八水居层）</x:v>
      </x:c>
      <x:c r="C149" s="1619" t="str">
        <x:v>国家／族群</x:v>
      </x:c>
      <x:c r="D149" s="1619" t="str">
        <x:v>《海内经》</x:v>
      </x:c>
      <x:c r="E149" s="1619" t="str">
        <x:v>卷十八东海—北海隅拓扑模块</x:v>
      </x:c>
      <x:c r="F149" s="1619" t="str">
        <x:v>未锚定拓扑模块／纯排版方向</x:v>
      </x:c>
      <x:c r="G149" s="1619"/>
      <x:c r="H149" s="1619" t="str">
        <x:v>直接参照地：东海之内、北海之隅、天毒国
原文关系：有国名曰朝鲜、天毒，其人水居</x:v>
      </x:c>
      <x:c r="I149" s="1619" t="str">
        <x:v>无里数</x:v>
      </x:c>
      <x:c r="J149" s="1619" t="str">
        <x:v>卷内局部拓扑＋主棋盘专用排版坐标（非绝对里数）</x:v>
      </x:c>
      <x:c r="K149" s="1619" t="str">
        <x:v>原文内部关系锁定；与都广、昆仑及其他卷的绝对方向和距离未锁
V030：以专用拓扑带完成卷内闭合，不得把坐标值解释为真实里数</x:v>
      </x:c>
      <x:c r="L149" s="1619" t="str">
        <x:v>局部拓扑对象；主格只作模块索引，不代表国域、山体、水域或事件范围</x:v>
      </x:c>
      <x:c r="M149" s="1619"/>
      <x:c r="N149" s="1619"/>
      <x:c r="O149" s="1619"/>
      <x:c r="P149" s="1619"/>
      <x:c r="Q149" s="1619"/>
      <x:c r="R149" s="1619"/>
      <x:c r="S149" s="1619"/>
      <x:c r="T149" s="1619"/>
      <x:c r="U149" s="1619"/>
      <x:c r="V149" s="1619" t="str">
        <x:v>朝鲜国水居之民</x:v>
      </x:c>
      <x:c r="W149" s="1619"/>
      <x:c r="X149" s="1619" t="str">
        <x:v>水居</x:v>
      </x:c>
      <x:c r="Y149" s="1619"/>
      <x:c r="Z149" s="1622" t="e">
        <x:f>HYPERLINK("#'山海经原文总库'!A1823","查看对应原文段落")</x:f>
        <x:v>HYPERLINK is not implemented. linkLocation=#'山海经原文总库'!A1823, friendlyName=查看对应原文段落</x:v>
      </x:c>
      <x:c r="AA149" s="1619"/>
      <x:c r="AB149" s="1619"/>
      <x:c r="AC149" s="1619"/>
      <x:c r="AD149" s="1619"/>
      <x:c r="AE149" s="1619"/>
      <x:c r="AF149" s="1619"/>
      <x:c r="AG149" s="1619"/>
      <x:c r="AH149" s="1619" t="str">
        <x:v>本处朝鲜是卷十八古国名，不能不经论证直接等同现代朝鲜半岛国家。</x:v>
      </x:c>
      <x:c r="AI149" s="1619" t="str">
        <x:v>V030以卷十八局部关系建立拓扑对象R149；坐标仅用于在专用模块带内区分对象。</x:v>
      </x:c>
      <x:c r="AJ149" s="1619" t="str">
        <x:v>https://ctext.org/shan-hai-jing/hai-nei-jing/zh
https://zh.wikisource.org/zh-hans/山海經/海內經</x:v>
      </x:c>
    </x:row>
    <x:row r="150" ht="103.5" customHeight="1">
      <x:c r="A150" s="1620" t="str">
        <x:v>X=+420里，Y=+1420里（+4.2，+14.2格）</x:v>
      </x:c>
      <x:c r="B150" s="1621" t="str">
        <x:v>天毒国</x:v>
      </x:c>
      <x:c r="C150" s="1619" t="str">
        <x:v>国家／族群</x:v>
      </x:c>
      <x:c r="D150" s="1619" t="str">
        <x:v>《海内经》</x:v>
      </x:c>
      <x:c r="E150" s="1619" t="str">
        <x:v>卷十八东海—北海隅拓扑模块</x:v>
      </x:c>
      <x:c r="F150" s="1619" t="str">
        <x:v>未锚定拓扑模块／纯排版方向</x:v>
      </x:c>
      <x:c r="G150" s="1619"/>
      <x:c r="H150" s="1619" t="str">
        <x:v>直接参照地：东海之内、北海之隅、朝鲜国
原文关系：有国名曰朝鲜、天毒，其人水居</x:v>
      </x:c>
      <x:c r="I150" s="1619" t="str">
        <x:v>无里数</x:v>
      </x:c>
      <x:c r="J150" s="1619" t="str">
        <x:v>卷内局部拓扑＋主棋盘专用排版坐标（非绝对里数）</x:v>
      </x:c>
      <x:c r="K150" s="1619" t="str">
        <x:v>原文内部关系锁定；与都广、昆仑及其他卷的绝对方向和距离未锁
V030：以专用拓扑带完成卷内闭合，不得把坐标值解释为真实里数</x:v>
      </x:c>
      <x:c r="L150" s="1619" t="str">
        <x:v>局部拓扑对象；主格只作模块索引，不代表国域、山体、水域或事件范围</x:v>
      </x:c>
      <x:c r="M150" s="1619"/>
      <x:c r="N150" s="1619"/>
      <x:c r="O150" s="1619"/>
      <x:c r="P150" s="1619"/>
      <x:c r="Q150" s="1619"/>
      <x:c r="R150" s="1619"/>
      <x:c r="S150" s="1619"/>
      <x:c r="T150" s="1619"/>
      <x:c r="U150" s="1619"/>
      <x:c r="V150" s="1619" t="str">
        <x:v>天毒国水居之民</x:v>
      </x:c>
      <x:c r="W150" s="1619"/>
      <x:c r="X150" s="1619" t="str">
        <x:v>水居</x:v>
      </x:c>
      <x:c r="Y150" s="1619"/>
      <x:c r="Z150" s="1622" t="e">
        <x:f>HYPERLINK("#'山海经原文总库'!A1824","查看对应原文段落")</x:f>
        <x:v>HYPERLINK is not implemented. linkLocation=#'山海经原文总库'!A1824, friendlyName=查看对应原文段落</x:v>
      </x:c>
      <x:c r="AA150" s="1619" t="str">
        <x:v>天毒常被后世联系天竺／印度，但卷十八正文未给出足以锁定现实地理的证据。</x:v>
      </x:c>
      <x:c r="AB150" s="1619"/>
      <x:c r="AC150" s="1619"/>
      <x:c r="AD150" s="1619"/>
      <x:c r="AE150" s="1619"/>
      <x:c r="AF150" s="1619"/>
      <x:c r="AG150" s="1619"/>
      <x:c r="AH150" s="1619" t="str">
        <x:v>不得仅凭音近把天毒国直接定位为古印度。</x:v>
      </x:c>
      <x:c r="AI150" s="1619" t="str">
        <x:v>V030以卷十八局部关系建立拓扑对象R150；坐标仅用于在专用模块带内区分对象。</x:v>
      </x:c>
      <x:c r="AJ150" s="1619" t="str">
        <x:v>https://ctext.org/shan-hai-jing/hai-nei-jing/zh
https://zh.wikisource.org/zh-hans/山海經/海內經</x:v>
      </x:c>
    </x:row>
    <x:row r="151" ht="103.5" customHeight="1">
      <x:c r="A151" s="1620" t="str">
        <x:v>X=-4800里，Y=-200里（-48，-2格）</x:v>
      </x:c>
      <x:c r="B151" s="1621" t="str">
        <x:v>西海之内（卷十八区域层）</x:v>
      </x:c>
      <x:c r="C151" s="1619" t="str">
        <x:v>区域限定</x:v>
      </x:c>
      <x:c r="D151" s="1619" t="str">
        <x:v>《海内经》</x:v>
      </x:c>
      <x:c r="E151" s="1619" t="str">
        <x:v>卷十八西海—流沙拓扑模块</x:v>
      </x:c>
      <x:c r="F151" s="1619" t="str">
        <x:v>未锚定拓扑模块／纯排版方向</x:v>
      </x:c>
      <x:c r="G151" s="1619"/>
      <x:c r="H151" s="1619" t="str">
        <x:v>直接参照地：流沙西海层、壑市国、沮叶国、鸟山、淮山
原文关系：西海之内</x:v>
      </x:c>
      <x:c r="I151" s="1619" t="str">
        <x:v>无里数</x:v>
      </x:c>
      <x:c r="J151" s="1619" t="str">
        <x:v>卷内局部拓扑＋主棋盘专用排版坐标（非绝对里数）</x:v>
      </x:c>
      <x:c r="K151" s="1619" t="str">
        <x:v>原文内部关系锁定；与都广、昆仑及其他卷的绝对方向和距离未锁
V030：以专用拓扑带完成卷内闭合，不得把坐标值解释为真实里数</x:v>
      </x:c>
      <x:c r="L151" s="1619" t="str">
        <x:v>局部拓扑对象；主格只作模块索引，不代表国域、山体、水域或事件范围</x:v>
      </x:c>
      <x:c r="M151" s="1619" t="str">
        <x:v>西海内部区域</x:v>
      </x:c>
      <x:c r="N151" s="1619"/>
      <x:c r="O151" s="1619"/>
      <x:c r="P151" s="1619"/>
      <x:c r="Q151" s="1619"/>
      <x:c r="R151" s="1619"/>
      <x:c r="S151" s="1619"/>
      <x:c r="T151" s="1619"/>
      <x:c r="U151" s="1619"/>
      <x:c r="V151" s="1619"/>
      <x:c r="W151" s="1619"/>
      <x:c r="X151" s="1619"/>
      <x:c r="Y151" s="1619"/>
      <x:c r="Z151" s="1622" t="e">
        <x:f>HYPERLINK("#'山海经原文总库'!A1825","查看对应原文段落")</x:f>
        <x:v>HYPERLINK is not implemented. linkLocation=#'山海经原文总库'!A1825, friendlyName=查看对应原文段落</x:v>
      </x:c>
      <x:c r="AA151" s="1619" t="str">
        <x:v>本行只承载卷十八西海之内，不与海内西经或大荒西经西海自动合并。</x:v>
      </x:c>
      <x:c r="AB151" s="1619"/>
      <x:c r="AC151" s="1619"/>
      <x:c r="AD151" s="1619"/>
      <x:c r="AE151" s="1619"/>
      <x:c r="AF151" s="1619"/>
      <x:c r="AG151" s="1619"/>
      <x:c r="AH151" s="1619" t="str">
        <x:v>本行坐标属于卷内拓扑排版，不得据此推算与都广、昆仑或现实地理的距离。</x:v>
      </x:c>
      <x:c r="AI151" s="1619" t="str">
        <x:v>V030以卷十八局部关系建立拓扑对象R151；坐标仅用于在专用模块带内区分对象。</x:v>
      </x:c>
      <x:c r="AJ151" s="1619" t="str">
        <x:v>https://ctext.org/shan-hai-jing/hai-nei-jing/zh
https://zh.wikisource.org/zh-hans/山海經/海內經</x:v>
      </x:c>
    </x:row>
    <x:row r="152" ht="103.5" customHeight="1">
      <x:c r="A152" s="1620" t="str">
        <x:v>X=-4700里，Y=-200里（-47，-2格）</x:v>
      </x:c>
      <x:c r="B152" s="1621" t="str">
        <x:v>流沙（卷十八西海层）</x:v>
      </x:c>
      <x:c r="C152" s="1619" t="str">
        <x:v>区域／流沙</x:v>
      </x:c>
      <x:c r="D152" s="1619" t="str">
        <x:v>《海内经》</x:v>
      </x:c>
      <x:c r="E152" s="1619" t="str">
        <x:v>卷十八西海—流沙拓扑模块</x:v>
      </x:c>
      <x:c r="F152" s="1619" t="str">
        <x:v>未锚定拓扑模块／纯排版方向</x:v>
      </x:c>
      <x:c r="G152" s="1619"/>
      <x:c r="H152" s="1619" t="str">
        <x:v>直接参照地：西海之内、壑市国、流沙之西
原文关系：西海之内，流沙之中有壑市</x:v>
      </x:c>
      <x:c r="I152" s="1619" t="str">
        <x:v>无里数</x:v>
      </x:c>
      <x:c r="J152" s="1619" t="str">
        <x:v>卷内局部拓扑＋主棋盘专用排版坐标（非绝对里数）</x:v>
      </x:c>
      <x:c r="K152" s="1619" t="str">
        <x:v>原文内部关系锁定；与都广、昆仑及其他卷的绝对方向和距离未锁
V030：以专用拓扑带完成卷内闭合，不得把坐标值解释为真实里数</x:v>
      </x:c>
      <x:c r="L152" s="1619" t="str">
        <x:v>局部拓扑对象；主格只作模块索引，不代表国域、山体、水域或事件范围</x:v>
      </x:c>
      <x:c r="M152" s="1619" t="str">
        <x:v>流沙／沙海</x:v>
      </x:c>
      <x:c r="N152" s="1619"/>
      <x:c r="O152" s="1619"/>
      <x:c r="P152" s="1619"/>
      <x:c r="Q152" s="1619"/>
      <x:c r="R152" s="1619"/>
      <x:c r="S152" s="1619"/>
      <x:c r="T152" s="1619"/>
      <x:c r="U152" s="1619"/>
      <x:c r="V152" s="1619"/>
      <x:c r="W152" s="1619"/>
      <x:c r="X152" s="1619"/>
      <x:c r="Y152" s="1619"/>
      <x:c r="Z152" s="1622" t="e">
        <x:f>HYPERLINK("#'山海经原文总库'!A1826","查看对应原文段落")</x:f>
        <x:v>HYPERLINK is not implemented. linkLocation=#'山海经原文总库'!A1826, friendlyName=查看对应原文段落</x:v>
      </x:c>
      <x:c r="AA152" s="1619" t="str">
        <x:v>与R142卷十八黑水西界层、R117西次三经流沙分层建档，暂不合并。</x:v>
      </x:c>
      <x:c r="AB152" s="1619"/>
      <x:c r="AC152" s="1619"/>
      <x:c r="AD152" s="1619"/>
      <x:c r="AE152" s="1619"/>
      <x:c r="AF152" s="1619"/>
      <x:c r="AG152" s="1619"/>
      <x:c r="AH152" s="1619" t="str">
        <x:v>同称流沙不等于同一处；本行只表示西海内部的流沙层。</x:v>
      </x:c>
      <x:c r="AI152" s="1619" t="str">
        <x:v>V030以卷十八局部关系建立拓扑对象R152；坐标仅用于在专用模块带内区分对象。</x:v>
      </x:c>
      <x:c r="AJ152" s="1619" t="str">
        <x:v>https://ctext.org/shan-hai-jing/hai-nei-jing/zh
https://zh.wikisource.org/zh-hans/山海經/海內經</x:v>
      </x:c>
    </x:row>
    <x:row r="153" ht="103.5" customHeight="1">
      <x:c r="A153" s="1620" t="str">
        <x:v>X=-4700里，Y=-220里（-47，-2.2格）</x:v>
      </x:c>
      <x:c r="B153" s="1621" t="str">
        <x:v>壑市国</x:v>
      </x:c>
      <x:c r="C153" s="1619" t="str">
        <x:v>国家／族群</x:v>
      </x:c>
      <x:c r="D153" s="1619" t="str">
        <x:v>《海内经》</x:v>
      </x:c>
      <x:c r="E153" s="1619" t="str">
        <x:v>卷十八西海—流沙拓扑模块</x:v>
      </x:c>
      <x:c r="F153" s="1619" t="str">
        <x:v>未锚定拓扑模块／纯排版方向</x:v>
      </x:c>
      <x:c r="G153" s="1619"/>
      <x:c r="H153" s="1619" t="str">
        <x:v>直接参照地：西海之内、流沙西海层
原文关系：流沙之中有国名曰壑市</x:v>
      </x:c>
      <x:c r="I153" s="1619" t="str">
        <x:v>无里数</x:v>
      </x:c>
      <x:c r="J153" s="1619" t="str">
        <x:v>卷内局部拓扑＋主棋盘专用排版坐标（非绝对里数）</x:v>
      </x:c>
      <x:c r="K153" s="1619" t="str">
        <x:v>原文内部关系锁定；与都广、昆仑及其他卷的绝对方向和距离未锁
V030：以专用拓扑带完成卷内闭合，不得把坐标值解释为真实里数</x:v>
      </x:c>
      <x:c r="L153" s="1619" t="str">
        <x:v>局部拓扑对象；主格只作模块索引，不代表国域、山体、水域或事件范围</x:v>
      </x:c>
      <x:c r="M153" s="1619"/>
      <x:c r="N153" s="1619"/>
      <x:c r="O153" s="1619"/>
      <x:c r="P153" s="1619"/>
      <x:c r="Q153" s="1619"/>
      <x:c r="R153" s="1619"/>
      <x:c r="S153" s="1619"/>
      <x:c r="T153" s="1619"/>
      <x:c r="U153" s="1619"/>
      <x:c r="V153" s="1619" t="str">
        <x:v>壑市国居民</x:v>
      </x:c>
      <x:c r="W153" s="1619"/>
      <x:c r="X153" s="1619"/>
      <x:c r="Y153" s="1619"/>
      <x:c r="Z153" s="1622" t="e">
        <x:f>HYPERLINK("#'山海经原文总库'!A1827","查看对应原文段落")</x:f>
        <x:v>HYPERLINK is not implemented. linkLocation=#'山海经原文总库'!A1827, friendlyName=查看对应原文段落</x:v>
      </x:c>
      <x:c r="AA153" s="1619"/>
      <x:c r="AB153" s="1619"/>
      <x:c r="AC153" s="1619"/>
      <x:c r="AD153" s="1619"/>
      <x:c r="AE153" s="1619"/>
      <x:c r="AF153" s="1619"/>
      <x:c r="AG153" s="1619"/>
      <x:c r="AH153" s="1619" t="str">
        <x:v>原文只锁定壑市位于流沙之中，不提供国域面积或与其他国家的距离。</x:v>
      </x:c>
      <x:c r="AI153" s="1619" t="str">
        <x:v>V030以卷十八局部关系建立拓扑对象R153；坐标仅用于在专用模块带内区分对象。</x:v>
      </x:c>
      <x:c r="AJ153" s="1619" t="str">
        <x:v>https://ctext.org/shan-hai-jing/hai-nei-jing/zh
https://zh.wikisource.org/zh-hans/山海經/海內經</x:v>
      </x:c>
    </x:row>
    <x:row r="154" ht="103.5" customHeight="1">
      <x:c r="A154" s="1620" t="str">
        <x:v>X=-4800里，Y=-300里（-48，-3格）</x:v>
      </x:c>
      <x:c r="B154" s="1621" t="str">
        <x:v>流沙之西（卷十八区域层）</x:v>
      </x:c>
      <x:c r="C154" s="1619" t="str">
        <x:v>区域限定</x:v>
      </x:c>
      <x:c r="D154" s="1619" t="str">
        <x:v>《海内经》</x:v>
      </x:c>
      <x:c r="E154" s="1619" t="str">
        <x:v>卷十八西海—流沙拓扑模块</x:v>
      </x:c>
      <x:c r="F154" s="1619" t="str">
        <x:v>未锚定拓扑模块／纯排版方向</x:v>
      </x:c>
      <x:c r="G154" s="1619"/>
      <x:c r="H154" s="1619" t="str">
        <x:v>直接参照地：流沙西海层、沮叶国、鸟山、淮山
原文关系：流沙之西</x:v>
      </x:c>
      <x:c r="I154" s="1619" t="str">
        <x:v>无里数</x:v>
      </x:c>
      <x:c r="J154" s="1619" t="str">
        <x:v>卷内局部拓扑＋主棋盘专用排版坐标（非绝对里数）</x:v>
      </x:c>
      <x:c r="K154" s="1619" t="str">
        <x:v>原文内部关系锁定；与都广、昆仑及其他卷的绝对方向和距离未锁
V030：以专用拓扑带完成卷内闭合，不得把坐标值解释为真实里数</x:v>
      </x:c>
      <x:c r="L154" s="1619" t="str">
        <x:v>局部拓扑对象；主格只作模块索引，不代表国域、山体、水域或事件范围</x:v>
      </x:c>
      <x:c r="M154" s="1619" t="str">
        <x:v>流沙西侧区域</x:v>
      </x:c>
      <x:c r="N154" s="1619"/>
      <x:c r="O154" s="1619"/>
      <x:c r="P154" s="1619"/>
      <x:c r="Q154" s="1619"/>
      <x:c r="R154" s="1619"/>
      <x:c r="S154" s="1619"/>
      <x:c r="T154" s="1619"/>
      <x:c r="U154" s="1619"/>
      <x:c r="V154" s="1619"/>
      <x:c r="W154" s="1619"/>
      <x:c r="X154" s="1619"/>
      <x:c r="Y154" s="1619"/>
      <x:c r="Z154" s="1622" t="e">
        <x:f>HYPERLINK("#'山海经原文总库'!A1829","查看对应原文段落")</x:f>
        <x:v>HYPERLINK is not implemented. linkLocation=#'山海经原文总库'!A1829, friendlyName=查看对应原文段落</x:v>
      </x:c>
      <x:c r="AA154" s="1619"/>
      <x:c r="AB154" s="1619"/>
      <x:c r="AC154" s="1619"/>
      <x:c r="AD154" s="1619"/>
      <x:c r="AE154" s="1619"/>
      <x:c r="AF154" s="1619"/>
      <x:c r="AG154" s="1619"/>
      <x:c r="AH154" s="1619" t="str">
        <x:v>本行是关系区域，不是另一片确定独立的流沙。</x:v>
      </x:c>
      <x:c r="AI154" s="1619" t="str">
        <x:v>V030以卷十八局部关系建立拓扑对象R154；坐标仅用于在专用模块带内区分对象。</x:v>
      </x:c>
      <x:c r="AJ154" s="1619" t="str">
        <x:v>https://ctext.org/shan-hai-jing/hai-nei-jing/zh
https://zh.wikisource.org/zh-hans/山海經/海內經</x:v>
      </x:c>
    </x:row>
    <x:row r="155" ht="103.5" customHeight="1">
      <x:c r="A155" s="1620" t="str">
        <x:v>X=-4780里，Y=-300里（-47.8，-3格）</x:v>
      </x:c>
      <x:c r="B155" s="1621" t="str">
        <x:v>沮叶国</x:v>
      </x:c>
      <x:c r="C155" s="1619" t="str">
        <x:v>国家／族群</x:v>
      </x:c>
      <x:c r="D155" s="1619" t="str">
        <x:v>《海内经》</x:v>
      </x:c>
      <x:c r="E155" s="1619" t="str">
        <x:v>卷十八西海—流沙拓扑模块</x:v>
      </x:c>
      <x:c r="F155" s="1619" t="str">
        <x:v>未锚定拓扑模块／纯排版方向</x:v>
      </x:c>
      <x:c r="G155" s="1619"/>
      <x:c r="H155" s="1619" t="str">
        <x:v>直接参照地：西海之内、流沙之西
原文关系：流沙之西有国名曰沮叶</x:v>
      </x:c>
      <x:c r="I155" s="1619" t="str">
        <x:v>无里数</x:v>
      </x:c>
      <x:c r="J155" s="1619" t="str">
        <x:v>卷内局部拓扑＋主棋盘专用排版坐标（非绝对里数）</x:v>
      </x:c>
      <x:c r="K155" s="1619" t="str">
        <x:v>原文内部关系锁定；与都广、昆仑及其他卷的绝对方向和距离未锁
V030：以专用拓扑带完成卷内闭合，不得把坐标值解释为真实里数</x:v>
      </x:c>
      <x:c r="L155" s="1619" t="str">
        <x:v>局部拓扑对象；主格只作模块索引，不代表国域、山体、水域或事件范围</x:v>
      </x:c>
      <x:c r="M155" s="1619"/>
      <x:c r="N155" s="1619"/>
      <x:c r="O155" s="1619"/>
      <x:c r="P155" s="1619"/>
      <x:c r="Q155" s="1619"/>
      <x:c r="R155" s="1619"/>
      <x:c r="S155" s="1619"/>
      <x:c r="T155" s="1619"/>
      <x:c r="U155" s="1619"/>
      <x:c r="V155" s="1619" t="str">
        <x:v>沮叶国居民</x:v>
      </x:c>
      <x:c r="W155" s="1619"/>
      <x:c r="X155" s="1619"/>
      <x:c r="Y155" s="1619"/>
      <x:c r="Z155" s="1622" t="e">
        <x:f>HYPERLINK("#'山海经原文总库'!A1830","查看对应原文段落")</x:f>
        <x:v>HYPERLINK is not implemented. linkLocation=#'山海经原文总库'!A1830, friendlyName=查看对应原文段落</x:v>
      </x:c>
      <x:c r="AA155" s="1619"/>
      <x:c r="AB155" s="1619"/>
      <x:c r="AC155" s="1619"/>
      <x:c r="AD155" s="1619"/>
      <x:c r="AE155" s="1619"/>
      <x:c r="AF155" s="1619"/>
      <x:c r="AG155" s="1619"/>
      <x:c r="AH155" s="1619" t="str">
        <x:v>本行坐标属于卷内拓扑排版，不得据此推算与都广、昆仑或现实地理的距离。</x:v>
      </x:c>
      <x:c r="AI155" s="1619" t="str">
        <x:v>V030以卷十八局部关系建立拓扑对象R155；坐标仅用于在专用模块带内区分对象。</x:v>
      </x:c>
      <x:c r="AJ155" s="1619" t="str">
        <x:v>https://ctext.org/shan-hai-jing/hai-nei-jing/zh
https://zh.wikisource.org/zh-hans/山海經/海內經</x:v>
      </x:c>
    </x:row>
    <x:row r="156" ht="103.5" customHeight="1">
      <x:c r="A156" s="1620" t="str">
        <x:v>X=-4680里，Y=-300里（-46.8，-3格）</x:v>
      </x:c>
      <x:c r="B156" s="1621" t="str">
        <x:v>鸟山（卷十八流沙西层）</x:v>
      </x:c>
      <x:c r="C156" s="1619" t="str">
        <x:v>山／矿物流域</x:v>
      </x:c>
      <x:c r="D156" s="1619" t="str">
        <x:v>《海内经》</x:v>
      </x:c>
      <x:c r="E156" s="1619" t="str">
        <x:v>卷十八西海—流沙拓扑模块</x:v>
      </x:c>
      <x:c r="F156" s="1619" t="str">
        <x:v>未锚定拓扑模块／纯排版方向</x:v>
      </x:c>
      <x:c r="G156" s="1619"/>
      <x:c r="H156" s="1619" t="str">
        <x:v>直接参照地：流沙之西、三水
原文关系：流沙之西有鸟山，三水出焉</x:v>
      </x:c>
      <x:c r="I156" s="1619" t="str">
        <x:v>无里数</x:v>
      </x:c>
      <x:c r="J156" s="1619" t="str">
        <x:v>卷内局部拓扑＋主棋盘专用排版坐标（非绝对里数）</x:v>
      </x:c>
      <x:c r="K156" s="1619" t="str">
        <x:v>原文内部关系锁定；与都广、昆仑及其他卷的绝对方向和距离未锁
V030：以专用拓扑带完成卷内闭合，不得把坐标值解释为真实里数</x:v>
      </x:c>
      <x:c r="L156" s="1619" t="str">
        <x:v>局部拓扑对象；主格只作模块索引，不代表国域、山体、水域或事件范围</x:v>
      </x:c>
      <x:c r="M156" s="1619" t="str">
        <x:v>山体</x:v>
      </x:c>
      <x:c r="N156" s="1619" t="str">
        <x:v>三水从山中发源</x:v>
      </x:c>
      <x:c r="O156" s="1619"/>
      <x:c r="P156" s="1619"/>
      <x:c r="Q156" s="1619" t="str">
        <x:v>黄金、璇瑰、丹货、银铁皆流于三水之中</x:v>
      </x:c>
      <x:c r="R156" s="1619"/>
      <x:c r="S156" s="1619"/>
      <x:c r="T156" s="1619"/>
      <x:c r="U156" s="1619"/>
      <x:c r="V156" s="1619"/>
      <x:c r="W156" s="1619"/>
      <x:c r="X156" s="1619"/>
      <x:c r="Y156" s="1619" t="str">
        <x:v>三水发源</x:v>
      </x:c>
      <x:c r="Z156" s="1622" t="e">
        <x:f>HYPERLINK("#'山海经原文总库'!A1832","查看对应原文段落")</x:f>
        <x:v>HYPERLINK is not implemented. linkLocation=#'山海经原文总库'!A1832, friendlyName=查看对应原文段落</x:v>
      </x:c>
      <x:c r="AA156" s="1619"/>
      <x:c r="AB156" s="1619"/>
      <x:c r="AC156" s="1619"/>
      <x:c r="AD156" s="1619"/>
      <x:c r="AE156" s="1619"/>
      <x:c r="AF156" s="1619"/>
      <x:c r="AG156" s="1619"/>
      <x:c r="AH156" s="1619" t="str">
        <x:v>本行坐标属于卷内拓扑排版，不得据此推算与都广、昆仑或现实地理的距离。</x:v>
      </x:c>
      <x:c r="AI156" s="1619" t="str">
        <x:v>V030以卷十八局部关系建立拓扑对象R156；坐标仅用于在专用模块带内区分对象。</x:v>
      </x:c>
      <x:c r="AJ156" s="1619" t="str">
        <x:v>https://ctext.org/shan-hai-jing/hai-nei-jing/zh
https://zh.wikisource.org/zh-hans/山海經/海內經</x:v>
      </x:c>
    </x:row>
    <x:row r="157" ht="103.5" customHeight="1">
      <x:c r="A157" s="1620" t="str">
        <x:v>X=-4660里，Y=-300里（-46.6，-3格）</x:v>
      </x:c>
      <x:c r="B157" s="1621" t="str">
        <x:v>三水（鸟山源流群）</x:v>
      </x:c>
      <x:c r="C157" s="1619" t="str">
        <x:v>水系／三条源流</x:v>
      </x:c>
      <x:c r="D157" s="1619" t="str">
        <x:v>《海内经》</x:v>
      </x:c>
      <x:c r="E157" s="1619" t="str">
        <x:v>卷十八西海—流沙拓扑模块</x:v>
      </x:c>
      <x:c r="F157" s="1619" t="str">
        <x:v>未锚定拓扑模块／纯排版方向</x:v>
      </x:c>
      <x:c r="G157" s="1619"/>
      <x:c r="H157" s="1619" t="str">
        <x:v>直接参照地：鸟山
原文关系：三水出于鸟山，黄金、璇瑰、丹货、银铁皆流其中</x:v>
      </x:c>
      <x:c r="I157" s="1619" t="str">
        <x:v>无里数</x:v>
      </x:c>
      <x:c r="J157" s="1619" t="str">
        <x:v>卷内局部拓扑＋主棋盘专用排版坐标（非绝对里数）</x:v>
      </x:c>
      <x:c r="K157" s="1619" t="str">
        <x:v>原文内部关系锁定；与都广、昆仑及其他卷的绝对方向和距离未锁
V030：以专用拓扑带完成卷内闭合，不得把坐标值解释为真实里数</x:v>
      </x:c>
      <x:c r="L157" s="1619" t="str">
        <x:v>局部拓扑对象；主格只作模块索引，不代表国域、山体、水域或事件范围</x:v>
      </x:c>
      <x:c r="M157" s="1619"/>
      <x:c r="N157" s="1619" t="str">
        <x:v>三条从鸟山发源的水流</x:v>
      </x:c>
      <x:c r="O157" s="1619"/>
      <x:c r="P157" s="1619"/>
      <x:c r="Q157" s="1619" t="str">
        <x:v>黄金、璇瑰、丹货、银铁</x:v>
      </x:c>
      <x:c r="R157" s="1619"/>
      <x:c r="S157" s="1619"/>
      <x:c r="T157" s="1619"/>
      <x:c r="U157" s="1619"/>
      <x:c r="V157" s="1619"/>
      <x:c r="W157" s="1619"/>
      <x:c r="X157" s="1619"/>
      <x:c r="Y157" s="1619"/>
      <x:c r="Z157" s="1622" t="e">
        <x:f>HYPERLINK("#'山海经原文总库'!A1833","查看对应原文段落")</x:f>
        <x:v>HYPERLINK is not implemented. linkLocation=#'山海经原文总库'!A1833, friendlyName=查看对应原文段落</x:v>
      </x:c>
      <x:c r="AA157" s="1619"/>
      <x:c r="AB157" s="1619"/>
      <x:c r="AC157" s="1619"/>
      <x:c r="AD157" s="1619"/>
      <x:c r="AE157" s="1619"/>
      <x:c r="AF157" s="1619"/>
      <x:c r="AG157" s="1619"/>
      <x:c r="AH157" s="1619" t="str">
        <x:v>“三水”首先是数量为三的水流群，不能无证据合并成一条名为三水的河。</x:v>
      </x:c>
      <x:c r="AI157" s="1619" t="str">
        <x:v>V030以卷十八局部关系建立拓扑对象R157；坐标仅用于在专用模块带内区分对象。</x:v>
      </x:c>
      <x:c r="AJ157" s="1619" t="str">
        <x:v>https://ctext.org/shan-hai-jing/hai-nei-jing/zh
https://zh.wikisource.org/zh-hans/山海經/海內經</x:v>
      </x:c>
    </x:row>
    <x:row r="158" ht="103.5" customHeight="1">
      <x:c r="A158" s="1620" t="str">
        <x:v>X=-4580里，Y=-300里（-45.8，-3格）</x:v>
      </x:c>
      <x:c r="B158" s="1621" t="str">
        <x:v>淮山（卷十八流沙西层）</x:v>
      </x:c>
      <x:c r="C158" s="1619" t="str">
        <x:v>山／好水源山</x:v>
      </x:c>
      <x:c r="D158" s="1619" t="str">
        <x:v>《海内经》</x:v>
      </x:c>
      <x:c r="E158" s="1619" t="str">
        <x:v>卷十八西海—流沙拓扑模块</x:v>
      </x:c>
      <x:c r="F158" s="1619" t="str">
        <x:v>未锚定拓扑模块／纯排版方向</x:v>
      </x:c>
      <x:c r="G158" s="1619"/>
      <x:c r="H158" s="1619" t="str">
        <x:v>直接参照地：流沙之西、好水
原文关系：又有淮山，好水出焉</x:v>
      </x:c>
      <x:c r="I158" s="1619" t="str">
        <x:v>无里数</x:v>
      </x:c>
      <x:c r="J158" s="1619" t="str">
        <x:v>卷内局部拓扑＋主棋盘专用排版坐标（非绝对里数）</x:v>
      </x:c>
      <x:c r="K158" s="1619" t="str">
        <x:v>原文内部关系锁定；与都广、昆仑及其他卷的绝对方向和距离未锁
V030：以专用拓扑带完成卷内闭合，不得把坐标值解释为真实里数</x:v>
      </x:c>
      <x:c r="L158" s="1619" t="str">
        <x:v>局部拓扑对象；主格只作模块索引，不代表国域、山体、水域或事件范围</x:v>
      </x:c>
      <x:c r="M158" s="1619" t="str">
        <x:v>山体</x:v>
      </x:c>
      <x:c r="N158" s="1619" t="str">
        <x:v>好水发源</x:v>
      </x:c>
      <x:c r="O158" s="1619"/>
      <x:c r="P158" s="1619"/>
      <x:c r="Q158" s="1619"/>
      <x:c r="R158" s="1619"/>
      <x:c r="S158" s="1619"/>
      <x:c r="T158" s="1619"/>
      <x:c r="U158" s="1619"/>
      <x:c r="V158" s="1619"/>
      <x:c r="W158" s="1619"/>
      <x:c r="X158" s="1619"/>
      <x:c r="Y158" s="1619"/>
      <x:c r="Z158" s="1622" t="e">
        <x:f>HYPERLINK("#'山海经原文总库'!A1834","查看对应原文段落")</x:f>
        <x:v>HYPERLINK is not implemented. linkLocation=#'山海经原文总库'!A1834, friendlyName=查看对应原文段落</x:v>
      </x:c>
      <x:c r="AA158" s="1619"/>
      <x:c r="AB158" s="1619"/>
      <x:c r="AC158" s="1619"/>
      <x:c r="AD158" s="1619"/>
      <x:c r="AE158" s="1619"/>
      <x:c r="AF158" s="1619"/>
      <x:c r="AG158" s="1619"/>
      <x:c r="AH158" s="1619" t="str">
        <x:v>本行坐标属于卷内拓扑排版，不得据此推算与都广、昆仑或现实地理的距离。</x:v>
      </x:c>
      <x:c r="AI158" s="1619" t="str">
        <x:v>V030以卷十八局部关系建立拓扑对象R158；坐标仅用于在专用模块带内区分对象。</x:v>
      </x:c>
      <x:c r="AJ158" s="1619" t="str">
        <x:v>https://ctext.org/shan-hai-jing/hai-nei-jing/zh
https://zh.wikisource.org/zh-hans/山海經/海內經</x:v>
      </x:c>
    </x:row>
    <x:row r="159" ht="103.5" customHeight="1">
      <x:c r="A159" s="1620" t="str">
        <x:v>X=-4560里，Y=-300里（-45.6，-3格）</x:v>
      </x:c>
      <x:c r="B159" s="1621" t="str">
        <x:v>好水（淮山源段）</x:v>
      </x:c>
      <x:c r="C159" s="1619" t="str">
        <x:v>水系／源点</x:v>
      </x:c>
      <x:c r="D159" s="1619" t="str">
        <x:v>《海内经》</x:v>
      </x:c>
      <x:c r="E159" s="1619" t="str">
        <x:v>卷十八西海—流沙拓扑模块</x:v>
      </x:c>
      <x:c r="F159" s="1619" t="str">
        <x:v>未锚定拓扑模块／纯排版方向</x:v>
      </x:c>
      <x:c r="G159" s="1619"/>
      <x:c r="H159" s="1619" t="str">
        <x:v>直接参照地：淮山
原文关系：好水出于淮山</x:v>
      </x:c>
      <x:c r="I159" s="1619" t="str">
        <x:v>无里数</x:v>
      </x:c>
      <x:c r="J159" s="1619" t="str">
        <x:v>卷内局部拓扑＋主棋盘专用排版坐标（非绝对里数）</x:v>
      </x:c>
      <x:c r="K159" s="1619" t="str">
        <x:v>原文内部关系锁定；与都广、昆仑及其他卷的绝对方向和距离未锁
V030：以专用拓扑带完成卷内闭合，不得把坐标值解释为真实里数</x:v>
      </x:c>
      <x:c r="L159" s="1619" t="str">
        <x:v>局部拓扑对象；主格只作模块索引，不代表国域、山体、水域或事件范围</x:v>
      </x:c>
      <x:c r="M159" s="1619"/>
      <x:c r="N159" s="1619" t="str">
        <x:v>好水源段</x:v>
      </x:c>
      <x:c r="O159" s="1619"/>
      <x:c r="P159" s="1619"/>
      <x:c r="Q159" s="1619"/>
      <x:c r="R159" s="1619"/>
      <x:c r="S159" s="1619"/>
      <x:c r="T159" s="1619"/>
      <x:c r="U159" s="1619"/>
      <x:c r="V159" s="1619"/>
      <x:c r="W159" s="1619"/>
      <x:c r="X159" s="1619"/>
      <x:c r="Y159" s="1619"/>
      <x:c r="Z159" s="1622" t="e">
        <x:f>HYPERLINK("#'山海经原文总库'!A1835","查看对应原文段落")</x:f>
        <x:v>HYPERLINK is not implemented. linkLocation=#'山海经原文总库'!A1835, friendlyName=查看对应原文段落</x:v>
      </x:c>
      <x:c r="AA159" s="1619"/>
      <x:c r="AB159" s="1619"/>
      <x:c r="AC159" s="1619"/>
      <x:c r="AD159" s="1619"/>
      <x:c r="AE159" s="1619"/>
      <x:c r="AF159" s="1619"/>
      <x:c r="AG159" s="1619"/>
      <x:c r="AH159" s="1619" t="str">
        <x:v>本行只锁定源点，不补造流向、入海口和水长。</x:v>
      </x:c>
      <x:c r="AI159" s="1619" t="str">
        <x:v>V030以卷十八局部关系建立拓扑对象R159；坐标仅用于在专用模块带内区分对象。</x:v>
      </x:c>
      <x:c r="AJ159" s="1619" t="str">
        <x:v>https://ctext.org/shan-hai-jing/hai-nei-jing/zh
https://zh.wikisource.org/zh-hans/山海經/海內經</x:v>
      </x:c>
    </x:row>
    <x:row r="160" ht="103.5" customHeight="1">
      <x:c r="A160" s="1620" t="str">
        <x:v>X=+300里，Y=-200里（+3，-2格）</x:v>
      </x:c>
      <x:c r="B160" s="1621" t="str">
        <x:v>禺中国</x:v>
      </x:c>
      <x:c r="C160" s="1619" t="str">
        <x:v>国家／族群</x:v>
      </x:c>
      <x:c r="D160" s="1619" t="str">
        <x:v>《海内经》</x:v>
      </x:c>
      <x:c r="E160" s="1619" t="str">
        <x:v>卷十八南方连续拓扑模块</x:v>
      </x:c>
      <x:c r="F160" s="1619" t="str">
        <x:v>未锚定拓扑模块／纯排版方向</x:v>
      </x:c>
      <x:c r="G160" s="1619"/>
      <x:c r="H160" s="1619" t="str">
        <x:v>直接参照地：列襄国、灵山
原文关系：有禺中之国，有列襄之国，有灵山</x:v>
      </x:c>
      <x:c r="I160" s="1619" t="str">
        <x:v>无里数</x:v>
      </x:c>
      <x:c r="J160" s="1619" t="str">
        <x:v>卷内局部拓扑＋主棋盘专用排版坐标（非绝对里数）</x:v>
      </x:c>
      <x:c r="K160" s="1619" t="str">
        <x:v>原文内部关系锁定；与都广、昆仑及其他卷的绝对方向和距离未锁
V030：以专用拓扑带完成卷内闭合，不得把坐标值解释为真实里数</x:v>
      </x:c>
      <x:c r="L160" s="1619" t="str">
        <x:v>局部拓扑对象；主格只作模块索引，不代表国域、山体、水域或事件范围</x:v>
      </x:c>
      <x:c r="M160" s="1619"/>
      <x:c r="N160" s="1619"/>
      <x:c r="O160" s="1619"/>
      <x:c r="P160" s="1619"/>
      <x:c r="Q160" s="1619"/>
      <x:c r="R160" s="1619"/>
      <x:c r="S160" s="1619"/>
      <x:c r="T160" s="1619"/>
      <x:c r="U160" s="1619"/>
      <x:c r="V160" s="1619" t="str">
        <x:v>禺中国居民</x:v>
      </x:c>
      <x:c r="W160" s="1619"/>
      <x:c r="X160" s="1619"/>
      <x:c r="Y160" s="1619"/>
      <x:c r="Z160" s="1622" t="e">
        <x:f>HYPERLINK("#'山海经原文总库'!A1857","查看对应原文段落")</x:f>
        <x:v>HYPERLINK is not implemented. linkLocation=#'山海经原文总库'!A1857, friendlyName=查看对应原文段落</x:v>
      </x:c>
      <x:c r="AA160" s="1619"/>
      <x:c r="AB160" s="1619"/>
      <x:c r="AC160" s="1619"/>
      <x:c r="AD160" s="1619"/>
      <x:c r="AE160" s="1619"/>
      <x:c r="AF160" s="1619"/>
      <x:c r="AG160" s="1619"/>
      <x:c r="AH160" s="1619" t="str">
        <x:v>本行坐标属于卷内拓扑排版，不得据此推算与都广、昆仑或现实地理的距离。</x:v>
      </x:c>
      <x:c r="AI160" s="1619" t="str">
        <x:v>V030以卷十八局部关系建立拓扑对象R160；坐标仅用于在专用模块带内区分对象。</x:v>
      </x:c>
      <x:c r="AJ160" s="1619" t="str">
        <x:v>https://ctext.org/shan-hai-jing/hai-nei-jing/zh
https://zh.wikisource.org/zh-hans/山海經/海內經</x:v>
      </x:c>
    </x:row>
    <x:row r="161" ht="103.5" customHeight="1">
      <x:c r="A161" s="1620" t="str">
        <x:v>X=+320里，Y=-200里（+3.2，-2格）</x:v>
      </x:c>
      <x:c r="B161" s="1621" t="str">
        <x:v>列襄国</x:v>
      </x:c>
      <x:c r="C161" s="1619" t="str">
        <x:v>国家／族群</x:v>
      </x:c>
      <x:c r="D161" s="1619" t="str">
        <x:v>《海内经》</x:v>
      </x:c>
      <x:c r="E161" s="1619" t="str">
        <x:v>卷十八南方连续拓扑模块</x:v>
      </x:c>
      <x:c r="F161" s="1619" t="str">
        <x:v>未锚定拓扑模块／纯排版方向</x:v>
      </x:c>
      <x:c r="G161" s="1619"/>
      <x:c r="H161" s="1619" t="str">
        <x:v>直接参照地：禺中国、灵山
原文关系：有列襄之国</x:v>
      </x:c>
      <x:c r="I161" s="1619" t="str">
        <x:v>无里数</x:v>
      </x:c>
      <x:c r="J161" s="1619" t="str">
        <x:v>卷内局部拓扑＋主棋盘专用排版坐标（非绝对里数）</x:v>
      </x:c>
      <x:c r="K161" s="1619" t="str">
        <x:v>原文内部关系锁定；与都广、昆仑及其他卷的绝对方向和距离未锁
V030：以专用拓扑带完成卷内闭合，不得把坐标值解释为真实里数</x:v>
      </x:c>
      <x:c r="L161" s="1619" t="str">
        <x:v>局部拓扑对象；主格只作模块索引，不代表国域、山体、水域或事件范围</x:v>
      </x:c>
      <x:c r="M161" s="1619"/>
      <x:c r="N161" s="1619"/>
      <x:c r="O161" s="1619"/>
      <x:c r="P161" s="1619"/>
      <x:c r="Q161" s="1619"/>
      <x:c r="R161" s="1619"/>
      <x:c r="S161" s="1619"/>
      <x:c r="T161" s="1619"/>
      <x:c r="U161" s="1619"/>
      <x:c r="V161" s="1619" t="str">
        <x:v>列襄国居民</x:v>
      </x:c>
      <x:c r="W161" s="1619"/>
      <x:c r="X161" s="1619"/>
      <x:c r="Y161" s="1619"/>
      <x:c r="Z161" s="1622" t="e">
        <x:f>HYPERLINK("#'山海经原文总库'!A1858","查看对应原文段落")</x:f>
        <x:v>HYPERLINK is not implemented. linkLocation=#'山海经原文总库'!A1858, friendlyName=查看对应原文段落</x:v>
      </x:c>
      <x:c r="AA161" s="1619"/>
      <x:c r="AB161" s="1619"/>
      <x:c r="AC161" s="1619"/>
      <x:c r="AD161" s="1619"/>
      <x:c r="AE161" s="1619"/>
      <x:c r="AF161" s="1619"/>
      <x:c r="AG161" s="1619"/>
      <x:c r="AH161" s="1619" t="str">
        <x:v>本行坐标属于卷内拓扑排版，不得据此推算与都广、昆仑或现实地理的距离。</x:v>
      </x:c>
      <x:c r="AI161" s="1619" t="str">
        <x:v>V030以卷十八局部关系建立拓扑对象R161；坐标仅用于在专用模块带内区分对象。</x:v>
      </x:c>
      <x:c r="AJ161" s="1619" t="str">
        <x:v>https://ctext.org/shan-hai-jing/hai-nei-jing/zh
https://zh.wikisource.org/zh-hans/山海經/海內經</x:v>
      </x:c>
    </x:row>
    <x:row r="162" ht="103.5" customHeight="1">
      <x:c r="A162" s="1620" t="str">
        <x:v>X=+340里，Y=-200里（+3.4，-2格）</x:v>
      </x:c>
      <x:c r="B162" s="1621" t="str">
        <x:v>灵山（蝡蛇居处层）</x:v>
      </x:c>
      <x:c r="C162" s="1619" t="str">
        <x:v>山／异蛇栖息地</x:v>
      </x:c>
      <x:c r="D162" s="1619" t="str">
        <x:v>《海内经》</x:v>
      </x:c>
      <x:c r="E162" s="1619" t="str">
        <x:v>卷十八南方连续拓扑模块</x:v>
      </x:c>
      <x:c r="F162" s="1619" t="str">
        <x:v>未锚定拓扑模块／纯排版方向</x:v>
      </x:c>
      <x:c r="G162" s="1619"/>
      <x:c r="H162" s="1619" t="str">
        <x:v>直接参照地：禺中国、列襄国、蝡蛇
原文关系：有灵山，赤蛇蝡蛇在木上，木食</x:v>
      </x:c>
      <x:c r="I162" s="1619" t="str">
        <x:v>无里数</x:v>
      </x:c>
      <x:c r="J162" s="1619" t="str">
        <x:v>卷内局部拓扑＋主棋盘专用排版坐标（非绝对里数）</x:v>
      </x:c>
      <x:c r="K162" s="1619" t="str">
        <x:v>原文内部关系锁定；与都广、昆仑及其他卷的绝对方向和距离未锁
V030：以专用拓扑带完成卷内闭合，不得把坐标值解释为真实里数</x:v>
      </x:c>
      <x:c r="L162" s="1619" t="str">
        <x:v>局部拓扑对象；主格只作模块索引，不代表国域、山体、水域或事件范围</x:v>
      </x:c>
      <x:c r="M162" s="1619" t="str">
        <x:v>山体／林木环境</x:v>
      </x:c>
      <x:c r="N162" s="1619"/>
      <x:c r="O162" s="1619"/>
      <x:c r="P162" s="1619"/>
      <x:c r="Q162" s="1619"/>
      <x:c r="R162" s="1619"/>
      <x:c r="S162" s="1619" t="str">
        <x:v>蝡蛇</x:v>
      </x:c>
      <x:c r="T162" s="1619"/>
      <x:c r="U162" s="1619"/>
      <x:c r="V162" s="1619"/>
      <x:c r="W162" s="1619"/>
      <x:c r="X162" s="1619"/>
      <x:c r="Y162" s="1619"/>
      <x:c r="Z162" s="1622" t="e">
        <x:f>HYPERLINK("#'山海经原文总库'!A1859","查看对应原文段落")</x:f>
        <x:v>HYPERLINK is not implemented. linkLocation=#'山海经原文总库'!A1859, friendlyName=查看对应原文段落</x:v>
      </x:c>
      <x:c r="AA162" s="1619"/>
      <x:c r="AB162" s="1619"/>
      <x:c r="AC162" s="1619"/>
      <x:c r="AD162" s="1619"/>
      <x:c r="AE162" s="1619"/>
      <x:c r="AF162" s="1619"/>
      <x:c r="AG162" s="1619"/>
      <x:c r="AH162" s="1619" t="str">
        <x:v>本行坐标属于卷内拓扑排版，不得据此推算与都广、昆仑或现实地理的距离。</x:v>
      </x:c>
      <x:c r="AI162" s="1619" t="str">
        <x:v>V030以卷十八局部关系建立拓扑对象R162；坐标仅用于在专用模块带内区分对象。</x:v>
      </x:c>
      <x:c r="AJ162" s="1619" t="str">
        <x:v>https://ctext.org/shan-hai-jing/hai-nei-jing/zh
https://zh.wikisource.org/zh-hans/山海經/海內經</x:v>
      </x:c>
    </x:row>
    <x:row r="163" ht="103.5" customHeight="1">
      <x:c r="A163" s="1620" t="str">
        <x:v>X=+340里，Y=-220里（+3.4，-2.2格）</x:v>
      </x:c>
      <x:c r="B163" s="1621" t="str">
        <x:v>蝡蛇</x:v>
      </x:c>
      <x:c r="C163" s="1619" t="str">
        <x:v>异蛇／灵山居者</x:v>
      </x:c>
      <x:c r="D163" s="1619" t="str">
        <x:v>《海内经》</x:v>
      </x:c>
      <x:c r="E163" s="1619" t="str">
        <x:v>卷十八南方连续拓扑模块</x:v>
      </x:c>
      <x:c r="F163" s="1619" t="str">
        <x:v>未锚定拓扑模块／纯排版方向</x:v>
      </x:c>
      <x:c r="G163" s="1619"/>
      <x:c r="H163" s="1619" t="str">
        <x:v>直接参照地：灵山
原文关系：赤蛇在木上，名曰蝡蛇，木食</x:v>
      </x:c>
      <x:c r="I163" s="1619" t="str">
        <x:v>无里数</x:v>
      </x:c>
      <x:c r="J163" s="1619" t="str">
        <x:v>卷内局部拓扑＋主棋盘专用排版坐标（非绝对里数）</x:v>
      </x:c>
      <x:c r="K163" s="1619" t="str">
        <x:v>原文内部关系锁定；与都广、昆仑及其他卷的绝对方向和距离未锁
V030：以专用拓扑带完成卷内闭合，不得把坐标值解释为真实里数</x:v>
      </x:c>
      <x:c r="L163" s="1619" t="str">
        <x:v>局部拓扑对象；主格只作模块索引，不代表国域、山体、水域或事件范围</x:v>
      </x:c>
      <x:c r="M163" s="1619"/>
      <x:c r="N163" s="1619"/>
      <x:c r="O163" s="1619"/>
      <x:c r="P163" s="1619"/>
      <x:c r="Q163" s="1619"/>
      <x:c r="R163" s="1619"/>
      <x:c r="S163" s="1619" t="str">
        <x:v>蝡蛇</x:v>
      </x:c>
      <x:c r="T163" s="1619"/>
      <x:c r="U163" s="1619"/>
      <x:c r="V163" s="1619"/>
      <x:c r="W163" s="1619" t="str">
        <x:v>赤蛇；在木上</x:v>
      </x:c>
      <x:c r="X163" s="1619" t="str">
        <x:v>木食</x:v>
      </x:c>
      <x:c r="Y163" s="1619"/>
      <x:c r="Z163" s="1622" t="e">
        <x:f>HYPERLINK("#'山海经原文总库'!A1860","查看对应原文段落")</x:f>
        <x:v>HYPERLINK is not implemented. linkLocation=#'山海经原文总库'!A1860, friendlyName=查看对应原文段落</x:v>
      </x:c>
      <x:c r="AA163" s="1619"/>
      <x:c r="AB163" s="1619"/>
      <x:c r="AC163" s="1619"/>
      <x:c r="AD163" s="1619"/>
      <x:c r="AE163" s="1619"/>
      <x:c r="AF163" s="1619"/>
      <x:c r="AG163" s="1619"/>
      <x:c r="AH163" s="1619" t="str">
        <x:v>蝡蛇以木为食，不等于其本体是树或木精。</x:v>
      </x:c>
      <x:c r="AI163" s="1619" t="str">
        <x:v>V030以卷十八局部关系建立拓扑对象R163；坐标仅用于在专用模块带内区分对象。</x:v>
      </x:c>
      <x:c r="AJ163" s="1619" t="str">
        <x:v>https://ctext.org/shan-hai-jing/hai-nei-jing/zh
https://zh.wikisource.org/zh-hans/山海經/海內經</x:v>
      </x:c>
    </x:row>
    <x:row r="164" ht="103.5" customHeight="1">
      <x:c r="A164" s="1620" t="str">
        <x:v>X=+400里，Y=-200里（+4，-2格）</x:v>
      </x:c>
      <x:c r="B164" s="1621" t="str">
        <x:v>盐长国</x:v>
      </x:c>
      <x:c r="C164" s="1619" t="str">
        <x:v>国家／族群</x:v>
      </x:c>
      <x:c r="D164" s="1619" t="str">
        <x:v>《海内经》</x:v>
      </x:c>
      <x:c r="E164" s="1619" t="str">
        <x:v>卷十八南方连续拓扑模块</x:v>
      </x:c>
      <x:c r="F164" s="1619" t="str">
        <x:v>未锚定拓扑模块／纯排版方向</x:v>
      </x:c>
      <x:c r="G164" s="1619"/>
      <x:c r="H164" s="1619" t="str">
        <x:v>直接参照地：鸟氏
原文关系：有盐长之国，有鸟首之人名鸟氏</x:v>
      </x:c>
      <x:c r="I164" s="1619" t="str">
        <x:v>无里数</x:v>
      </x:c>
      <x:c r="J164" s="1619" t="str">
        <x:v>卷内局部拓扑＋主棋盘专用排版坐标（非绝对里数）</x:v>
      </x:c>
      <x:c r="K164" s="1619" t="str">
        <x:v>原文内部关系锁定；与都广、昆仑及其他卷的绝对方向和距离未锁
V030：以专用拓扑带完成卷内闭合，不得把坐标值解释为真实里数</x:v>
      </x:c>
      <x:c r="L164" s="1619" t="str">
        <x:v>局部拓扑对象；主格只作模块索引，不代表国域、山体、水域或事件范围</x:v>
      </x:c>
      <x:c r="M164" s="1619"/>
      <x:c r="N164" s="1619"/>
      <x:c r="O164" s="1619"/>
      <x:c r="P164" s="1619"/>
      <x:c r="Q164" s="1619"/>
      <x:c r="R164" s="1619"/>
      <x:c r="S164" s="1619"/>
      <x:c r="T164" s="1619"/>
      <x:c r="U164" s="1619"/>
      <x:c r="V164" s="1619" t="str">
        <x:v>盐长国居民／鸟氏</x:v>
      </x:c>
      <x:c r="W164" s="1619"/>
      <x:c r="X164" s="1619"/>
      <x:c r="Y164" s="1619"/>
      <x:c r="Z164" s="1622" t="e">
        <x:f>HYPERLINK("#'山海经原文总库'!A1861","查看对应原文段落")</x:f>
        <x:v>HYPERLINK is not implemented. linkLocation=#'山海经原文总库'!A1861, friendlyName=查看对应原文段落</x:v>
      </x:c>
      <x:c r="AA164" s="1619"/>
      <x:c r="AB164" s="1619"/>
      <x:c r="AC164" s="1619"/>
      <x:c r="AD164" s="1619"/>
      <x:c r="AE164" s="1619"/>
      <x:c r="AF164" s="1619"/>
      <x:c r="AG164" s="1619"/>
      <x:c r="AH164" s="1619" t="str">
        <x:v>本行坐标属于卷内拓扑排版，不得据此推算与都广、昆仑或现实地理的距离。</x:v>
      </x:c>
      <x:c r="AI164" s="1619" t="str">
        <x:v>V030以卷十八局部关系建立拓扑对象R164；坐标仅用于在专用模块带内区分对象。</x:v>
      </x:c>
      <x:c r="AJ164" s="1619" t="str">
        <x:v>https://ctext.org/shan-hai-jing/hai-nei-jing/zh
https://zh.wikisource.org/zh-hans/山海經/海內經</x:v>
      </x:c>
    </x:row>
    <x:row r="165" ht="103.5" customHeight="1">
      <x:c r="A165" s="1620" t="str">
        <x:v>X=+420里，Y=-200里（+4.2，-2格）</x:v>
      </x:c>
      <x:c r="B165" s="1621" t="str">
        <x:v>鸟氏</x:v>
      </x:c>
      <x:c r="C165" s="1619" t="str">
        <x:v>人物／族类代表</x:v>
      </x:c>
      <x:c r="D165" s="1619" t="str">
        <x:v>《海内经》</x:v>
      </x:c>
      <x:c r="E165" s="1619" t="str">
        <x:v>卷十八南方连续拓扑模块</x:v>
      </x:c>
      <x:c r="F165" s="1619" t="str">
        <x:v>未锚定拓扑模块／纯排版方向</x:v>
      </x:c>
      <x:c r="G165" s="1619"/>
      <x:c r="H165" s="1619" t="str">
        <x:v>直接参照地：盐长国
原文关系：有人鸟首，名曰鸟氏</x:v>
      </x:c>
      <x:c r="I165" s="1619" t="str">
        <x:v>无里数</x:v>
      </x:c>
      <x:c r="J165" s="1619" t="str">
        <x:v>卷内局部拓扑＋主棋盘专用排版坐标（非绝对里数）</x:v>
      </x:c>
      <x:c r="K165" s="1619" t="str">
        <x:v>原文内部关系锁定；与都广、昆仑及其他卷的绝对方向和距离未锁
V030：以专用拓扑带完成卷内闭合，不得把坐标值解释为真实里数</x:v>
      </x:c>
      <x:c r="L165" s="1619" t="str">
        <x:v>局部拓扑对象；主格只作模块索引，不代表国域、山体、水域或事件范围</x:v>
      </x:c>
      <x:c r="M165" s="1619"/>
      <x:c r="N165" s="1619"/>
      <x:c r="O165" s="1619"/>
      <x:c r="P165" s="1619"/>
      <x:c r="Q165" s="1619"/>
      <x:c r="R165" s="1619"/>
      <x:c r="S165" s="1619"/>
      <x:c r="T165" s="1619" t="str">
        <x:v>鸟氏</x:v>
      </x:c>
      <x:c r="U165" s="1619"/>
      <x:c r="V165" s="1619"/>
      <x:c r="W165" s="1619" t="str">
        <x:v>鸟首</x:v>
      </x:c>
      <x:c r="X165" s="1619"/>
      <x:c r="Y165" s="1619"/>
      <x:c r="Z165" s="1622" t="e">
        <x:f>HYPERLINK("#'山海经原文总库'!A1862","查看对应原文段落")</x:f>
        <x:v>HYPERLINK is not implemented. linkLocation=#'山海经原文总库'!A1862, friendlyName=查看对应原文段落</x:v>
      </x:c>
      <x:c r="AA165" s="1619"/>
      <x:c r="AB165" s="1619"/>
      <x:c r="AC165" s="1619"/>
      <x:c r="AD165" s="1619"/>
      <x:c r="AE165" s="1619"/>
      <x:c r="AF165" s="1619"/>
      <x:c r="AG165" s="1619"/>
      <x:c r="AH165" s="1619" t="str">
        <x:v>“鸟氏”可能是氏族称谓或个体名，正文不足以定论。</x:v>
      </x:c>
      <x:c r="AI165" s="1619" t="str">
        <x:v>V030以卷十八局部关系建立拓扑对象R165；坐标仅用于在专用模块带内区分对象。</x:v>
      </x:c>
      <x:c r="AJ165" s="1619" t="str">
        <x:v>https://ctext.org/shan-hai-jing/hai-nei-jing/zh
https://zh.wikisource.org/zh-hans/山海經/海內經</x:v>
      </x:c>
    </x:row>
    <x:row r="166" ht="103.5" customHeight="1">
      <x:c r="A166" s="1620" t="str">
        <x:v>X=-100里，Y=-300里（-1，-3格）</x:v>
      </x:c>
      <x:c r="B166" s="1621" t="str">
        <x:v>巴国（卷十八西南层）</x:v>
      </x:c>
      <x:c r="C166" s="1619" t="str">
        <x:v>国家／族群</x:v>
      </x:c>
      <x:c r="D166" s="1619" t="str">
        <x:v>《海内经》</x:v>
      </x:c>
      <x:c r="E166" s="1619" t="str">
        <x:v>卷十八南方连续拓扑模块</x:v>
      </x:c>
      <x:c r="F166" s="1619" t="str">
        <x:v>未锚定拓扑模块／纯排版方向</x:v>
      </x:c>
      <x:c r="G166" s="1619"/>
      <x:c r="H166" s="1619" t="str">
        <x:v>直接参照地：都广及卷十八叙事中心
原文关系：西南有巴国</x:v>
      </x:c>
      <x:c r="I166" s="1619" t="str">
        <x:v>无里数</x:v>
      </x:c>
      <x:c r="J166" s="1619" t="str">
        <x:v>卷内局部拓扑＋主棋盘专用排版坐标（非绝对里数）</x:v>
      </x:c>
      <x:c r="K166" s="1619" t="str">
        <x:v>原文内部关系锁定；与都广、昆仑及其他卷的绝对方向和距离未锁
V030：以专用拓扑带完成卷内闭合，不得把坐标值解释为真实里数</x:v>
      </x:c>
      <x:c r="L166" s="1619" t="str">
        <x:v>局部拓扑对象；主格只作模块索引，不代表国域、山体、水域或事件范围</x:v>
      </x:c>
      <x:c r="M166" s="1619"/>
      <x:c r="N166" s="1619"/>
      <x:c r="O166" s="1619"/>
      <x:c r="P166" s="1619"/>
      <x:c r="Q166" s="1619"/>
      <x:c r="R166" s="1619"/>
      <x:c r="S166" s="1619"/>
      <x:c r="T166" s="1619"/>
      <x:c r="U166" s="1619"/>
      <x:c r="V166" s="1619" t="str">
        <x:v>巴人</x:v>
      </x:c>
      <x:c r="W166" s="1619"/>
      <x:c r="X166" s="1619"/>
      <x:c r="Y166" s="1619" t="str">
        <x:v>后照始为巴人</x:v>
      </x:c>
      <x:c r="Z166" s="1622" t="e">
        <x:f>HYPERLINK("#'山海经原文总库'!A1877","查看对应原文段落")</x:f>
        <x:v>HYPERLINK is not implemented. linkLocation=#'山海经原文总库'!A1877, friendlyName=查看对应原文段落</x:v>
      </x:c>
      <x:c r="AA166" s="1619"/>
      <x:c r="AB166" s="1619"/>
      <x:c r="AC166" s="1619"/>
      <x:c r="AD166" s="1619"/>
      <x:c r="AE166" s="1619"/>
      <x:c r="AF166" s="1619"/>
      <x:c r="AG166" s="1619"/>
      <x:c r="AH166" s="1619" t="str">
        <x:v>只锁定“西南”方向，不以本布局坐标作为与都广的实际距离。</x:v>
      </x:c>
      <x:c r="AI166" s="1619" t="str">
        <x:v>V030以卷十八局部关系建立拓扑对象R166；坐标仅用于在专用模块带内区分对象。</x:v>
      </x:c>
      <x:c r="AJ166" s="1619" t="str">
        <x:v>https://ctext.org/shan-hai-jing/hai-nei-jing/zh
https://zh.wikisource.org/zh-hans/山海經/海內經</x:v>
      </x:c>
    </x:row>
    <x:row r="167" ht="103.5" customHeight="1">
      <x:c r="A167" s="1620" t="str">
        <x:v>X=+430里，Y=-200里（+4.3，-2格）</x:v>
      </x:c>
      <x:c r="B167" s="1621" t="str">
        <x:v>朱卷国</x:v>
      </x:c>
      <x:c r="C167" s="1619" t="str">
        <x:v>国家／族群</x:v>
      </x:c>
      <x:c r="D167" s="1619" t="str">
        <x:v>《海内经》</x:v>
      </x:c>
      <x:c r="E167" s="1619" t="str">
        <x:v>卷十八南方连续拓扑模块</x:v>
      </x:c>
      <x:c r="F167" s="1619" t="str">
        <x:v>未锚定拓扑模块／纯排版方向</x:v>
      </x:c>
      <x:c r="G167" s="1619"/>
      <x:c r="H167" s="1619" t="str">
        <x:v>直接参照地：黑蛇
原文关系：又有朱卷之国，有黑蛇青首食象</x:v>
      </x:c>
      <x:c r="I167" s="1619" t="str">
        <x:v>无里数</x:v>
      </x:c>
      <x:c r="J167" s="1619" t="str">
        <x:v>卷内局部拓扑＋主棋盘专用排版坐标（非绝对里数）</x:v>
      </x:c>
      <x:c r="K167" s="1619" t="str">
        <x:v>原文内部关系锁定；与都广、昆仑及其他卷的绝对方向和距离未锁
V030：以专用拓扑带完成卷内闭合，不得把坐标值解释为真实里数</x:v>
      </x:c>
      <x:c r="L167" s="1619" t="str">
        <x:v>局部拓扑对象；主格只作模块索引，不代表国域、山体、水域或事件范围</x:v>
      </x:c>
      <x:c r="M167" s="1619"/>
      <x:c r="N167" s="1619"/>
      <x:c r="O167" s="1619"/>
      <x:c r="P167" s="1619"/>
      <x:c r="Q167" s="1619"/>
      <x:c r="R167" s="1619"/>
      <x:c r="S167" s="1619" t="str">
        <x:v>黑蛇</x:v>
      </x:c>
      <x:c r="T167" s="1619"/>
      <x:c r="U167" s="1619"/>
      <x:c r="V167" s="1619" t="str">
        <x:v>朱卷国居民</x:v>
      </x:c>
      <x:c r="W167" s="1619"/>
      <x:c r="X167" s="1619"/>
      <x:c r="Y167" s="1619"/>
      <x:c r="Z167" s="1622" t="e">
        <x:f>HYPERLINK("#'山海经原文总库'!A1881","查看对应原文段落")</x:f>
        <x:v>HYPERLINK is not implemented. linkLocation=#'山海经原文总库'!A1881, friendlyName=查看对应原文段落</x:v>
      </x:c>
      <x:c r="AA167" s="1619"/>
      <x:c r="AB167" s="1619"/>
      <x:c r="AC167" s="1619"/>
      <x:c r="AD167" s="1619"/>
      <x:c r="AE167" s="1619"/>
      <x:c r="AF167" s="1619"/>
      <x:c r="AG167" s="1619"/>
      <x:c r="AH167" s="1619" t="str">
        <x:v>本行坐标属于卷内拓扑排版，不得据此推算与都广、昆仑或现实地理的距离。</x:v>
      </x:c>
      <x:c r="AI167" s="1619" t="str">
        <x:v>V030以卷十八局部关系建立拓扑对象R167；坐标仅用于在专用模块带内区分对象。</x:v>
      </x:c>
      <x:c r="AJ167" s="1619" t="str">
        <x:v>https://ctext.org/shan-hai-jing/hai-nei-jing/zh
https://zh.wikisource.org/zh-hans/山海經/海內經</x:v>
      </x:c>
    </x:row>
    <x:row r="168" ht="103.5" customHeight="1">
      <x:c r="A168" s="1620" t="str">
        <x:v>X=+440里，Y=-200里（+4.4，-2格）</x:v>
      </x:c>
      <x:c r="B168" s="1621" t="str">
        <x:v>黑蛇（朱卷国层）</x:v>
      </x:c>
      <x:c r="C168" s="1619" t="str">
        <x:v>异蛇／食象者</x:v>
      </x:c>
      <x:c r="D168" s="1619" t="str">
        <x:v>《海内经》</x:v>
      </x:c>
      <x:c r="E168" s="1619" t="str">
        <x:v>卷十八南方连续拓扑模块</x:v>
      </x:c>
      <x:c r="F168" s="1619" t="str">
        <x:v>未锚定拓扑模块／纯排版方向</x:v>
      </x:c>
      <x:c r="G168" s="1619"/>
      <x:c r="H168" s="1619" t="str">
        <x:v>直接参照地：朱卷国
原文关系：黑蛇，青首，食象</x:v>
      </x:c>
      <x:c r="I168" s="1619" t="str">
        <x:v>无里数</x:v>
      </x:c>
      <x:c r="J168" s="1619" t="str">
        <x:v>卷内局部拓扑＋主棋盘专用排版坐标（非绝对里数）</x:v>
      </x:c>
      <x:c r="K168" s="1619" t="str">
        <x:v>原文内部关系锁定；与都广、昆仑及其他卷的绝对方向和距离未锁
V030：以专用拓扑带完成卷内闭合，不得把坐标值解释为真实里数</x:v>
      </x:c>
      <x:c r="L168" s="1619" t="str">
        <x:v>局部拓扑对象；主格只作模块索引，不代表国域、山体、水域或事件范围</x:v>
      </x:c>
      <x:c r="M168" s="1619"/>
      <x:c r="N168" s="1619"/>
      <x:c r="O168" s="1619"/>
      <x:c r="P168" s="1619"/>
      <x:c r="Q168" s="1619"/>
      <x:c r="R168" s="1619"/>
      <x:c r="S168" s="1619" t="str">
        <x:v>黑蛇</x:v>
      </x:c>
      <x:c r="T168" s="1619"/>
      <x:c r="U168" s="1619"/>
      <x:c r="V168" s="1619"/>
      <x:c r="W168" s="1619" t="str">
        <x:v>黑身、青首</x:v>
      </x:c>
      <x:c r="X168" s="1619" t="str">
        <x:v>食象</x:v>
      </x:c>
      <x:c r="Y168" s="1619"/>
      <x:c r="Z168" s="1622" t="e">
        <x:f>HYPERLINK("#'山海经原文总库'!A1882","查看对应原文段落")</x:f>
        <x:v>HYPERLINK is not implemented. linkLocation=#'山海经原文总库'!A1882, friendlyName=查看对应原文段落</x:v>
      </x:c>
      <x:c r="AA168" s="1619"/>
      <x:c r="AB168" s="1619"/>
      <x:c r="AC168" s="1619"/>
      <x:c r="AD168" s="1619"/>
      <x:c r="AE168" s="1619"/>
      <x:c r="AF168" s="1619"/>
      <x:c r="AG168" s="1619"/>
      <x:c r="AH168" s="1619" t="str">
        <x:v>本行坐标属于卷内拓扑排版，不得据此推算与都广、昆仑或现实地理的距离。</x:v>
      </x:c>
      <x:c r="AI168" s="1619" t="str">
        <x:v>V030以卷十八局部关系建立拓扑对象R168；坐标仅用于在专用模块带内区分对象。</x:v>
      </x:c>
      <x:c r="AJ168" s="1619" t="str">
        <x:v>https://ctext.org/shan-hai-jing/hai-nei-jing/zh
https://zh.wikisource.org/zh-hans/山海經/海內經</x:v>
      </x:c>
    </x:row>
    <x:row r="169" ht="103.5" customHeight="1">
      <x:c r="A169" s="1620" t="str">
        <x:v>X=+500里，Y=-300里（+5，-3格）</x:v>
      </x:c>
      <x:c r="B169" s="1621" t="str">
        <x:v>南方（赣巨人区域层）</x:v>
      </x:c>
      <x:c r="C169" s="1619" t="str">
        <x:v>区域限定</x:v>
      </x:c>
      <x:c r="D169" s="1619" t="str">
        <x:v>《海内经》</x:v>
      </x:c>
      <x:c r="E169" s="1619" t="str">
        <x:v>卷十八南方异民拓扑模块</x:v>
      </x:c>
      <x:c r="F169" s="1619" t="str">
        <x:v>未锚定拓扑模块／纯排版方向</x:v>
      </x:c>
      <x:c r="G169" s="1619"/>
      <x:c r="H169" s="1619" t="str">
        <x:v>直接参照地：赣巨人
原文关系：南方有赣巨人</x:v>
      </x:c>
      <x:c r="I169" s="1619" t="str">
        <x:v>无里数</x:v>
      </x:c>
      <x:c r="J169" s="1619" t="str">
        <x:v>卷内局部拓扑＋主棋盘专用排版坐标（非绝对里数）</x:v>
      </x:c>
      <x:c r="K169" s="1619" t="str">
        <x:v>原文内部关系锁定；与都广、昆仑及其他卷的绝对方向和距离未锁
V030：以专用拓扑带完成卷内闭合，不得把坐标值解释为真实里数</x:v>
      </x:c>
      <x:c r="L169" s="1619" t="str">
        <x:v>局部拓扑对象；主格只作模块索引，不代表国域、山体、水域或事件范围</x:v>
      </x:c>
      <x:c r="M169" s="1619" t="str">
        <x:v>南方区域层</x:v>
      </x:c>
      <x:c r="N169" s="1619"/>
      <x:c r="O169" s="1619"/>
      <x:c r="P169" s="1619"/>
      <x:c r="Q169" s="1619"/>
      <x:c r="R169" s="1619"/>
      <x:c r="S169" s="1619"/>
      <x:c r="T169" s="1619"/>
      <x:c r="U169" s="1619"/>
      <x:c r="V169" s="1619"/>
      <x:c r="W169" s="1619"/>
      <x:c r="X169" s="1619"/>
      <x:c r="Y169" s="1619"/>
      <x:c r="Z169" s="1622" t="e">
        <x:f>HYPERLINK("#'山海经原文总库'!A1883","查看对应原文段落")</x:f>
        <x:v>HYPERLINK is not implemented. linkLocation=#'山海经原文总库'!A1883, friendlyName=查看对应原文段落</x:v>
      </x:c>
      <x:c r="AA169" s="1619"/>
      <x:c r="AB169" s="1619"/>
      <x:c r="AC169" s="1619"/>
      <x:c r="AD169" s="1619"/>
      <x:c r="AE169" s="1619"/>
      <x:c r="AF169" s="1619"/>
      <x:c r="AG169" s="1619"/>
      <x:c r="AH169" s="1619" t="str">
        <x:v>本行坐标属于卷内拓扑排版，不得据此推算与都广、昆仑或现实地理的距离。</x:v>
      </x:c>
      <x:c r="AI169" s="1619" t="str">
        <x:v>V030以卷十八局部关系建立拓扑对象R169；坐标仅用于在专用模块带内区分对象。</x:v>
      </x:c>
      <x:c r="AJ169" s="1619" t="str">
        <x:v>https://ctext.org/shan-hai-jing/hai-nei-jing/zh
https://zh.wikisource.org/zh-hans/山海經/海內經</x:v>
      </x:c>
    </x:row>
    <x:row r="170" ht="103.5" customHeight="1">
      <x:c r="A170" s="1620" t="str">
        <x:v>X=+480里，Y=-290里（+4.8，-2.9格）</x:v>
      </x:c>
      <x:c r="B170" s="1621" t="str">
        <x:v>赣巨人</x:v>
      </x:c>
      <x:c r="C170" s="1619" t="str">
        <x:v>巨人／异民</x:v>
      </x:c>
      <x:c r="D170" s="1619" t="str">
        <x:v>《海内经》</x:v>
      </x:c>
      <x:c r="E170" s="1619" t="str">
        <x:v>卷十八南方异民拓扑模块</x:v>
      </x:c>
      <x:c r="F170" s="1619" t="str">
        <x:v>未锚定拓扑模块／纯排版方向</x:v>
      </x:c>
      <x:c r="G170" s="1619"/>
      <x:c r="H170" s="1619" t="str">
        <x:v>直接参照地：南方区域层
原文关系：南方有赣巨人</x:v>
      </x:c>
      <x:c r="I170" s="1619" t="str">
        <x:v>无里数</x:v>
      </x:c>
      <x:c r="J170" s="1619" t="str">
        <x:v>卷内局部拓扑＋主棋盘专用排版坐标（非绝对里数）</x:v>
      </x:c>
      <x:c r="K170" s="1619" t="str">
        <x:v>原文内部关系锁定；与都广、昆仑及其他卷的绝对方向和距离未锁
V030：以专用拓扑带完成卷内闭合，不得把坐标值解释为真实里数</x:v>
      </x:c>
      <x:c r="L170" s="1619" t="str">
        <x:v>局部拓扑对象；主格只作模块索引，不代表国域、山体、水域或事件范围</x:v>
      </x:c>
      <x:c r="M170" s="1619"/>
      <x:c r="N170" s="1619"/>
      <x:c r="O170" s="1619"/>
      <x:c r="P170" s="1619"/>
      <x:c r="Q170" s="1619"/>
      <x:c r="R170" s="1619"/>
      <x:c r="S170" s="1619"/>
      <x:c r="T170" s="1619"/>
      <x:c r="U170" s="1619"/>
      <x:c r="V170" s="1619" t="str">
        <x:v>赣巨人</x:v>
      </x:c>
      <x:c r="W170" s="1619" t="str">
        <x:v>人面长臂，黑身有毛，反踵；见人笑亦笑，唇蔽其面</x:v>
      </x:c>
      <x:c r="X170" s="1619" t="str">
        <x:v>见人即笑，随后逃走</x:v>
      </x:c>
      <x:c r="Y170" s="1619"/>
      <x:c r="Z170" s="1622" t="e">
        <x:f>HYPERLINK("#'山海经原文总库'!A1884","查看对应原文段落")</x:f>
        <x:v>HYPERLINK is not implemented. linkLocation=#'山海经原文总库'!A1884, friendlyName=查看对应原文段落</x:v>
      </x:c>
      <x:c r="AA170" s="1619"/>
      <x:c r="AB170" s="1619"/>
      <x:c r="AC170" s="1619"/>
      <x:c r="AD170" s="1619"/>
      <x:c r="AE170" s="1619"/>
      <x:c r="AF170" s="1619"/>
      <x:c r="AG170" s="1619"/>
      <x:c r="AH170" s="1619" t="str">
        <x:v>本行坐标属于卷内拓扑排版，不得据此推算与都广、昆仑或现实地理的距离。</x:v>
      </x:c>
      <x:c r="AI170" s="1619" t="str">
        <x:v>V030以卷十八局部关系建立拓扑对象R170；坐标仅用于在专用模块带内区分对象。</x:v>
      </x:c>
      <x:c r="AJ170" s="1619" t="str">
        <x:v>https://ctext.org/shan-hai-jing/hai-nei-jing/zh
https://zh.wikisource.org/zh-hans/山海經/海內經</x:v>
      </x:c>
    </x:row>
    <x:row r="171" ht="103.5" customHeight="1">
      <x:c r="A171" s="1620" t="str">
        <x:v>X=+480里，Y=-310里（+4.8，-3.1格）</x:v>
      </x:c>
      <x:c r="B171" s="1621" t="str">
        <x:v>嬴民</x:v>
      </x:c>
      <x:c r="C171" s="1619" t="str">
        <x:v>族群／鸟足之民</x:v>
      </x:c>
      <x:c r="D171" s="1619" t="str">
        <x:v>《海内经》</x:v>
      </x:c>
      <x:c r="E171" s="1619" t="str">
        <x:v>卷十八南方异民拓扑模块</x:v>
      </x:c>
      <x:c r="F171" s="1619" t="str">
        <x:v>未锚定拓扑模块／纯排版方向</x:v>
      </x:c>
      <x:c r="G171" s="1619"/>
      <x:c r="H171" s="1619" t="str">
        <x:v>直接参照地：黑人、封豕
原文关系：有嬴民，鸟足</x:v>
      </x:c>
      <x:c r="I171" s="1619" t="str">
        <x:v>无里数</x:v>
      </x:c>
      <x:c r="J171" s="1619" t="str">
        <x:v>卷内局部拓扑＋主棋盘专用排版坐标（非绝对里数）</x:v>
      </x:c>
      <x:c r="K171" s="1619" t="str">
        <x:v>原文内部关系锁定；与都广、昆仑及其他卷的绝对方向和距离未锁
V030：以专用拓扑带完成卷内闭合，不得把坐标值解释为真实里数</x:v>
      </x:c>
      <x:c r="L171" s="1619" t="str">
        <x:v>局部拓扑对象；主格只作模块索引，不代表国域、山体、水域或事件范围</x:v>
      </x:c>
      <x:c r="M171" s="1619"/>
      <x:c r="N171" s="1619"/>
      <x:c r="O171" s="1619"/>
      <x:c r="P171" s="1619"/>
      <x:c r="Q171" s="1619"/>
      <x:c r="R171" s="1619"/>
      <x:c r="S171" s="1619"/>
      <x:c r="T171" s="1619"/>
      <x:c r="U171" s="1619"/>
      <x:c r="V171" s="1619" t="str">
        <x:v>嬴民</x:v>
      </x:c>
      <x:c r="W171" s="1619" t="str">
        <x:v>鸟足</x:v>
      </x:c>
      <x:c r="X171" s="1619"/>
      <x:c r="Y171" s="1619"/>
      <x:c r="Z171" s="1622" t="e">
        <x:f>HYPERLINK("#'山海经原文总库'!A1886","查看对应原文段落")</x:f>
        <x:v>HYPERLINK is not implemented. linkLocation=#'山海经原文总库'!A1886, friendlyName=查看对应原文段落</x:v>
      </x:c>
      <x:c r="AA171" s="1619"/>
      <x:c r="AB171" s="1619"/>
      <x:c r="AC171" s="1619"/>
      <x:c r="AD171" s="1619"/>
      <x:c r="AE171" s="1619"/>
      <x:c r="AF171" s="1619"/>
      <x:c r="AG171" s="1619"/>
      <x:c r="AH171" s="1619" t="str">
        <x:v>本行坐标属于卷内拓扑排版，不得据此推算与都广、昆仑或现实地理的距离。</x:v>
      </x:c>
      <x:c r="AI171" s="1619" t="str">
        <x:v>V030以卷十八局部关系建立拓扑对象R171；坐标仅用于在专用模块带内区分对象。</x:v>
      </x:c>
      <x:c r="AJ171" s="1619" t="str">
        <x:v>https://ctext.org/shan-hai-jing/hai-nei-jing/zh
https://zh.wikisource.org/zh-hans/山海經/海內經</x:v>
      </x:c>
    </x:row>
    <x:row r="172" ht="103.5" customHeight="1">
      <x:c r="A172" s="1620" t="str">
        <x:v>X=+500里，Y=-290里（+5，-2.9格）</x:v>
      </x:c>
      <x:c r="B172" s="1621" t="str">
        <x:v>黑人（虎首鸟足层）</x:v>
      </x:c>
      <x:c r="C172" s="1619" t="str">
        <x:v>异民／食蛇者</x:v>
      </x:c>
      <x:c r="D172" s="1619" t="str">
        <x:v>《海内经》</x:v>
      </x:c>
      <x:c r="E172" s="1619" t="str">
        <x:v>卷十八南方异民拓扑模块</x:v>
      </x:c>
      <x:c r="F172" s="1619" t="str">
        <x:v>未锚定拓扑模块／纯排版方向</x:v>
      </x:c>
      <x:c r="G172" s="1619"/>
      <x:c r="H172" s="1619" t="str">
        <x:v>直接参照地：嬴民、封豕
原文关系：黑人虎首鸟足，两手持蛇而啖</x:v>
      </x:c>
      <x:c r="I172" s="1619" t="str">
        <x:v>无里数</x:v>
      </x:c>
      <x:c r="J172" s="1619" t="str">
        <x:v>卷内局部拓扑＋主棋盘专用排版坐标（非绝对里数）</x:v>
      </x:c>
      <x:c r="K172" s="1619" t="str">
        <x:v>原文内部关系锁定；与都广、昆仑及其他卷的绝对方向和距离未锁
V030：以专用拓扑带完成卷内闭合，不得把坐标值解释为真实里数</x:v>
      </x:c>
      <x:c r="L172" s="1619" t="str">
        <x:v>局部拓扑对象；主格只作模块索引，不代表国域、山体、水域或事件范围</x:v>
      </x:c>
      <x:c r="M172" s="1619"/>
      <x:c r="N172" s="1619"/>
      <x:c r="O172" s="1619"/>
      <x:c r="P172" s="1619"/>
      <x:c r="Q172" s="1619"/>
      <x:c r="R172" s="1619"/>
      <x:c r="S172" s="1619"/>
      <x:c r="T172" s="1619"/>
      <x:c r="U172" s="1619"/>
      <x:c r="V172" s="1619" t="str">
        <x:v>黑人</x:v>
      </x:c>
      <x:c r="W172" s="1619" t="str">
        <x:v>虎首、鸟足、两手持蛇</x:v>
      </x:c>
      <x:c r="X172" s="1619" t="str">
        <x:v>食蛇</x:v>
      </x:c>
      <x:c r="Y172" s="1619"/>
      <x:c r="Z172" s="1622" t="e">
        <x:f>HYPERLINK("#'山海经原文总库'!A1885","查看对应原文段落")</x:f>
        <x:v>HYPERLINK is not implemented. linkLocation=#'山海经原文总库'!A1885, friendlyName=查看对应原文段落</x:v>
      </x:c>
      <x:c r="AA172" s="1619"/>
      <x:c r="AB172" s="1619"/>
      <x:c r="AC172" s="1619"/>
      <x:c r="AD172" s="1619"/>
      <x:c r="AE172" s="1619"/>
      <x:c r="AF172" s="1619"/>
      <x:c r="AG172" s="1619"/>
      <x:c r="AH172" s="1619" t="str">
        <x:v>本行坐标属于卷内拓扑排版，不得据此推算与都广、昆仑或现实地理的距离。</x:v>
      </x:c>
      <x:c r="AI172" s="1619" t="str">
        <x:v>V030以卷十八局部关系建立拓扑对象R172；坐标仅用于在专用模块带内区分对象。</x:v>
      </x:c>
      <x:c r="AJ172" s="1619" t="str">
        <x:v>https://ctext.org/shan-hai-jing/hai-nei-jing/zh
https://zh.wikisource.org/zh-hans/山海經/海內經</x:v>
      </x:c>
    </x:row>
    <x:row r="173" ht="103.5" customHeight="1">
      <x:c r="A173" s="1620" t="str">
        <x:v>X=+520里，Y=-310里（+5.2，-3.1格）</x:v>
      </x:c>
      <x:c r="B173" s="1621" t="str">
        <x:v>封豕</x:v>
      </x:c>
      <x:c r="C173" s="1619" t="str">
        <x:v>巨豕／异兽</x:v>
      </x:c>
      <x:c r="D173" s="1619" t="str">
        <x:v>《海内经》</x:v>
      </x:c>
      <x:c r="E173" s="1619" t="str">
        <x:v>卷十八南方异民拓扑模块</x:v>
      </x:c>
      <x:c r="F173" s="1619" t="str">
        <x:v>未锚定拓扑模块／纯排版方向</x:v>
      </x:c>
      <x:c r="G173" s="1619"/>
      <x:c r="H173" s="1619" t="str">
        <x:v>直接参照地：黑人、嬴民
原文关系：又有封豕</x:v>
      </x:c>
      <x:c r="I173" s="1619" t="str">
        <x:v>无里数</x:v>
      </x:c>
      <x:c r="J173" s="1619" t="str">
        <x:v>卷内局部拓扑＋主棋盘专用排版坐标（非绝对里数）</x:v>
      </x:c>
      <x:c r="K173" s="1619" t="str">
        <x:v>原文内部关系锁定；与都广、昆仑及其他卷的绝对方向和距离未锁
V030：以专用拓扑带完成卷内闭合，不得把坐标值解释为真实里数</x:v>
      </x:c>
      <x:c r="L173" s="1619" t="str">
        <x:v>局部拓扑对象；主格只作模块索引，不代表国域、山体、水域或事件范围</x:v>
      </x:c>
      <x:c r="M173" s="1619"/>
      <x:c r="N173" s="1619"/>
      <x:c r="O173" s="1619"/>
      <x:c r="P173" s="1619"/>
      <x:c r="Q173" s="1619"/>
      <x:c r="R173" s="1619" t="str">
        <x:v>封豕</x:v>
      </x:c>
      <x:c r="S173" s="1619"/>
      <x:c r="T173" s="1619"/>
      <x:c r="U173" s="1619"/>
      <x:c r="V173" s="1619"/>
      <x:c r="W173" s="1619"/>
      <x:c r="X173" s="1619"/>
      <x:c r="Y173" s="1619"/>
      <x:c r="Z173" s="1622" t="e">
        <x:f>HYPERLINK("#'山海经原文总库'!A1887","查看对应原文段落")</x:f>
        <x:v>HYPERLINK is not implemented. linkLocation=#'山海经原文总库'!A1887, friendlyName=查看对应原文段落</x:v>
      </x:c>
      <x:c r="AA173" s="1619"/>
      <x:c r="AB173" s="1619"/>
      <x:c r="AC173" s="1619"/>
      <x:c r="AD173" s="1619"/>
      <x:c r="AE173" s="1619"/>
      <x:c r="AF173" s="1619"/>
      <x:c r="AG173" s="1619"/>
      <x:c r="AH173" s="1619" t="str">
        <x:v>“封豕”通常指大豕，本句没有更多形态与能力描述。</x:v>
      </x:c>
      <x:c r="AI173" s="1619" t="str">
        <x:v>V030以卷十八局部关系建立拓扑对象R173；坐标仅用于在专用模块带内区分对象。</x:v>
      </x:c>
      <x:c r="AJ173" s="1619" t="str">
        <x:v>https://ctext.org/shan-hai-jing/hai-nei-jing/zh
https://zh.wikisource.org/zh-hans/山海經/海內經</x:v>
      </x:c>
    </x:row>
    <x:row r="174" ht="103.5" customHeight="1">
      <x:c r="A174" s="1620" t="str">
        <x:v>X=+520里，Y=-290里（+5.2，-2.9格）</x:v>
      </x:c>
      <x:c r="B174" s="1621" t="str">
        <x:v>苗民（卷十八层）</x:v>
      </x:c>
      <x:c r="C174" s="1619" t="str">
        <x:v>族群／国民</x:v>
      </x:c>
      <x:c r="D174" s="1619" t="str">
        <x:v>《海内经》</x:v>
      </x:c>
      <x:c r="E174" s="1619" t="str">
        <x:v>卷十八南方异民拓扑模块</x:v>
      </x:c>
      <x:c r="F174" s="1619" t="str">
        <x:v>未锚定拓扑模块／纯排版方向</x:v>
      </x:c>
      <x:c r="G174" s="1619"/>
      <x:c r="H174" s="1619" t="str">
        <x:v>直接参照地：延维
原文关系：有人曰苗民，有神名延维</x:v>
      </x:c>
      <x:c r="I174" s="1619" t="str">
        <x:v>无里数</x:v>
      </x:c>
      <x:c r="J174" s="1619" t="str">
        <x:v>卷内局部拓扑＋主棋盘专用排版坐标（非绝对里数）</x:v>
      </x:c>
      <x:c r="K174" s="1619" t="str">
        <x:v>原文内部关系锁定；与都广、昆仑及其他卷的绝对方向和距离未锁
V030：以专用拓扑带完成卷内闭合，不得把坐标值解释为真实里数</x:v>
      </x:c>
      <x:c r="L174" s="1619" t="str">
        <x:v>局部拓扑对象；主格只作模块索引，不代表国域、山体、水域或事件范围</x:v>
      </x:c>
      <x:c r="M174" s="1619"/>
      <x:c r="N174" s="1619"/>
      <x:c r="O174" s="1619"/>
      <x:c r="P174" s="1619"/>
      <x:c r="Q174" s="1619"/>
      <x:c r="R174" s="1619"/>
      <x:c r="S174" s="1619"/>
      <x:c r="T174" s="1619"/>
      <x:c r="U174" s="1619" t="str">
        <x:v>延维</x:v>
      </x:c>
      <x:c r="V174" s="1619" t="str">
        <x:v>苗民</x:v>
      </x:c>
      <x:c r="W174" s="1619"/>
      <x:c r="X174" s="1619"/>
      <x:c r="Y174" s="1619"/>
      <x:c r="Z174" s="1622" t="e">
        <x:f>HYPERLINK("#'山海经原文总库'!A1888","查看对应原文段落")</x:f>
        <x:v>HYPERLINK is not implemented. linkLocation=#'山海经原文总库'!A1888, friendlyName=查看对应原文段落</x:v>
      </x:c>
      <x:c r="AA174" s="1619" t="str">
        <x:v>全书另有苗民／三苗传统，本行只承载卷十八段落层。</x:v>
      </x:c>
      <x:c r="AB174" s="1619"/>
      <x:c r="AC174" s="1619"/>
      <x:c r="AD174" s="1619"/>
      <x:c r="AE174" s="1619"/>
      <x:c r="AF174" s="1619"/>
      <x:c r="AG174" s="1619"/>
      <x:c r="AH174" s="1619" t="str">
        <x:v>本行坐标属于卷内拓扑排版，不得据此推算与都广、昆仑或现实地理的距离。</x:v>
      </x:c>
      <x:c r="AI174" s="1619" t="str">
        <x:v>V030以卷十八局部关系建立拓扑对象R174；坐标仅用于在专用模块带内区分对象。</x:v>
      </x:c>
      <x:c r="AJ174" s="1619" t="str">
        <x:v>https://ctext.org/shan-hai-jing/hai-nei-jing/zh
https://zh.wikisource.org/zh-hans/山海經/海內經</x:v>
      </x:c>
    </x:row>
    <x:row r="175" ht="103.5" customHeight="1">
      <x:c r="A175" s="1620" t="str">
        <x:v>X=+500里，Y=-330里（+5，-3.3格）</x:v>
      </x:c>
      <x:c r="B175" s="1621" t="str">
        <x:v>延维</x:v>
      </x:c>
      <x:c r="C175" s="1619" t="str">
        <x:v>神祇／双首蛇身神</x:v>
      </x:c>
      <x:c r="D175" s="1619" t="str">
        <x:v>《海内经》</x:v>
      </x:c>
      <x:c r="E175" s="1619" t="str">
        <x:v>卷十八南方异民拓扑模块</x:v>
      </x:c>
      <x:c r="F175" s="1619" t="str">
        <x:v>未锚定拓扑模块／纯排版方向</x:v>
      </x:c>
      <x:c r="G175" s="1619"/>
      <x:c r="H175" s="1619" t="str">
        <x:v>直接参照地：苗民
原文关系：人首蛇身，左右有首，衣紫衣，冠旃冠，名曰延维</x:v>
      </x:c>
      <x:c r="I175" s="1619" t="str">
        <x:v>无里数</x:v>
      </x:c>
      <x:c r="J175" s="1619" t="str">
        <x:v>卷内局部拓扑＋主棋盘专用排版坐标（非绝对里数）</x:v>
      </x:c>
      <x:c r="K175" s="1619" t="str">
        <x:v>原文内部关系锁定；与都广、昆仑及其他卷的绝对方向和距离未锁
V030：以专用拓扑带完成卷内闭合，不得把坐标值解释为真实里数</x:v>
      </x:c>
      <x:c r="L175" s="1619" t="str">
        <x:v>局部拓扑对象；主格只作模块索引，不代表国域、山体、水域或事件范围</x:v>
      </x:c>
      <x:c r="M175" s="1619"/>
      <x:c r="N175" s="1619"/>
      <x:c r="O175" s="1619"/>
      <x:c r="P175" s="1619"/>
      <x:c r="Q175" s="1619"/>
      <x:c r="R175" s="1619"/>
      <x:c r="S175" s="1619"/>
      <x:c r="T175" s="1619"/>
      <x:c r="U175" s="1619" t="str">
        <x:v>延维</x:v>
      </x:c>
      <x:c r="V175" s="1619"/>
      <x:c r="W175" s="1619" t="str">
        <x:v>人首蛇身，左右有首；紫衣、旃冠</x:v>
      </x:c>
      <x:c r="X175" s="1619" t="str">
        <x:v>人主得而飨食之，可伯天下</x:v>
      </x:c>
      <x:c r="Y175" s="1619"/>
      <x:c r="Z175" s="1622" t="e">
        <x:f>HYPERLINK("#'山海经原文总库'!A1889","查看对应原文段落")</x:f>
        <x:v>HYPERLINK is not implemented. linkLocation=#'山海经原文总库'!A1889, friendlyName=查看对应原文段落</x:v>
      </x:c>
      <x:c r="AA175" s="1619"/>
      <x:c r="AB175" s="1619"/>
      <x:c r="AC175" s="1619"/>
      <x:c r="AD175" s="1619"/>
      <x:c r="AE175" s="1619"/>
      <x:c r="AF175" s="1619"/>
      <x:c r="AG175" s="1619"/>
      <x:c r="AH175" s="1619" t="str">
        <x:v>正文的‘飨食之’语义复杂，不应直接简化成吞食神祇。</x:v>
      </x:c>
      <x:c r="AI175" s="1619" t="str">
        <x:v>V030以卷十八局部关系建立拓扑对象R175；坐标仅用于在专用模块带内区分对象。</x:v>
      </x:c>
      <x:c r="AJ175" s="1619" t="str">
        <x:v>https://ctext.org/shan-hai-jing/hai-nei-jing/zh
https://zh.wikisource.org/zh-hans/山海經/海內經</x:v>
      </x:c>
    </x:row>
    <x:row r="176" ht="103.5" customHeight="1">
      <x:c r="A176" s="1620" t="str">
        <x:v>X=+380里，Y=-300里（+3.8，-3格）</x:v>
      </x:c>
      <x:c r="B176" s="1621" t="str">
        <x:v>衡山（卷十八南海内层）</x:v>
      </x:c>
      <x:c r="C176" s="1619" t="str">
        <x:v>山</x:v>
      </x:c>
      <x:c r="D176" s="1619" t="str">
        <x:v>《海内经》</x:v>
      </x:c>
      <x:c r="E176" s="1619" t="str">
        <x:v>卷十八南海内四山拓扑模块</x:v>
      </x:c>
      <x:c r="F176" s="1619" t="str">
        <x:v>未锚定拓扑模块／纯排版方向</x:v>
      </x:c>
      <x:c r="G176" s="1619"/>
      <x:c r="H176" s="1619" t="str">
        <x:v>直接参照地：南海之内、菌山、桂山、三天子之都
原文关系：南海之内有衡山</x:v>
      </x:c>
      <x:c r="I176" s="1619" t="str">
        <x:v>无里数</x:v>
      </x:c>
      <x:c r="J176" s="1619" t="str">
        <x:v>卷内局部拓扑＋主棋盘专用排版坐标（非绝对里数）</x:v>
      </x:c>
      <x:c r="K176" s="1619" t="str">
        <x:v>原文内部关系锁定；与都广、昆仑及其他卷的绝对方向和距离未锁
V030：以专用拓扑带完成卷内闭合，不得把坐标值解释为真实里数</x:v>
      </x:c>
      <x:c r="L176" s="1619" t="str">
        <x:v>局部拓扑对象；主格只作模块索引，不代表国域、山体、水域或事件范围</x:v>
      </x:c>
      <x:c r="M176" s="1619" t="str">
        <x:v>南海之内山体</x:v>
      </x:c>
      <x:c r="N176" s="1619"/>
      <x:c r="O176" s="1619"/>
      <x:c r="P176" s="1619"/>
      <x:c r="Q176" s="1619"/>
      <x:c r="R176" s="1619"/>
      <x:c r="S176" s="1619"/>
      <x:c r="T176" s="1619"/>
      <x:c r="U176" s="1619"/>
      <x:c r="V176" s="1619"/>
      <x:c r="W176" s="1619"/>
      <x:c r="X176" s="1619"/>
      <x:c r="Y176" s="1619"/>
      <x:c r="Z176" s="1622" t="e">
        <x:f>HYPERLINK("#'山海经原文总库'!A1892","查看对应原文段落")</x:f>
        <x:v>HYPERLINK is not implemented. linkLocation=#'山海经原文总库'!A1892, friendlyName=查看对应原文段落</x:v>
      </x:c>
      <x:c r="AA176" s="1619"/>
      <x:c r="AB176" s="1619"/>
      <x:c r="AC176" s="1619"/>
      <x:c r="AD176" s="1619"/>
      <x:c r="AE176" s="1619"/>
      <x:c r="AF176" s="1619"/>
      <x:c r="AG176" s="1619"/>
      <x:c r="AH176" s="1619" t="str">
        <x:v>不得直接等同后世五岳南岳衡山。</x:v>
      </x:c>
      <x:c r="AI176" s="1619" t="str">
        <x:v>V030以卷十八局部关系建立拓扑对象R176；坐标仅用于在专用模块带内区分对象。</x:v>
      </x:c>
      <x:c r="AJ176" s="1619" t="str">
        <x:v>https://ctext.org/shan-hai-jing/hai-nei-jing/zh
https://zh.wikisource.org/zh-hans/山海經/海內經</x:v>
      </x:c>
    </x:row>
    <x:row r="177" ht="103.5" customHeight="1">
      <x:c r="A177" s="1620" t="str">
        <x:v>X=+400里，Y=-300里（+4，-3格）</x:v>
      </x:c>
      <x:c r="B177" s="1621" t="str">
        <x:v>菌山</x:v>
      </x:c>
      <x:c r="C177" s="1619" t="str">
        <x:v>山</x:v>
      </x:c>
      <x:c r="D177" s="1619" t="str">
        <x:v>《海内经》</x:v>
      </x:c>
      <x:c r="E177" s="1619" t="str">
        <x:v>卷十八南海内四山拓扑模块</x:v>
      </x:c>
      <x:c r="F177" s="1619" t="str">
        <x:v>未锚定拓扑模块／纯排版方向</x:v>
      </x:c>
      <x:c r="G177" s="1619"/>
      <x:c r="H177" s="1619" t="str">
        <x:v>直接参照地：衡山、桂山、三天子之都
原文关系：南海之内有菌山</x:v>
      </x:c>
      <x:c r="I177" s="1619" t="str">
        <x:v>无里数</x:v>
      </x:c>
      <x:c r="J177" s="1619" t="str">
        <x:v>卷内局部拓扑＋主棋盘专用排版坐标（非绝对里数）</x:v>
      </x:c>
      <x:c r="K177" s="1619" t="str">
        <x:v>原文内部关系锁定；与都广、昆仑及其他卷的绝对方向和距离未锁
V030：以专用拓扑带完成卷内闭合，不得把坐标值解释为真实里数</x:v>
      </x:c>
      <x:c r="L177" s="1619" t="str">
        <x:v>局部拓扑对象；主格只作模块索引，不代表国域、山体、水域或事件范围</x:v>
      </x:c>
      <x:c r="M177" s="1619" t="str">
        <x:v>南海之内山体</x:v>
      </x:c>
      <x:c r="N177" s="1619"/>
      <x:c r="O177" s="1619"/>
      <x:c r="P177" s="1619"/>
      <x:c r="Q177" s="1619"/>
      <x:c r="R177" s="1619"/>
      <x:c r="S177" s="1619"/>
      <x:c r="T177" s="1619"/>
      <x:c r="U177" s="1619"/>
      <x:c r="V177" s="1619"/>
      <x:c r="W177" s="1619"/>
      <x:c r="X177" s="1619"/>
      <x:c r="Y177" s="1619"/>
      <x:c r="Z177" s="1622" t="e">
        <x:f>HYPERLINK("#'山海经原文总库'!A1893","查看对应原文段落")</x:f>
        <x:v>HYPERLINK is not implemented. linkLocation=#'山海经原文总库'!A1893, friendlyName=查看对应原文段落</x:v>
      </x:c>
      <x:c r="AA177" s="1619"/>
      <x:c r="AB177" s="1619"/>
      <x:c r="AC177" s="1619"/>
      <x:c r="AD177" s="1619"/>
      <x:c r="AE177" s="1619"/>
      <x:c r="AF177" s="1619"/>
      <x:c r="AG177" s="1619"/>
      <x:c r="AH177" s="1619" t="str">
        <x:v>本行坐标属于卷内拓扑排版，不得据此推算与都广、昆仑或现实地理的距离。</x:v>
      </x:c>
      <x:c r="AI177" s="1619" t="str">
        <x:v>V030以卷十八局部关系建立拓扑对象R177；坐标仅用于在专用模块带内区分对象。</x:v>
      </x:c>
      <x:c r="AJ177" s="1619" t="str">
        <x:v>https://ctext.org/shan-hai-jing/hai-nei-jing/zh
https://zh.wikisource.org/zh-hans/山海經/海內經</x:v>
      </x:c>
    </x:row>
    <x:row r="178" ht="103.5" customHeight="1">
      <x:c r="A178" s="1620" t="str">
        <x:v>X=+420里，Y=-300里（+4.2，-3格）</x:v>
      </x:c>
      <x:c r="B178" s="1621" t="str">
        <x:v>桂山（卷十八南海内层）</x:v>
      </x:c>
      <x:c r="C178" s="1619" t="str">
        <x:v>山</x:v>
      </x:c>
      <x:c r="D178" s="1619" t="str">
        <x:v>《海内经》</x:v>
      </x:c>
      <x:c r="E178" s="1619" t="str">
        <x:v>卷十八南海内四山拓扑模块</x:v>
      </x:c>
      <x:c r="F178" s="1619" t="str">
        <x:v>未锚定拓扑模块／纯排版方向</x:v>
      </x:c>
      <x:c r="G178" s="1619"/>
      <x:c r="H178" s="1619" t="str">
        <x:v>直接参照地：衡山、菌山、三天子之都
原文关系：南海之内有桂山</x:v>
      </x:c>
      <x:c r="I178" s="1619" t="str">
        <x:v>无里数</x:v>
      </x:c>
      <x:c r="J178" s="1619" t="str">
        <x:v>卷内局部拓扑＋主棋盘专用排版坐标（非绝对里数）</x:v>
      </x:c>
      <x:c r="K178" s="1619" t="str">
        <x:v>原文内部关系锁定；与都广、昆仑及其他卷的绝对方向和距离未锁
V030：以专用拓扑带完成卷内闭合，不得把坐标值解释为真实里数</x:v>
      </x:c>
      <x:c r="L178" s="1619" t="str">
        <x:v>局部拓扑对象；主格只作模块索引，不代表国域、山体、水域或事件范围</x:v>
      </x:c>
      <x:c r="M178" s="1619" t="str">
        <x:v>南海之内山体</x:v>
      </x:c>
      <x:c r="N178" s="1619"/>
      <x:c r="O178" s="1619"/>
      <x:c r="P178" s="1619"/>
      <x:c r="Q178" s="1619"/>
      <x:c r="R178" s="1619"/>
      <x:c r="S178" s="1619"/>
      <x:c r="T178" s="1619"/>
      <x:c r="U178" s="1619"/>
      <x:c r="V178" s="1619"/>
      <x:c r="W178" s="1619"/>
      <x:c r="X178" s="1619"/>
      <x:c r="Y178" s="1619"/>
      <x:c r="Z178" s="1622" t="e">
        <x:f>HYPERLINK("#'山海经原文总库'!A1894","查看对应原文段落")</x:f>
        <x:v>HYPERLINK is not implemented. linkLocation=#'山海经原文总库'!A1894, friendlyName=查看对应原文段落</x:v>
      </x:c>
      <x:c r="AA178" s="1619" t="str">
        <x:v>全书存在其他桂山传统，本行只承载卷十八南海内层。</x:v>
      </x:c>
      <x:c r="AB178" s="1619"/>
      <x:c r="AC178" s="1619"/>
      <x:c r="AD178" s="1619"/>
      <x:c r="AE178" s="1619"/>
      <x:c r="AF178" s="1619"/>
      <x:c r="AG178" s="1619"/>
      <x:c r="AH178" s="1619" t="str">
        <x:v>本行坐标属于卷内拓扑排版，不得据此推算与都广、昆仑或现实地理的距离。</x:v>
      </x:c>
      <x:c r="AI178" s="1619" t="str">
        <x:v>V030以卷十八局部关系建立拓扑对象R178；坐标仅用于在专用模块带内区分对象。</x:v>
      </x:c>
      <x:c r="AJ178" s="1619" t="str">
        <x:v>https://ctext.org/shan-hai-jing/hai-nei-jing/zh
https://zh.wikisource.org/zh-hans/山海經/海內經</x:v>
      </x:c>
    </x:row>
    <x:row r="179" ht="103.5" customHeight="1">
      <x:c r="A179" s="1620" t="str">
        <x:v>X=+440里，Y=-300里（+4.4，-3格）</x:v>
      </x:c>
      <x:c r="B179" s="1621" t="str">
        <x:v>三天子之都</x:v>
      </x:c>
      <x:c r="C179" s="1619" t="str">
        <x:v>山／都邑称号</x:v>
      </x:c>
      <x:c r="D179" s="1619" t="str">
        <x:v>《海内经》</x:v>
      </x:c>
      <x:c r="E179" s="1619" t="str">
        <x:v>卷十八南海内四山拓扑模块</x:v>
      </x:c>
      <x:c r="F179" s="1619" t="str">
        <x:v>未锚定拓扑模块／纯排版方向</x:v>
      </x:c>
      <x:c r="G179" s="1619"/>
      <x:c r="H179" s="1619" t="str">
        <x:v>直接参照地：南海之内、衡山、菌山、桂山
原文关系：有山名三天子之都</x:v>
      </x:c>
      <x:c r="I179" s="1619" t="str">
        <x:v>无里数</x:v>
      </x:c>
      <x:c r="J179" s="1619" t="str">
        <x:v>卷内局部拓扑＋主棋盘专用排版坐标（非绝对里数）</x:v>
      </x:c>
      <x:c r="K179" s="1619" t="str">
        <x:v>原文内部关系锁定；与都广、昆仑及其他卷的绝对方向和距离未锁
V030：以专用拓扑带完成卷内闭合，不得把坐标值解释为真实里数</x:v>
      </x:c>
      <x:c r="L179" s="1619" t="str">
        <x:v>局部拓扑对象；主格只作模块索引，不代表国域、山体、水域或事件范围</x:v>
      </x:c>
      <x:c r="M179" s="1619" t="str">
        <x:v>山体／都邑称号地标</x:v>
      </x:c>
      <x:c r="N179" s="1619"/>
      <x:c r="O179" s="1619"/>
      <x:c r="P179" s="1619"/>
      <x:c r="Q179" s="1619"/>
      <x:c r="R179" s="1619"/>
      <x:c r="S179" s="1619"/>
      <x:c r="T179" s="1619"/>
      <x:c r="U179" s="1619"/>
      <x:c r="V179" s="1619"/>
      <x:c r="W179" s="1619"/>
      <x:c r="X179" s="1619"/>
      <x:c r="Y179" s="1619"/>
      <x:c r="Z179" s="1622" t="e">
        <x:f>HYPERLINK("#'山海经原文总库'!A1895","查看对应原文段落")</x:f>
        <x:v>HYPERLINK is not implemented. linkLocation=#'山海经原文总库'!A1895, friendlyName=查看对应原文段落</x:v>
      </x:c>
      <x:c r="AA179" s="1619"/>
      <x:c r="AB179" s="1619"/>
      <x:c r="AC179" s="1619"/>
      <x:c r="AD179" s="1619"/>
      <x:c r="AE179" s="1619"/>
      <x:c r="AF179" s="1619"/>
      <x:c r="AG179" s="1619"/>
      <x:c r="AH179" s="1619" t="str">
        <x:v>正文明确称其为山名，不能只按城市或宫殿处理。</x:v>
      </x:c>
      <x:c r="AI179" s="1619" t="str">
        <x:v>V030以卷十八局部关系建立拓扑对象R179；坐标仅用于在专用模块带内区分对象。</x:v>
      </x:c>
      <x:c r="AJ179" s="1619" t="str">
        <x:v>https://ctext.org/shan-hai-jing/hai-nei-jing/zh
https://zh.wikisource.org/zh-hans/山海經/海內經</x:v>
      </x:c>
    </x:row>
    <x:row r="180" ht="103.5" customHeight="1">
      <x:c r="A180" s="1620" t="str">
        <x:v>X=+320里，Y=0里（+3.2，0格）</x:v>
      </x:c>
      <x:c r="B180" s="1621" t="str">
        <x:v>长沙零陵界（舜葬校注层）</x:v>
      </x:c>
      <x:c r="C180" s="1619" t="str">
        <x:v>历史地理校注界域</x:v>
      </x:c>
      <x:c r="D180" s="1619" t="str">
        <x:v>《海内经》</x:v>
      </x:c>
      <x:c r="E180" s="1619" t="str">
        <x:v>苍梧—九嶷—舜葬模块</x:v>
      </x:c>
      <x:c r="F180" s="1619" t="str">
        <x:v>未锚定拓扑模块／纯排版方向</x:v>
      </x:c>
      <x:c r="G180" s="1619"/>
      <x:c r="H180" s="1619" t="str">
        <x:v>直接参照地：九嶷山、舜葬
原文关系：舜葬在长沙零陵界中</x:v>
      </x:c>
      <x:c r="I180" s="1619" t="str">
        <x:v>无里数</x:v>
      </x:c>
      <x:c r="J180" s="1619" t="str">
        <x:v>卷内局部拓扑＋主棋盘专用排版坐标（非绝对里数）</x:v>
      </x:c>
      <x:c r="K180" s="1619" t="str">
        <x:v>原文内部关系锁定；与都广、昆仑及其他卷的绝对方向和距离未锁
V030：以专用拓扑带完成卷内闭合，不得把坐标值解释为真实里数</x:v>
      </x:c>
      <x:c r="L180" s="1619" t="str">
        <x:v>局部拓扑对象；主格只作模块索引，不代表国域、山体、水域或事件范围</x:v>
      </x:c>
      <x:c r="M180" s="1619" t="str">
        <x:v>长沙—零陵界域</x:v>
      </x:c>
      <x:c r="N180" s="1619"/>
      <x:c r="O180" s="1619"/>
      <x:c r="P180" s="1619"/>
      <x:c r="Q180" s="1619"/>
      <x:c r="R180" s="1619"/>
      <x:c r="S180" s="1619"/>
      <x:c r="T180" s="1619"/>
      <x:c r="U180" s="1619"/>
      <x:c r="V180" s="1619"/>
      <x:c r="W180" s="1619"/>
      <x:c r="X180" s="1619"/>
      <x:c r="Y180" s="1619"/>
      <x:c r="Z180" s="1622" t="e">
        <x:f>HYPERLINK("#'山海经原文总库'!A1900","查看对应原文段落")</x:f>
        <x:v>HYPERLINK is not implemented. linkLocation=#'山海经原文总库'!A1900, friendlyName=查看对应原文段落</x:v>
      </x:c>
      <x:c r="AA180" s="1619"/>
      <x:c r="AB180" s="1619"/>
      <x:c r="AC180" s="1619"/>
      <x:c r="AD180" s="1619"/>
      <x:c r="AE180" s="1619"/>
      <x:c r="AF180" s="1619"/>
      <x:c r="AG180" s="1619"/>
      <x:c r="AH180" s="1619" t="str">
        <x:v>这是文本中的历史地理界定层，不应覆盖苍梧、九嶷的神话模块边界。</x:v>
      </x:c>
      <x:c r="AI180" s="1619" t="str">
        <x:v>V030以卷十八局部关系建立拓扑对象R180；坐标仅用于在专用模块带内区分对象。</x:v>
      </x:c>
      <x:c r="AJ180" s="1619" t="str">
        <x:v>https://ctext.org/shan-hai-jing/hai-nei-jing/zh
https://zh.wikisource.org/zh-hans/山海經/海內經</x:v>
      </x:c>
    </x:row>
    <x:row r="181" ht="103.5" customHeight="1">
      <x:c r="A181" s="1620" t="str">
        <x:v>X=-200里，Y=+1500里（-2，+15格）</x:v>
      </x:c>
      <x:c r="B181" s="1621" t="str">
        <x:v>北海之内（卷十八北部区域层）</x:v>
      </x:c>
      <x:c r="C181" s="1619" t="str">
        <x:v>区域限定</x:v>
      </x:c>
      <x:c r="D181" s="1619" t="str">
        <x:v>《海内经》</x:v>
      </x:c>
      <x:c r="E181" s="1619" t="str">
        <x:v>卷十八北海—幽都拓扑模块</x:v>
      </x:c>
      <x:c r="F181" s="1619" t="str">
        <x:v>未锚定拓扑模块／纯排版方向</x:v>
      </x:c>
      <x:c r="G181" s="1619"/>
      <x:c r="H181" s="1619" t="str">
        <x:v>直接参照地：蛇山、不距山、相顾之尸、幽都之山
原文关系：多段均以北海之内起首</x:v>
      </x:c>
      <x:c r="I181" s="1619" t="str">
        <x:v>无里数</x:v>
      </x:c>
      <x:c r="J181" s="1619" t="str">
        <x:v>卷内局部拓扑＋主棋盘专用排版坐标（非绝对里数）</x:v>
      </x:c>
      <x:c r="K181" s="1619" t="str">
        <x:v>原文内部关系锁定；与都广、昆仑及其他卷的绝对方向和距离未锁
V030：以专用拓扑带完成卷内闭合，不得把坐标值解释为真实里数</x:v>
      </x:c>
      <x:c r="L181" s="1619" t="str">
        <x:v>局部拓扑对象；主格只作模块索引，不代表国域、山体、水域或事件范围</x:v>
      </x:c>
      <x:c r="M181" s="1619" t="str">
        <x:v>北海内部区域</x:v>
      </x:c>
      <x:c r="N181" s="1619"/>
      <x:c r="O181" s="1619"/>
      <x:c r="P181" s="1619"/>
      <x:c r="Q181" s="1619"/>
      <x:c r="R181" s="1619"/>
      <x:c r="S181" s="1619"/>
      <x:c r="T181" s="1619"/>
      <x:c r="U181" s="1619"/>
      <x:c r="V181" s="1619"/>
      <x:c r="W181" s="1619"/>
      <x:c r="X181" s="1619"/>
      <x:c r="Y181" s="1619"/>
      <x:c r="Z181" s="1622" t="e">
        <x:f>HYPERLINK("#'山海经原文总库'!A1901","查看对应原文段落")</x:f>
        <x:v>HYPERLINK is not implemented. linkLocation=#'山海经原文总库'!A1901, friendlyName=查看对应原文段落</x:v>
      </x:c>
      <x:c r="AA181" s="1619" t="str">
        <x:v>作为卷十八北海段共同区域层，承载蛇山、不距山、相顾之尸与幽都模块。</x:v>
      </x:c>
      <x:c r="AB181" s="1619"/>
      <x:c r="AC181" s="1619"/>
      <x:c r="AD181" s="1619"/>
      <x:c r="AE181" s="1619"/>
      <x:c r="AF181" s="1619"/>
      <x:c r="AG181" s="1619"/>
      <x:c r="AH181" s="1619" t="str">
        <x:v>本行坐标属于卷内拓扑排版，不得据此推算与都广、昆仑或现实地理的距离。</x:v>
      </x:c>
      <x:c r="AI181" s="1619" t="str">
        <x:v>V030以卷十八局部关系建立拓扑对象R181；坐标仅用于在专用模块带内区分对象。</x:v>
      </x:c>
      <x:c r="AJ181" s="1619" t="str">
        <x:v>https://ctext.org/shan-hai-jing/hai-nei-jing/zh
https://zh.wikisource.org/zh-hans/山海經/海內經</x:v>
      </x:c>
    </x:row>
    <x:row r="182" ht="103.5" customHeight="1">
      <x:c r="A182" s="1620" t="str">
        <x:v>X=-220里，Y=+1400里（-2.2，+14格）</x:v>
      </x:c>
      <x:c r="B182" s="1621" t="str">
        <x:v>蛇山（卷十八北海层）</x:v>
      </x:c>
      <x:c r="C182" s="1619" t="str">
        <x:v>山／蛇水源山</x:v>
      </x:c>
      <x:c r="D182" s="1619" t="str">
        <x:v>《海内经》</x:v>
      </x:c>
      <x:c r="E182" s="1619" t="str">
        <x:v>卷十八北海—幽都拓扑模块</x:v>
      </x:c>
      <x:c r="F182" s="1619" t="str">
        <x:v>未锚定拓扑模块／纯排版方向</x:v>
      </x:c>
      <x:c r="G182" s="1619"/>
      <x:c r="H182" s="1619" t="str">
        <x:v>直接参照地：北海之内、蛇水
原文关系：有蛇山，蛇水出焉</x:v>
      </x:c>
      <x:c r="I182" s="1619" t="str">
        <x:v>无里数</x:v>
      </x:c>
      <x:c r="J182" s="1619" t="str">
        <x:v>卷内局部拓扑＋主棋盘专用排版坐标（非绝对里数）</x:v>
      </x:c>
      <x:c r="K182" s="1619" t="str">
        <x:v>原文内部关系锁定；与都广、昆仑及其他卷的绝对方向和距离未锁
V030：以专用拓扑带完成卷内闭合，不得把坐标值解释为真实里数</x:v>
      </x:c>
      <x:c r="L182" s="1619" t="str">
        <x:v>局部拓扑对象；主格只作模块索引，不代表国域、山体、水域或事件范围</x:v>
      </x:c>
      <x:c r="M182" s="1619" t="str">
        <x:v>北海内部山体</x:v>
      </x:c>
      <x:c r="N182" s="1619" t="str">
        <x:v>蛇水发源</x:v>
      </x:c>
      <x:c r="O182" s="1619"/>
      <x:c r="P182" s="1619"/>
      <x:c r="Q182" s="1619"/>
      <x:c r="R182" s="1619"/>
      <x:c r="S182" s="1619"/>
      <x:c r="T182" s="1619"/>
      <x:c r="U182" s="1619"/>
      <x:c r="V182" s="1619"/>
      <x:c r="W182" s="1619"/>
      <x:c r="X182" s="1619"/>
      <x:c r="Y182" s="1619"/>
      <x:c r="Z182" s="1622" t="e">
        <x:f>HYPERLINK("#'山海经原文总库'!A1902","查看对应原文段落")</x:f>
        <x:v>HYPERLINK is not implemented. linkLocation=#'山海经原文总库'!A1902, friendlyName=查看对应原文段落</x:v>
      </x:c>
      <x:c r="AA182" s="1619"/>
      <x:c r="AB182" s="1619"/>
      <x:c r="AC182" s="1619"/>
      <x:c r="AD182" s="1619"/>
      <x:c r="AE182" s="1619"/>
      <x:c r="AF182" s="1619"/>
      <x:c r="AG182" s="1619"/>
      <x:c r="AH182" s="1619" t="str">
        <x:v>本行坐标属于卷内拓扑排版，不得据此推算与都广、昆仑或现实地理的距离。</x:v>
      </x:c>
      <x:c r="AI182" s="1619" t="str">
        <x:v>V030以卷十八局部关系建立拓扑对象R182；坐标仅用于在专用模块带内区分对象。</x:v>
      </x:c>
      <x:c r="AJ182" s="1619" t="str">
        <x:v>https://ctext.org/shan-hai-jing/hai-nei-jing/zh
https://zh.wikisource.org/zh-hans/山海經/海內經</x:v>
      </x:c>
    </x:row>
    <x:row r="183" ht="103.5" customHeight="1">
      <x:c r="A183" s="1620" t="str">
        <x:v>X=-220里，Y=+1380里（-2.2，+13.8格）</x:v>
      </x:c>
      <x:c r="B183" s="1621" t="str">
        <x:v>蛇水</x:v>
      </x:c>
      <x:c r="C183" s="1619" t="str">
        <x:v>水系／源流</x:v>
      </x:c>
      <x:c r="D183" s="1619" t="str">
        <x:v>《海内经》</x:v>
      </x:c>
      <x:c r="E183" s="1619" t="str">
        <x:v>卷十八北海—幽都拓扑模块</x:v>
      </x:c>
      <x:c r="F183" s="1619" t="str">
        <x:v>未锚定拓扑模块／纯排版方向</x:v>
      </x:c>
      <x:c r="G183" s="1619"/>
      <x:c r="H183" s="1619" t="str">
        <x:v>直接参照地：蛇山、海
原文关系：蛇水出蛇山，东入于海</x:v>
      </x:c>
      <x:c r="I183" s="1619" t="str">
        <x:v>无里数</x:v>
      </x:c>
      <x:c r="J183" s="1619" t="str">
        <x:v>卷内局部拓扑＋主棋盘专用排版坐标（非绝对里数）</x:v>
      </x:c>
      <x:c r="K183" s="1619" t="str">
        <x:v>原文内部关系锁定；与都广、昆仑及其他卷的绝对方向和距离未锁
V030：以专用拓扑带完成卷内闭合，不得把坐标值解释为真实里数</x:v>
      </x:c>
      <x:c r="L183" s="1619" t="str">
        <x:v>局部拓扑对象；主格只作模块索引，不代表国域、山体、水域或事件范围</x:v>
      </x:c>
      <x:c r="M183" s="1619"/>
      <x:c r="N183" s="1619" t="str">
        <x:v>从蛇山东流入海</x:v>
      </x:c>
      <x:c r="O183" s="1619"/>
      <x:c r="P183" s="1619"/>
      <x:c r="Q183" s="1619"/>
      <x:c r="R183" s="1619"/>
      <x:c r="S183" s="1619"/>
      <x:c r="T183" s="1619"/>
      <x:c r="U183" s="1619"/>
      <x:c r="V183" s="1619"/>
      <x:c r="W183" s="1619"/>
      <x:c r="X183" s="1619"/>
      <x:c r="Y183" s="1619" t="str">
        <x:v>东入于海</x:v>
      </x:c>
      <x:c r="Z183" s="1622" t="e">
        <x:f>HYPERLINK("#'山海经原文总库'!A1903","查看对应原文段落")</x:f>
        <x:v>HYPERLINK is not implemented. linkLocation=#'山海经原文总库'!A1903, friendlyName=查看对应原文段落</x:v>
      </x:c>
      <x:c r="AA183" s="1619"/>
      <x:c r="AB183" s="1619"/>
      <x:c r="AC183" s="1619"/>
      <x:c r="AD183" s="1619"/>
      <x:c r="AE183" s="1619"/>
      <x:c r="AF183" s="1619"/>
      <x:c r="AG183" s="1619"/>
      <x:c r="AH183" s="1619" t="str">
        <x:v>本行坐标属于卷内拓扑排版，不得据此推算与都广、昆仑或现实地理的距离。</x:v>
      </x:c>
      <x:c r="AI183" s="1619" t="str">
        <x:v>V030以卷十八局部关系建立拓扑对象R183；坐标仅用于在专用模块带内区分对象。</x:v>
      </x:c>
      <x:c r="AJ183" s="1619" t="str">
        <x:v>https://ctext.org/shan-hai-jing/hai-nei-jing/zh
https://zh.wikisource.org/zh-hans/山海經/海內經</x:v>
      </x:c>
    </x:row>
    <x:row r="184" ht="103.5" customHeight="1">
      <x:c r="A184" s="1620" t="str">
        <x:v>X=-180里，Y=+1380里（-1.8，+13.8格）</x:v>
      </x:c>
      <x:c r="B184" s="1621" t="str">
        <x:v>海（蛇水东入接口）</x:v>
      </x:c>
      <x:c r="C184" s="1619" t="str">
        <x:v>海域／入海口</x:v>
      </x:c>
      <x:c r="D184" s="1619" t="str">
        <x:v>《海内经》</x:v>
      </x:c>
      <x:c r="E184" s="1619" t="str">
        <x:v>卷十八北海—幽都拓扑模块</x:v>
      </x:c>
      <x:c r="F184" s="1619" t="str">
        <x:v>未锚定拓扑模块／纯排版方向</x:v>
      </x:c>
      <x:c r="G184" s="1619"/>
      <x:c r="H184" s="1619" t="str">
        <x:v>直接参照地：蛇水
原文关系：蛇水东入于海</x:v>
      </x:c>
      <x:c r="I184" s="1619" t="str">
        <x:v>无里数</x:v>
      </x:c>
      <x:c r="J184" s="1619" t="str">
        <x:v>卷内局部拓扑＋主棋盘专用排版坐标（非绝对里数）</x:v>
      </x:c>
      <x:c r="K184" s="1619" t="str">
        <x:v>原文内部关系锁定；与都广、昆仑及其他卷的绝对方向和距离未锁
V030：以专用拓扑带完成卷内闭合，不得把坐标值解释为真实里数</x:v>
      </x:c>
      <x:c r="L184" s="1619" t="str">
        <x:v>局部拓扑对象；主格只作模块索引，不代表国域、山体、水域或事件范围</x:v>
      </x:c>
      <x:c r="M184" s="1619"/>
      <x:c r="N184" s="1619" t="str">
        <x:v>蛇水入海接口</x:v>
      </x:c>
      <x:c r="O184" s="1619"/>
      <x:c r="P184" s="1619"/>
      <x:c r="Q184" s="1619"/>
      <x:c r="R184" s="1619"/>
      <x:c r="S184" s="1619"/>
      <x:c r="T184" s="1619"/>
      <x:c r="U184" s="1619"/>
      <x:c r="V184" s="1619"/>
      <x:c r="W184" s="1619"/>
      <x:c r="X184" s="1619"/>
      <x:c r="Y184" s="1619"/>
      <x:c r="Z184" s="1622" t="e">
        <x:f>HYPERLINK("#'山海经原文总库'!A1904","查看对应原文段落")</x:f>
        <x:v>HYPERLINK is not implemented. linkLocation=#'山海经原文总库'!A1904, friendlyName=查看对应原文段落</x:v>
      </x:c>
      <x:c r="AA184" s="1619"/>
      <x:c r="AB184" s="1619"/>
      <x:c r="AC184" s="1619"/>
      <x:c r="AD184" s="1619"/>
      <x:c r="AE184" s="1619"/>
      <x:c r="AF184" s="1619"/>
      <x:c r="AG184" s="1619"/>
      <x:c r="AH184" s="1619" t="str">
        <x:v>只登记蛇水入海，不把此‘海’自动等同北海整体或其他篇章之海。</x:v>
      </x:c>
      <x:c r="AI184" s="1619" t="str">
        <x:v>V030以卷十八局部关系建立拓扑对象R184；坐标仅用于在专用模块带内区分对象。</x:v>
      </x:c>
      <x:c r="AJ184" s="1619" t="str">
        <x:v>https://ctext.org/shan-hai-jing/hai-nei-jing/zh
https://zh.wikisource.org/zh-hans/山海經/海內經</x:v>
      </x:c>
    </x:row>
    <x:row r="185" ht="103.5" customHeight="1">
      <x:c r="A185" s="1620" t="str">
        <x:v>X=-180里，Y=+1420里（-1.8，+14.2格）</x:v>
      </x:c>
      <x:c r="B185" s="1621" t="str">
        <x:v>翳鸟</x:v>
      </x:c>
      <x:c r="C185" s="1619" t="str">
        <x:v>五彩巨鸟／遮蔽一乡</x:v>
      </x:c>
      <x:c r="D185" s="1619" t="str">
        <x:v>《海内经》</x:v>
      </x:c>
      <x:c r="E185" s="1619" t="str">
        <x:v>卷十八北海—幽都拓扑模块</x:v>
      </x:c>
      <x:c r="F185" s="1619" t="str">
        <x:v>未锚定拓扑模块／纯排版方向</x:v>
      </x:c>
      <x:c r="G185" s="1619"/>
      <x:c r="H185" s="1619" t="str">
        <x:v>直接参照地：北海之内、蛇山模块
原文关系：五彩之鸟飞蔽一乡，名曰翳鸟</x:v>
      </x:c>
      <x:c r="I185" s="1619" t="str">
        <x:v>无里数</x:v>
      </x:c>
      <x:c r="J185" s="1619" t="str">
        <x:v>卷内局部拓扑＋主棋盘专用排版坐标（非绝对里数）</x:v>
      </x:c>
      <x:c r="K185" s="1619" t="str">
        <x:v>原文内部关系锁定；与都广、昆仑及其他卷的绝对方向和距离未锁
V030：以专用拓扑带完成卷内闭合，不得把坐标值解释为真实里数</x:v>
      </x:c>
      <x:c r="L185" s="1619" t="str">
        <x:v>局部拓扑对象；主格只作模块索引，不代表国域、山体、水域或事件范围</x:v>
      </x:c>
      <x:c r="M185" s="1619"/>
      <x:c r="N185" s="1619"/>
      <x:c r="O185" s="1619"/>
      <x:c r="P185" s="1619" t="str">
        <x:v>翳鸟</x:v>
      </x:c>
      <x:c r="Q185" s="1619"/>
      <x:c r="R185" s="1619"/>
      <x:c r="S185" s="1619"/>
      <x:c r="T185" s="1619"/>
      <x:c r="U185" s="1619"/>
      <x:c r="V185" s="1619"/>
      <x:c r="W185" s="1619" t="str">
        <x:v>五彩之鸟</x:v>
      </x:c>
      <x:c r="X185" s="1619" t="str">
        <x:v>飞行时可遮蔽一乡</x:v>
      </x:c>
      <x:c r="Y185" s="1619"/>
      <x:c r="Z185" s="1622" t="e">
        <x:f>HYPERLINK("#'山海经原文总库'!A1907","查看对应原文段落")</x:f>
        <x:v>HYPERLINK is not implemented. linkLocation=#'山海经原文总库'!A1907, friendlyName=查看对应原文段落</x:v>
      </x:c>
      <x:c r="AA185" s="1619"/>
      <x:c r="AB185" s="1619"/>
      <x:c r="AC185" s="1619"/>
      <x:c r="AD185" s="1619"/>
      <x:c r="AE185" s="1619"/>
      <x:c r="AF185" s="1619"/>
      <x:c r="AG185" s="1619"/>
      <x:c r="AH185" s="1619" t="str">
        <x:v>本行坐标属于卷内拓扑排版，不得据此推算与都广、昆仑或现实地理的距离。</x:v>
      </x:c>
      <x:c r="AI185" s="1619" t="str">
        <x:v>V030以卷十八局部关系建立拓扑对象R185；坐标仅用于在专用模块带内区分对象。</x:v>
      </x:c>
      <x:c r="AJ185" s="1619" t="str">
        <x:v>https://ctext.org/shan-hai-jing/hai-nei-jing/zh
https://zh.wikisource.org/zh-hans/山海經/海內經</x:v>
      </x:c>
    </x:row>
    <x:row r="186" ht="103.5" customHeight="1">
      <x:c r="A186" s="1620" t="str">
        <x:v>X=-100里，Y=+1400里（-1，+14格）</x:v>
      </x:c>
      <x:c r="B186" s="1621" t="str">
        <x:v>不距之山</x:v>
      </x:c>
      <x:c r="C186" s="1619" t="str">
        <x:v>山／巧倕葬地参照山</x:v>
      </x:c>
      <x:c r="D186" s="1619" t="str">
        <x:v>《海内经》</x:v>
      </x:c>
      <x:c r="E186" s="1619" t="str">
        <x:v>卷十八北海—幽都拓扑模块</x:v>
      </x:c>
      <x:c r="F186" s="1619" t="str">
        <x:v>未锚定拓扑模块／纯排版方向</x:v>
      </x:c>
      <x:c r="G186" s="1619"/>
      <x:c r="H186" s="1619" t="str">
        <x:v>直接参照地：北海之内、巧倕葬地
原文关系：有不距之山，巧倕葬其西</x:v>
      </x:c>
      <x:c r="I186" s="1619" t="str">
        <x:v>无里数</x:v>
      </x:c>
      <x:c r="J186" s="1619" t="str">
        <x:v>卷内局部拓扑＋主棋盘专用排版坐标（非绝对里数）</x:v>
      </x:c>
      <x:c r="K186" s="1619" t="str">
        <x:v>原文内部关系锁定；与都广、昆仑及其他卷的绝对方向和距离未锁
V030：以专用拓扑带完成卷内闭合，不得把坐标值解释为真实里数</x:v>
      </x:c>
      <x:c r="L186" s="1619" t="str">
        <x:v>局部拓扑对象；主格只作模块索引，不代表国域、山体、水域或事件范围</x:v>
      </x:c>
      <x:c r="M186" s="1619" t="str">
        <x:v>北海内部山体</x:v>
      </x:c>
      <x:c r="N186" s="1619"/>
      <x:c r="O186" s="1619"/>
      <x:c r="P186" s="1619"/>
      <x:c r="Q186" s="1619"/>
      <x:c r="R186" s="1619"/>
      <x:c r="S186" s="1619"/>
      <x:c r="T186" s="1619"/>
      <x:c r="U186" s="1619"/>
      <x:c r="V186" s="1619"/>
      <x:c r="W186" s="1619"/>
      <x:c r="X186" s="1619"/>
      <x:c r="Y186" s="1619"/>
      <x:c r="Z186" s="1622" t="e">
        <x:f>HYPERLINK("#'山海经原文总库'!A1905","查看对应原文段落")</x:f>
        <x:v>HYPERLINK is not implemented. linkLocation=#'山海经原文总库'!A1905, friendlyName=查看对应原文段落</x:v>
      </x:c>
      <x:c r="AA186" s="1619"/>
      <x:c r="AB186" s="1619"/>
      <x:c r="AC186" s="1619"/>
      <x:c r="AD186" s="1619"/>
      <x:c r="AE186" s="1619"/>
      <x:c r="AF186" s="1619"/>
      <x:c r="AG186" s="1619"/>
      <x:c r="AH186" s="1619" t="str">
        <x:v>本行坐标属于卷内拓扑排版，不得据此推算与都广、昆仑或现实地理的距离。</x:v>
      </x:c>
      <x:c r="AI186" s="1619" t="str">
        <x:v>V030以卷十八局部关系建立拓扑对象R186；坐标仅用于在专用模块带内区分对象。</x:v>
      </x:c>
      <x:c r="AJ186" s="1619" t="str">
        <x:v>https://ctext.org/shan-hai-jing/hai-nei-jing/zh
https://zh.wikisource.org/zh-hans/山海經/海內經</x:v>
      </x:c>
    </x:row>
    <x:row r="187" ht="103.5" customHeight="1">
      <x:c r="A187" s="1620" t="str">
        <x:v>X=-120里，Y=+1400里（-1.2，+14格）</x:v>
      </x:c>
      <x:c r="B187" s="1621" t="str">
        <x:v>巧倕葬地（义均身份层）</x:v>
      </x:c>
      <x:c r="C187" s="1619" t="str">
        <x:v>墓葬／百工始祖葬地</x:v>
      </x:c>
      <x:c r="D187" s="1619" t="str">
        <x:v>《海内经》</x:v>
      </x:c>
      <x:c r="E187" s="1619" t="str">
        <x:v>卷十八北海—幽都拓扑模块</x:v>
      </x:c>
      <x:c r="F187" s="1619" t="str">
        <x:v>未锚定拓扑模块／纯排版方向</x:v>
      </x:c>
      <x:c r="G187" s="1619"/>
      <x:c r="H187" s="1619" t="str">
        <x:v>直接参照地：不距之山
原文关系：巧倕葬不距山之西；后文义均是始为巧倕</x:v>
      </x:c>
      <x:c r="I187" s="1619" t="str">
        <x:v>无里数</x:v>
      </x:c>
      <x:c r="J187" s="1619" t="str">
        <x:v>卷内局部拓扑＋主棋盘专用排版坐标（非绝对里数）</x:v>
      </x:c>
      <x:c r="K187" s="1619" t="str">
        <x:v>原文内部关系锁定；与都广、昆仑及其他卷的绝对方向和距离未锁
V030：以专用拓扑带完成卷内闭合，不得把坐标值解释为真实里数</x:v>
      </x:c>
      <x:c r="L187" s="1619" t="str">
        <x:v>局部拓扑对象；主格只作模块索引，不代表国域、山体、水域或事件范围</x:v>
      </x:c>
      <x:c r="M187" s="1619"/>
      <x:c r="N187" s="1619"/>
      <x:c r="O187" s="1619"/>
      <x:c r="P187" s="1619"/>
      <x:c r="Q187" s="1619"/>
      <x:c r="R187" s="1619"/>
      <x:c r="S187" s="1619"/>
      <x:c r="T187" s="1619" t="str">
        <x:v>巧倕／义均</x:v>
      </x:c>
      <x:c r="U187" s="1619"/>
      <x:c r="V187" s="1619"/>
      <x:c r="W187" s="1619"/>
      <x:c r="X187" s="1619"/>
      <x:c r="Y187" s="1619" t="str">
        <x:v>巧倕葬于不距山西</x:v>
      </x:c>
      <x:c r="Z187" s="1622" t="e">
        <x:f>HYPERLINK("#'山海经原文总库'!A1906","查看对应原文段落")</x:f>
        <x:v>HYPERLINK is not implemented. linkLocation=#'山海经原文总库'!A1906, friendlyName=查看对应原文段落</x:v>
      </x:c>
      <x:c r="AA187" s="1619"/>
      <x:c r="AB187" s="1619"/>
      <x:c r="AC187" s="1619"/>
      <x:c r="AD187" s="1619"/>
      <x:c r="AE187" s="1619"/>
      <x:c r="AF187" s="1619"/>
      <x:c r="AG187" s="1619"/>
      <x:c r="AH187" s="1619" t="str">
        <x:v>义均与巧倕的身份关系来自卷十八后段；葬地关系只锁定在不距山之西。</x:v>
      </x:c>
      <x:c r="AI187" s="1619" t="str">
        <x:v>V030以卷十八局部关系建立拓扑对象R187；坐标仅用于在专用模块带内区分对象。</x:v>
      </x:c>
      <x:c r="AJ187" s="1619" t="str">
        <x:v>https://ctext.org/shan-hai-jing/hai-nei-jing/zh
https://zh.wikisource.org/zh-hans/山海經/海內經</x:v>
      </x:c>
    </x:row>
    <x:row r="188" ht="103.5" customHeight="1">
      <x:c r="A188" s="1620" t="str">
        <x:v>X=-100里，Y=+1500里（-1，+15格）</x:v>
      </x:c>
      <x:c r="B188" s="1621" t="str">
        <x:v>相顾之尸</x:v>
      </x:c>
      <x:c r="C188" s="1619" t="str">
        <x:v>尸体地标／刑具形态者</x:v>
      </x:c>
      <x:c r="D188" s="1619" t="str">
        <x:v>《海内经》</x:v>
      </x:c>
      <x:c r="E188" s="1619" t="str">
        <x:v>卷十八北海—幽都拓扑模块</x:v>
      </x:c>
      <x:c r="F188" s="1619" t="str">
        <x:v>未锚定拓扑模块／纯排版方向</x:v>
      </x:c>
      <x:c r="G188" s="1619"/>
      <x:c r="H188" s="1619" t="str">
        <x:v>直接参照地：北海之内
原文关系：北海之内有相顾之尸</x:v>
      </x:c>
      <x:c r="I188" s="1619" t="str">
        <x:v>无里数</x:v>
      </x:c>
      <x:c r="J188" s="1619" t="str">
        <x:v>卷内局部拓扑＋主棋盘专用排版坐标（非绝对里数）</x:v>
      </x:c>
      <x:c r="K188" s="1619" t="str">
        <x:v>原文内部关系锁定；与都广、昆仑及其他卷的绝对方向和距离未锁
V030：以专用拓扑带完成卷内闭合，不得把坐标值解释为真实里数</x:v>
      </x:c>
      <x:c r="L188" s="1619" t="str">
        <x:v>局部拓扑对象；主格只作模块索引，不代表国域、山体、水域或事件范围</x:v>
      </x:c>
      <x:c r="M188" s="1619"/>
      <x:c r="N188" s="1619"/>
      <x:c r="O188" s="1619"/>
      <x:c r="P188" s="1619"/>
      <x:c r="Q188" s="1619"/>
      <x:c r="R188" s="1619"/>
      <x:c r="S188" s="1619"/>
      <x:c r="T188" s="1619"/>
      <x:c r="U188" s="1619"/>
      <x:c r="V188" s="1619"/>
      <x:c r="W188" s="1619" t="str">
        <x:v>反缚、盗械、带戈，常背向之佐</x:v>
      </x:c>
      <x:c r="X188" s="1619"/>
      <x:c r="Y188" s="1619"/>
      <x:c r="Z188" s="1622" t="e">
        <x:f>HYPERLINK("#'山海经原文总库'!A1908","查看对应原文段落")</x:f>
        <x:v>HYPERLINK is not implemented. linkLocation=#'山海经原文总库'!A1908, friendlyName=查看对应原文段落</x:v>
      </x:c>
      <x:c r="AA188" s="1619"/>
      <x:c r="AB188" s="1619"/>
      <x:c r="AC188" s="1619"/>
      <x:c r="AD188" s="1619"/>
      <x:c r="AE188" s="1619"/>
      <x:c r="AF188" s="1619"/>
      <x:c r="AG188" s="1619"/>
      <x:c r="AH188" s="1619" t="str">
        <x:v>正文未说明其生前身份、死亡原因或与其他尸神的关系。</x:v>
      </x:c>
      <x:c r="AI188" s="1619" t="str">
        <x:v>V030以卷十八局部关系建立拓扑对象R188；坐标仅用于在专用模块带内区分对象。</x:v>
      </x:c>
      <x:c r="AJ188" s="1619" t="str">
        <x:v>https://ctext.org/shan-hai-jing/hai-nei-jing/zh
https://zh.wikisource.org/zh-hans/山海經/海內經</x:v>
      </x:c>
    </x:row>
    <x:row r="189" ht="103.5" customHeight="1">
      <x:c r="A189" s="1620" t="str">
        <x:v>X=+100里，Y=+1400里（+1，+14格）</x:v>
      </x:c>
      <x:c r="B189" s="1621" t="str">
        <x:v>大玄之山</x:v>
      </x:c>
      <x:c r="C189" s="1619" t="str">
        <x:v>山</x:v>
      </x:c>
      <x:c r="D189" s="1619" t="str">
        <x:v>《海内经》</x:v>
      </x:c>
      <x:c r="E189" s="1619" t="str">
        <x:v>卷十八北海—幽都拓扑模块</x:v>
      </x:c>
      <x:c r="F189" s="1619" t="str">
        <x:v>未锚定拓扑模块／纯排版方向</x:v>
      </x:c>
      <x:c r="G189" s="1619"/>
      <x:c r="H189" s="1619" t="str">
        <x:v>直接参照地：幽都之山、玄丘之民、大幽国
原文关系：又有大玄之山</x:v>
      </x:c>
      <x:c r="I189" s="1619" t="str">
        <x:v>无里数</x:v>
      </x:c>
      <x:c r="J189" s="1619" t="str">
        <x:v>卷内局部拓扑＋主棋盘专用排版坐标（非绝对里数）</x:v>
      </x:c>
      <x:c r="K189" s="1619" t="str">
        <x:v>原文内部关系锁定；与都广、昆仑及其他卷的绝对方向和距离未锁
V030：以专用拓扑带完成卷内闭合，不得把坐标值解释为真实里数</x:v>
      </x:c>
      <x:c r="L189" s="1619" t="str">
        <x:v>局部拓扑对象；主格只作模块索引，不代表国域、山体、水域或事件范围</x:v>
      </x:c>
      <x:c r="M189" s="1619" t="str">
        <x:v>北海内部玄色山岳</x:v>
      </x:c>
      <x:c r="N189" s="1619"/>
      <x:c r="O189" s="1619"/>
      <x:c r="P189" s="1619"/>
      <x:c r="Q189" s="1619"/>
      <x:c r="R189" s="1619"/>
      <x:c r="S189" s="1619"/>
      <x:c r="T189" s="1619"/>
      <x:c r="U189" s="1619"/>
      <x:c r="V189" s="1619"/>
      <x:c r="W189" s="1619"/>
      <x:c r="X189" s="1619"/>
      <x:c r="Y189" s="1619"/>
      <x:c r="Z189" s="1622" t="e">
        <x:f>HYPERLINK("#'山海经原文总库'!A1913","查看对应原文段落")</x:f>
        <x:v>HYPERLINK is not implemented. linkLocation=#'山海经原文总库'!A1913, friendlyName=查看对应原文段落</x:v>
      </x:c>
      <x:c r="AA189" s="1619"/>
      <x:c r="AB189" s="1619"/>
      <x:c r="AC189" s="1619"/>
      <x:c r="AD189" s="1619"/>
      <x:c r="AE189" s="1619"/>
      <x:c r="AF189" s="1619"/>
      <x:c r="AG189" s="1619"/>
      <x:c r="AH189" s="1619" t="str">
        <x:v>本行坐标属于卷内拓扑排版，不得据此推算与都广、昆仑或现实地理的距离。</x:v>
      </x:c>
      <x:c r="AI189" s="1619" t="str">
        <x:v>V030以卷十八局部关系建立拓扑对象R189；坐标仅用于在专用模块带内区分对象。</x:v>
      </x:c>
      <x:c r="AJ189" s="1619" t="str">
        <x:v>https://ctext.org/shan-hai-jing/hai-nei-jing/zh
https://zh.wikisource.org/zh-hans/山海經/海內經</x:v>
      </x:c>
    </x:row>
    <x:row r="190" ht="103.5" customHeight="1">
      <x:c r="A190" s="1620" t="str">
        <x:v>X=+120里，Y=+1400里（+1.2，+14格）</x:v>
      </x:c>
      <x:c r="B190" s="1621" t="str">
        <x:v>玄丘之民</x:v>
      </x:c>
      <x:c r="C190" s="1619" t="str">
        <x:v>族群／丘民</x:v>
      </x:c>
      <x:c r="D190" s="1619" t="str">
        <x:v>《海内经》</x:v>
      </x:c>
      <x:c r="E190" s="1619" t="str">
        <x:v>卷十八北海—幽都拓扑模块</x:v>
      </x:c>
      <x:c r="F190" s="1619" t="str">
        <x:v>未锚定拓扑模块／纯排版方向</x:v>
      </x:c>
      <x:c r="G190" s="1619"/>
      <x:c r="H190" s="1619" t="str">
        <x:v>直接参照地：幽都之山、大玄之山、大幽国
原文关系：有玄丘之民</x:v>
      </x:c>
      <x:c r="I190" s="1619" t="str">
        <x:v>无里数</x:v>
      </x:c>
      <x:c r="J190" s="1619" t="str">
        <x:v>卷内局部拓扑＋主棋盘专用排版坐标（非绝对里数）</x:v>
      </x:c>
      <x:c r="K190" s="1619" t="str">
        <x:v>原文内部关系锁定；与都广、昆仑及其他卷的绝对方向和距离未锁
V030：以专用拓扑带完成卷内闭合，不得把坐标值解释为真实里数</x:v>
      </x:c>
      <x:c r="L190" s="1619" t="str">
        <x:v>局部拓扑对象；主格只作模块索引，不代表国域、山体、水域或事件范围</x:v>
      </x:c>
      <x:c r="M190" s="1619"/>
      <x:c r="N190" s="1619"/>
      <x:c r="O190" s="1619"/>
      <x:c r="P190" s="1619"/>
      <x:c r="Q190" s="1619"/>
      <x:c r="R190" s="1619"/>
      <x:c r="S190" s="1619"/>
      <x:c r="T190" s="1619"/>
      <x:c r="U190" s="1619"/>
      <x:c r="V190" s="1619" t="str">
        <x:v>玄丘之民</x:v>
      </x:c>
      <x:c r="W190" s="1619"/>
      <x:c r="X190" s="1619"/>
      <x:c r="Y190" s="1619"/>
      <x:c r="Z190" s="1622" t="e">
        <x:f>HYPERLINK("#'山海经原文总库'!A1914","查看对应原文段落")</x:f>
        <x:v>HYPERLINK is not implemented. linkLocation=#'山海经原文总库'!A1914, friendlyName=查看对应原文段落</x:v>
      </x:c>
      <x:c r="AA190" s="1619"/>
      <x:c r="AB190" s="1619"/>
      <x:c r="AC190" s="1619"/>
      <x:c r="AD190" s="1619"/>
      <x:c r="AE190" s="1619"/>
      <x:c r="AF190" s="1619"/>
      <x:c r="AG190" s="1619"/>
      <x:c r="AH190" s="1619" t="str">
        <x:v>原文是‘玄丘之民’，不是明确名为玄丘的山体。</x:v>
      </x:c>
      <x:c r="AI190" s="1619" t="str">
        <x:v>V030以卷十八局部关系建立拓扑对象R190；坐标仅用于在专用模块带内区分对象。</x:v>
      </x:c>
      <x:c r="AJ190" s="1619" t="str">
        <x:v>https://ctext.org/shan-hai-jing/hai-nei-jing/zh
https://zh.wikisource.org/zh-hans/山海經/海內經</x:v>
      </x:c>
    </x:row>
    <x:row r="191" ht="103.5" customHeight="1">
      <x:c r="A191" s="1620" t="str">
        <x:v>X=+140里，Y=+1400里（+1.4，+14格）</x:v>
      </x:c>
      <x:c r="B191" s="1621" t="str">
        <x:v>大幽国</x:v>
      </x:c>
      <x:c r="C191" s="1619" t="str">
        <x:v>国家／族群</x:v>
      </x:c>
      <x:c r="D191" s="1619" t="str">
        <x:v>《海内经》</x:v>
      </x:c>
      <x:c r="E191" s="1619" t="str">
        <x:v>卷十八北海—幽都拓扑模块</x:v>
      </x:c>
      <x:c r="F191" s="1619" t="str">
        <x:v>未锚定拓扑模块／纯排版方向</x:v>
      </x:c>
      <x:c r="G191" s="1619"/>
      <x:c r="H191" s="1619" t="str">
        <x:v>直接参照地：幽都之山、大玄之山、玄丘之民
原文关系：有大幽之国</x:v>
      </x:c>
      <x:c r="I191" s="1619" t="str">
        <x:v>无里数</x:v>
      </x:c>
      <x:c r="J191" s="1619" t="str">
        <x:v>卷内局部拓扑＋主棋盘专用排版坐标（非绝对里数）</x:v>
      </x:c>
      <x:c r="K191" s="1619" t="str">
        <x:v>原文内部关系锁定；与都广、昆仑及其他卷的绝对方向和距离未锁
V030：以专用拓扑带完成卷内闭合，不得把坐标值解释为真实里数</x:v>
      </x:c>
      <x:c r="L191" s="1619" t="str">
        <x:v>局部拓扑对象；主格只作模块索引，不代表国域、山体、水域或事件范围</x:v>
      </x:c>
      <x:c r="M191" s="1619"/>
      <x:c r="N191" s="1619"/>
      <x:c r="O191" s="1619"/>
      <x:c r="P191" s="1619"/>
      <x:c r="Q191" s="1619"/>
      <x:c r="R191" s="1619"/>
      <x:c r="S191" s="1619"/>
      <x:c r="T191" s="1619"/>
      <x:c r="U191" s="1619"/>
      <x:c r="V191" s="1619" t="str">
        <x:v>大幽国居民</x:v>
      </x:c>
      <x:c r="W191" s="1619"/>
      <x:c r="X191" s="1619"/>
      <x:c r="Y191" s="1619"/>
      <x:c r="Z191" s="1622" t="e">
        <x:f>HYPERLINK("#'山海经原文总库'!A1915","查看对应原文段落")</x:f>
        <x:v>HYPERLINK is not implemented. linkLocation=#'山海经原文总库'!A1915, friendlyName=查看对应原文段落</x:v>
      </x:c>
      <x:c r="AA191" s="1619"/>
      <x:c r="AB191" s="1619"/>
      <x:c r="AC191" s="1619"/>
      <x:c r="AD191" s="1619"/>
      <x:c r="AE191" s="1619"/>
      <x:c r="AF191" s="1619"/>
      <x:c r="AG191" s="1619"/>
      <x:c r="AH191" s="1619" t="str">
        <x:v>本行坐标属于卷内拓扑排版，不得据此推算与都广、昆仑或现实地理的距离。</x:v>
      </x:c>
      <x:c r="AI191" s="1619" t="str">
        <x:v>V030以卷十八局部关系建立拓扑对象R191；坐标仅用于在专用模块带内区分对象。</x:v>
      </x:c>
      <x:c r="AJ191" s="1619" t="str">
        <x:v>https://ctext.org/shan-hai-jing/hai-nei-jing/zh
https://zh.wikisource.org/zh-hans/山海經/海內經</x:v>
      </x:c>
    </x:row>
    <x:row r="192" ht="103.5" customHeight="1">
      <x:c r="A192" s="1620" t="str">
        <x:v>X=+160里，Y=+1400里（+1.6，+14格）</x:v>
      </x:c>
      <x:c r="B192" s="1621" t="str">
        <x:v>赤胫之民</x:v>
      </x:c>
      <x:c r="C192" s="1619" t="str">
        <x:v>族群／异民</x:v>
      </x:c>
      <x:c r="D192" s="1619" t="str">
        <x:v>《海内经》</x:v>
      </x:c>
      <x:c r="E192" s="1619" t="str">
        <x:v>卷十八北海—幽都拓扑模块</x:v>
      </x:c>
      <x:c r="F192" s="1619" t="str">
        <x:v>未锚定拓扑模块／纯排版方向</x:v>
      </x:c>
      <x:c r="G192" s="1619"/>
      <x:c r="H192" s="1619" t="str">
        <x:v>直接参照地：幽都之山、大玄之山、大幽国
原文关系：有赤胫之民</x:v>
      </x:c>
      <x:c r="I192" s="1619" t="str">
        <x:v>无里数</x:v>
      </x:c>
      <x:c r="J192" s="1619" t="str">
        <x:v>卷内局部拓扑＋主棋盘专用排版坐标（非绝对里数）</x:v>
      </x:c>
      <x:c r="K192" s="1619" t="str">
        <x:v>原文内部关系锁定；与都广、昆仑及其他卷的绝对方向和距离未锁
V030：以专用拓扑带完成卷内闭合，不得把坐标值解释为真实里数</x:v>
      </x:c>
      <x:c r="L192" s="1619" t="str">
        <x:v>局部拓扑对象；主格只作模块索引，不代表国域、山体、水域或事件范围</x:v>
      </x:c>
      <x:c r="M192" s="1619"/>
      <x:c r="N192" s="1619"/>
      <x:c r="O192" s="1619"/>
      <x:c r="P192" s="1619"/>
      <x:c r="Q192" s="1619"/>
      <x:c r="R192" s="1619"/>
      <x:c r="S192" s="1619"/>
      <x:c r="T192" s="1619"/>
      <x:c r="U192" s="1619"/>
      <x:c r="V192" s="1619" t="str">
        <x:v>赤胫之民</x:v>
      </x:c>
      <x:c r="W192" s="1619" t="str">
        <x:v>胫部呈赤色</x:v>
      </x:c>
      <x:c r="X192" s="1619"/>
      <x:c r="Y192" s="1619"/>
      <x:c r="Z192" s="1622" t="e">
        <x:f>HYPERLINK("#'山海经原文总库'!A1916","查看对应原文段落")</x:f>
        <x:v>HYPERLINK is not implemented. linkLocation=#'山海经原文总库'!A1916, friendlyName=查看对应原文段落</x:v>
      </x:c>
      <x:c r="AA192" s="1619"/>
      <x:c r="AB192" s="1619"/>
      <x:c r="AC192" s="1619"/>
      <x:c r="AD192" s="1619"/>
      <x:c r="AE192" s="1619"/>
      <x:c r="AF192" s="1619"/>
      <x:c r="AG192" s="1619"/>
      <x:c r="AH192" s="1619" t="str">
        <x:v>本行坐标属于卷内拓扑排版，不得据此推算与都广、昆仑或现实地理的距离。</x:v>
      </x:c>
      <x:c r="AI192" s="1619" t="str">
        <x:v>V030以卷十八局部关系建立拓扑对象R192；坐标仅用于在专用模块带内区分对象。</x:v>
      </x:c>
      <x:c r="AJ192" s="1619" t="str">
        <x:v>https://ctext.org/shan-hai-jing/hai-nei-jing/zh
https://zh.wikisource.org/zh-hans/山海經/海內經</x:v>
      </x:c>
    </x:row>
    <x:row r="193" ht="103.5" customHeight="1">
      <x:c r="A193" s="1620" t="str">
        <x:v>X=+200里，Y=+1400里（+2，+14格）</x:v>
      </x:c>
      <x:c r="B193" s="1621" t="str">
        <x:v>钉灵国</x:v>
      </x:c>
      <x:c r="C193" s="1619" t="str">
        <x:v>国家／马蹄善走之民</x:v>
      </x:c>
      <x:c r="D193" s="1619" t="str">
        <x:v>《海内经》</x:v>
      </x:c>
      <x:c r="E193" s="1619" t="str">
        <x:v>卷十八北海—幽都拓扑模块</x:v>
      </x:c>
      <x:c r="F193" s="1619" t="str">
        <x:v>未锚定拓扑模块／纯排版方向</x:v>
      </x:c>
      <x:c r="G193" s="1619"/>
      <x:c r="H193" s="1619" t="str">
        <x:v>直接参照地：卷十八北方连续段
原文关系：有钉灵之国</x:v>
      </x:c>
      <x:c r="I193" s="1619" t="str">
        <x:v>无里数</x:v>
      </x:c>
      <x:c r="J193" s="1619" t="str">
        <x:v>卷内局部拓扑＋主棋盘专用排版坐标（非绝对里数）</x:v>
      </x:c>
      <x:c r="K193" s="1619" t="str">
        <x:v>原文内部关系锁定；与都广、昆仑及其他卷的绝对方向和距离未锁
V030：以专用拓扑带完成卷内闭合，不得把坐标值解释为真实里数</x:v>
      </x:c>
      <x:c r="L193" s="1619" t="str">
        <x:v>局部拓扑对象；主格只作模块索引，不代表国域、山体、水域或事件范围</x:v>
      </x:c>
      <x:c r="M193" s="1619"/>
      <x:c r="N193" s="1619"/>
      <x:c r="O193" s="1619"/>
      <x:c r="P193" s="1619"/>
      <x:c r="Q193" s="1619"/>
      <x:c r="R193" s="1619"/>
      <x:c r="S193" s="1619"/>
      <x:c r="T193" s="1619"/>
      <x:c r="U193" s="1619"/>
      <x:c r="V193" s="1619" t="str">
        <x:v>钉灵国民</x:v>
      </x:c>
      <x:c r="W193" s="1619" t="str">
        <x:v>膝以下有毛，马蹄</x:v>
      </x:c>
      <x:c r="X193" s="1619" t="str">
        <x:v>善走</x:v>
      </x:c>
      <x:c r="Y193" s="1619"/>
      <x:c r="Z193" s="1622" t="e">
        <x:f>HYPERLINK("#'山海经原文总库'!A1918","查看对应原文段落")</x:f>
        <x:v>HYPERLINK is not implemented. linkLocation=#'山海经原文总库'!A1918, friendlyName=查看对应原文段落</x:v>
      </x:c>
      <x:c r="AA193" s="1619"/>
      <x:c r="AB193" s="1619"/>
      <x:c r="AC193" s="1619"/>
      <x:c r="AD193" s="1619"/>
      <x:c r="AE193" s="1619"/>
      <x:c r="AF193" s="1619"/>
      <x:c r="AG193" s="1619"/>
      <x:c r="AH193" s="1619" t="str">
        <x:v>本行坐标属于卷内拓扑排版，不得据此推算与都广、昆仑或现实地理的距离。</x:v>
      </x:c>
      <x:c r="AI193" s="1619" t="str">
        <x:v>V030以卷十八局部关系建立拓扑对象R193；坐标仅用于在专用模块带内区分对象。</x:v>
      </x:c>
      <x:c r="AJ193" s="1619" t="str">
        <x:v>https://ctext.org/shan-hai-jing/hai-nei-jing/zh
https://zh.wikisource.org/zh-hans/山海經/海內經</x:v>
      </x:c>
    </x:row>
    <x:row r="194" ht="103.5" customHeight="1">
      <x:c r="A194" s="1620" t="str">
        <x:v>X=+300里，Y=+1300里（+3，+13格）</x:v>
      </x:c>
      <x:c r="B194" s="1621" t="str">
        <x:v>江水（祝融—术器事件层）</x:v>
      </x:c>
      <x:c r="C194" s="1619" t="str">
        <x:v>水系／谱系事件地点</x:v>
      </x:c>
      <x:c r="D194" s="1619" t="str">
        <x:v>《海内经》</x:v>
      </x:c>
      <x:c r="E194" s="1619" t="str">
        <x:v>卷十八未锚定事件接口</x:v>
      </x:c>
      <x:c r="F194" s="1619" t="str">
        <x:v>未锚定拓扑模块／纯排版方向</x:v>
      </x:c>
      <x:c r="G194" s="1619"/>
      <x:c r="H194" s="1619" t="str">
        <x:v>直接参照地：祝融、共工、术器
原文关系：祝融降处于江水；术器复土穰以处江水</x:v>
      </x:c>
      <x:c r="I194" s="1619" t="str">
        <x:v>无里数</x:v>
      </x:c>
      <x:c r="J194" s="1619" t="str">
        <x:v>卷内局部拓扑＋主棋盘专用排版坐标（非绝对里数）</x:v>
      </x:c>
      <x:c r="K194" s="1619" t="str">
        <x:v>原文内部关系锁定；与都广、昆仑及其他卷的绝对方向和距离未锁
V030：以专用拓扑带完成卷内闭合，不得把坐标值解释为真实里数</x:v>
      </x:c>
      <x:c r="L194" s="1619" t="str">
        <x:v>局部拓扑对象；主格只作模块索引，不代表国域、山体、水域或事件范围</x:v>
      </x:c>
      <x:c r="M194" s="1619"/>
      <x:c r="N194" s="1619" t="str">
        <x:v>江水事件层</x:v>
      </x:c>
      <x:c r="O194" s="1619"/>
      <x:c r="P194" s="1619"/>
      <x:c r="Q194" s="1619"/>
      <x:c r="R194" s="1619"/>
      <x:c r="S194" s="1619"/>
      <x:c r="T194" s="1619"/>
      <x:c r="U194" s="1619"/>
      <x:c r="V194" s="1619"/>
      <x:c r="W194" s="1619"/>
      <x:c r="X194" s="1619"/>
      <x:c r="Y194" s="1619" t="str">
        <x:v>祝融降处；术器处于江水</x:v>
      </x:c>
      <x:c r="Z194" s="1622" t="e">
        <x:f>HYPERLINK("#'山海经原文总库'!A1928","查看对应原文段落")</x:f>
        <x:v>HYPERLINK is not implemented. linkLocation=#'山海经原文总库'!A1928, friendlyName=查看对应原文段落</x:v>
      </x:c>
      <x:c r="AA194" s="1619" t="str">
        <x:v>全书有岷山、崃山、崌山等江水源段；本行只承载卷十八谱系事件层。</x:v>
      </x:c>
      <x:c r="AB194" s="1619"/>
      <x:c r="AC194" s="1619"/>
      <x:c r="AD194" s="1619"/>
      <x:c r="AE194" s="1619"/>
      <x:c r="AF194" s="1619"/>
      <x:c r="AG194" s="1619"/>
      <x:c r="AH194" s="1619" t="str">
        <x:v>不能把本江水事件层自动接到任一已知江水源山。</x:v>
      </x:c>
      <x:c r="AI194" s="1619" t="str">
        <x:v>V030以卷十八局部关系建立拓扑对象R194；坐标仅用于在专用模块带内区分对象。</x:v>
      </x:c>
      <x:c r="AJ194" s="1619" t="str">
        <x:v>https://ctext.org/shan-hai-jing/hai-nei-jing/zh
https://zh.wikisource.org/zh-hans/山海經/海內經</x:v>
      </x:c>
    </x:row>
    <x:row r="195" ht="103.5" customHeight="1">
      <x:c r="A195" s="1620" t="str">
        <x:v>X=+340里，Y=+1300里（+3.4，+13格）</x:v>
      </x:c>
      <x:c r="B195" s="1621" t="str">
        <x:v>羽郊</x:v>
      </x:c>
      <x:c r="C195" s="1619" t="str">
        <x:v>事件地点／鲧死之地</x:v>
      </x:c>
      <x:c r="D195" s="1619" t="str">
        <x:v>《海内经》</x:v>
      </x:c>
      <x:c r="E195" s="1619" t="str">
        <x:v>卷十八未锚定事件接口</x:v>
      </x:c>
      <x:c r="F195" s="1619" t="str">
        <x:v>未锚定拓扑模块／纯排版方向</x:v>
      </x:c>
      <x:c r="G195" s="1619"/>
      <x:c r="H195" s="1619" t="str">
        <x:v>直接参照地：祝融、鲧
原文关系：帝令祝融杀鲧于羽郊</x:v>
      </x:c>
      <x:c r="I195" s="1619" t="str">
        <x:v>无里数</x:v>
      </x:c>
      <x:c r="J195" s="1619" t="str">
        <x:v>卷内局部拓扑＋主棋盘专用排版坐标（非绝对里数）</x:v>
      </x:c>
      <x:c r="K195" s="1619" t="str">
        <x:v>原文内部关系锁定；与都广、昆仑及其他卷的绝对方向和距离未锁
V030：以专用拓扑带完成卷内闭合，不得把坐标值解释为真实里数</x:v>
      </x:c>
      <x:c r="L195" s="1619" t="str">
        <x:v>局部拓扑对象；主格只作模块索引，不代表国域、山体、水域或事件范围</x:v>
      </x:c>
      <x:c r="M195" s="1619"/>
      <x:c r="N195" s="1619"/>
      <x:c r="O195" s="1619"/>
      <x:c r="P195" s="1619"/>
      <x:c r="Q195" s="1619"/>
      <x:c r="R195" s="1619"/>
      <x:c r="S195" s="1619"/>
      <x:c r="T195" s="1619"/>
      <x:c r="U195" s="1619"/>
      <x:c r="V195" s="1619"/>
      <x:c r="W195" s="1619"/>
      <x:c r="X195" s="1619"/>
      <x:c r="Y195" s="1619" t="str">
        <x:v>祝融杀鲧于羽郊</x:v>
      </x:c>
      <x:c r="Z195" s="1622" t="e">
        <x:f>HYPERLINK("#'山海经原文总库'!A1929","查看对应原文段落")</x:f>
        <x:v>HYPERLINK is not implemented. linkLocation=#'山海经原文总库'!A1929, friendlyName=查看对应原文段落</x:v>
      </x:c>
      <x:c r="AA195" s="1619"/>
      <x:c r="AB195" s="1619"/>
      <x:c r="AC195" s="1619"/>
      <x:c r="AD195" s="1619"/>
      <x:c r="AE195" s="1619"/>
      <x:c r="AF195" s="1619"/>
      <x:c r="AG195" s="1619"/>
      <x:c r="AH195" s="1619" t="str">
        <x:v>羽郊没有方向和里数，不能用都广、昆仑或现实羽山坐标替代。</x:v>
      </x:c>
      <x:c r="AI195" s="1619" t="str">
        <x:v>V030以卷十八局部关系建立拓扑对象R195；坐标仅用于在专用模块带内区分对象。</x:v>
      </x:c>
      <x:c r="AJ195" s="1619" t="str">
        <x:v>https://ctext.org/shan-hai-jing/hai-nei-jing/zh
https://zh.wikisource.org/zh-hans/山海經/海內經</x:v>
      </x:c>
    </x:row>
    <x:row r="196" ht="103.5" customHeight="1">
      <x:c r="A196" s="1620" t="str">
        <x:v>X=+20里，Y=+1400里（+0.2，+14格）</x:v>
      </x:c>
      <x:c r="B196" s="1621" t="str">
        <x:v>幽都玄鸟—玄蛇—玄兽群</x:v>
      </x:c>
      <x:c r="C196" s="1619" t="str">
        <x:v>动物／异兽群落层</x:v>
      </x:c>
      <x:c r="D196" s="1619" t="str">
        <x:v>《海内经》</x:v>
      </x:c>
      <x:c r="E196" s="1619" t="str">
        <x:v>卷十八北海—幽都拓扑模块</x:v>
      </x:c>
      <x:c r="F196" s="1619" t="str">
        <x:v>未锚定拓扑模块／纯排版方向</x:v>
      </x:c>
      <x:c r="G196" s="1619"/>
      <x:c r="H196" s="1619" t="str">
        <x:v>直接参照地：幽都之山
原文关系：幽都山上有玄鸟、玄蛇、玄豹、玄虎、玄狐蓬尾</x:v>
      </x:c>
      <x:c r="I196" s="1619" t="str">
        <x:v>无里数</x:v>
      </x:c>
      <x:c r="J196" s="1619" t="str">
        <x:v>卷内局部拓扑＋主棋盘专用排版坐标（非绝对里数）</x:v>
      </x:c>
      <x:c r="K196" s="1619" t="str">
        <x:v>原文内部关系锁定；与都广、昆仑及其他卷的绝对方向和距离未锁
V030：以专用拓扑带完成卷内闭合，不得把坐标值解释为真实里数</x:v>
      </x:c>
      <x:c r="L196" s="1619" t="str">
        <x:v>局部拓扑对象；主格只作模块索引，不代表国域、山体、水域或事件范围</x:v>
      </x:c>
      <x:c r="M196" s="1619"/>
      <x:c r="N196" s="1619"/>
      <x:c r="O196" s="1619"/>
      <x:c r="P196" s="1619" t="str">
        <x:v>玄鸟</x:v>
      </x:c>
      <x:c r="Q196" s="1619"/>
      <x:c r="R196" s="1619" t="str">
        <x:v>玄豹、玄虎、玄狐蓬尾</x:v>
      </x:c>
      <x:c r="S196" s="1619" t="str">
        <x:v>玄蛇</x:v>
      </x:c>
      <x:c r="T196" s="1619"/>
      <x:c r="U196" s="1619"/>
      <x:c r="V196" s="1619"/>
      <x:c r="W196" s="1619" t="str">
        <x:v>群体皆以玄色为核心特征</x:v>
      </x:c>
      <x:c r="X196" s="1619"/>
      <x:c r="Y196" s="1619"/>
      <x:c r="Z196" s="1622" t="e">
        <x:f>HYPERLINK("#'山海经原文总库'!A1917","查看对应原文段落")</x:f>
        <x:v>HYPERLINK is not implemented. linkLocation=#'山海经原文总库'!A1917, friendlyName=查看对应原文段落</x:v>
      </x:c>
      <x:c r="AA196" s="1619"/>
      <x:c r="AB196" s="1619"/>
      <x:c r="AC196" s="1619"/>
      <x:c r="AD196" s="1619"/>
      <x:c r="AE196" s="1619"/>
      <x:c r="AF196" s="1619"/>
      <x:c r="AG196" s="1619"/>
      <x:c r="AH196" s="1619" t="str">
        <x:v>本行合并为生态群落层，不表示五类生物是同一种。</x:v>
      </x:c>
      <x:c r="AI196" s="1619" t="str">
        <x:v>V030以卷十八局部关系建立拓扑对象R196；坐标仅用于在专用模块带内区分对象。</x:v>
      </x:c>
      <x:c r="AJ196" s="1619" t="str">
        <x:v>https://ctext.org/shan-hai-jing/hai-nei-jing/zh
https://zh.wikisource.org/zh-hans/山海經/海內經</x:v>
      </x:c>
    </x:row>
  </x:sheetData>
  <x:mergeCells>
    <x:mergeCell ref="A1:AS1"/>
    <x:mergeCell ref="A1:AJ1"/>
    <x:mergeCell ref="A2:C2"/>
    <x:mergeCell ref="D2:AS2"/>
    <x:mergeCell ref="D2:AJ2"/>
    <x:mergeCell ref="A3:C3"/>
    <x:mergeCell ref="D3:AS3"/>
    <x:mergeCell ref="D3:AJ3"/>
    <x:mergeCell ref="A4:C4"/>
    <x:mergeCell ref="D4:AS4"/>
    <x:mergeCell ref="D4:AJ4"/>
    <x:mergeCell ref="A5:C5"/>
    <x:mergeCell ref="D5:AS5"/>
    <x:mergeCell ref="D5:AJ5"/>
    <x:mergeCell ref="A6:C6"/>
    <x:mergeCell ref="D6:AS6"/>
    <x:mergeCell ref="D6:H6"/>
    <x:mergeCell ref="I6:M6"/>
    <x:mergeCell ref="N6:R6"/>
    <x:mergeCell ref="S6:AS6"/>
    <x:mergeCell ref="S6:AJ6"/>
    <x:mergeCell ref="A7:E7"/>
    <x:mergeCell ref="B7:F7"/>
    <x:mergeCell ref="F7:O7"/>
    <x:mergeCell ref="G7:L7"/>
    <x:mergeCell ref="M7:Y7"/>
    <x:mergeCell ref="P7:AF7"/>
    <x:mergeCell ref="Z7:AH7"/>
    <x:mergeCell ref="AG7:AS7"/>
    <x:mergeCell ref="AI7:AJ7"/>
  </x:mergeCells>
  <x:conditionalFormatting sqref="M9:M29">
    <x:cfRule type="expression" dxfId="36" priority="1">
      <x:formula>ISNUMBER(SEARCH("项目",M9))</x:formula>
    </x:cfRule>
  </x:conditionalFormatting>
  <x:conditionalFormatting sqref="N9:N29">
    <x:cfRule type="expression" dxfId="37" priority="2">
      <x:formula>ISNUMBER(SEARCH("全局",N9))</x:formula>
    </x:cfRule>
    <x:cfRule type="expression" dxfId="38" priority="3">
      <x:formula>ISNUMBER(SEARCH("布局",N9))</x:formula>
    </x:cfRule>
  </x:conditionalFormatting>
  <x:pageMargins left="0.7" right="0.7" top="0.75" bottom="0.75" header="0.3" footer="0.3"/>
  <x:tableParts count="1">
    <x:tablePart xmlns:r="http://schemas.openxmlformats.org/officeDocument/2006/relationships" r:id="Rfc47a9c3944b4908"/>
  </x:tableParts>
</x:worksheet>
</file>

<file path=xl/worksheets/sheet2.xml><?xml version="1.0" encoding="utf-8"?>
<x:worksheet xmlns:x="http://schemas.openxmlformats.org/spreadsheetml/2006/main">
  <x:sheetViews>
    <x:sheetView showGridLines="0" workbookViewId="0"/>
  </x:sheetViews>
  <x:sheetFormatPr defaultColWidth="9" defaultRowHeight="13.5"/>
  <x:cols>
    <x:col min="1" max="1" width="10.5" hidden="0" customWidth="1"/>
    <x:col min="2" max="24" width="11.5" customWidth="1"/>
    <x:col min="25" max="27" width="18" customWidth="1"/>
    <x:col min="2" max="2" width="12.4399995803833" hidden="0" customWidth="1"/>
    <x:col min="3" max="3" width="12.4399995803833" hidden="0" customWidth="1"/>
    <x:col min="4" max="4" width="12.4399995803833" hidden="0" customWidth="1"/>
    <x:col min="5" max="5" width="12.4399995803833" hidden="0" customWidth="1"/>
    <x:col min="6" max="6" width="12.4399995803833" hidden="0" customWidth="1"/>
    <x:col min="7" max="7" width="12.4399995803833" hidden="0" customWidth="1"/>
    <x:col min="8" max="8" width="12.4399995803833" hidden="0" customWidth="1"/>
    <x:col min="9" max="9" width="12.4399995803833" hidden="0" customWidth="1"/>
    <x:col min="10" max="10" width="12.4399995803833" hidden="0" customWidth="1"/>
    <x:col min="11" max="11" width="12.4399995803833" hidden="0" customWidth="1"/>
    <x:col min="12" max="12" width="12.4399995803833" hidden="0" customWidth="1"/>
    <x:col min="13" max="13" width="12.4399995803833" hidden="0" customWidth="1"/>
    <x:col min="14" max="14" width="12.4399995803833" hidden="0" customWidth="1"/>
    <x:col min="15" max="15" width="12.4399995803833" hidden="0" customWidth="1"/>
    <x:col min="16" max="16" width="12.4399995803833" hidden="0" customWidth="1"/>
    <x:col min="17" max="17" width="12.4399995803833" hidden="0" customWidth="1"/>
    <x:col min="18" max="18" width="12.4399995803833" hidden="0" customWidth="1"/>
    <x:col min="19" max="19" width="12.4399995803833" hidden="0" customWidth="1"/>
    <x:col min="20" max="20" width="12.4399995803833" hidden="0" customWidth="1"/>
    <x:col min="21" max="21" width="12.4399995803833" hidden="0" customWidth="1"/>
    <x:col min="22" max="22" width="12.4399995803833" hidden="0" customWidth="1"/>
    <x:col min="23" max="23" width="12.4399995803833" hidden="0" customWidth="1"/>
    <x:col min="24" max="24" width="12.4399995803833" hidden="0" customWidth="1"/>
    <x:col min="25" max="25" width="12.4399995803833" hidden="0" customWidth="1"/>
    <x:col min="26" max="26" width="12.4399995803833" hidden="0" customWidth="1"/>
    <x:col min="27" max="27" width="12.4399995803833" hidden="0" customWidth="1"/>
    <x:col min="28" max="28" width="12.4399995803833" hidden="0" customWidth="1"/>
    <x:col min="29" max="29" width="12.4399995803833" hidden="0" customWidth="1"/>
    <x:col min="30" max="30" width="12.4399995803833" hidden="0" customWidth="1"/>
    <x:col min="31" max="31" width="12.4399995803833" hidden="0" customWidth="1"/>
    <x:col min="32" max="32" width="12.4399995803833" hidden="0" customWidth="1"/>
    <x:col min="33" max="33" width="12.4399995803833" hidden="0" customWidth="1"/>
    <x:col min="34" max="34" width="12.4399995803833" hidden="0" customWidth="1"/>
    <x:col min="35" max="35" width="12.4399995803833" hidden="0" customWidth="1"/>
    <x:col min="36" max="36" width="12.4399995803833" hidden="0" customWidth="1"/>
    <x:col min="37" max="37" width="12.4399995803833" hidden="0" customWidth="1"/>
    <x:col min="38" max="38" width="12.4399995803833" hidden="0" customWidth="1"/>
    <x:col min="39" max="39" width="12.4399995803833" hidden="0" customWidth="1"/>
    <x:col min="40" max="40" width="12.4399995803833" hidden="0" customWidth="1"/>
    <x:col min="41" max="41" width="12.4399995803833" hidden="0" customWidth="1"/>
    <x:col min="42" max="42" width="12.4399995803833" hidden="0" customWidth="1"/>
    <x:col min="43" max="43" width="12.4399995803833" hidden="0" customWidth="1"/>
    <x:col min="44" max="44" width="12.4399995803833" hidden="0" customWidth="1"/>
    <x:col min="45" max="45" width="12.4399995803833" hidden="0" customWidth="1"/>
    <x:col min="46" max="46" width="12.4399995803833" hidden="0" customWidth="1"/>
    <x:col min="47" max="47" width="12.4399995803833" hidden="0" customWidth="1"/>
    <x:col min="48" max="48" width="12.4399995803833" hidden="0" customWidth="1"/>
    <x:col min="49" max="49" width="12.4399995803833" hidden="0" customWidth="1"/>
    <x:col min="50" max="50" width="12.4399995803833" hidden="0" customWidth="1"/>
    <x:col min="51" max="51" width="12.4399995803833" hidden="0" customWidth="1"/>
    <x:col min="52" max="52" width="12.4399995803833" hidden="0" customWidth="1"/>
    <x:col min="53" max="53" width="12.4399995803833" hidden="0" customWidth="1"/>
    <x:col min="54" max="54" width="12.4399995803833" hidden="0" customWidth="1"/>
    <x:col min="55" max="55" width="12.4399995803833" hidden="0" customWidth="1"/>
    <x:col min="56" max="56" width="12.4399995803833" hidden="0" customWidth="1"/>
    <x:col min="57" max="57" width="32.5" hidden="0" customWidth="1"/>
  </x:cols>
  <x:sheetData>
    <x:row r="1" ht="22.5" customHeight="1">
      <x:c r="A1" s="1623" t="str">
        <x:v>《山海经》原典地图｜v031 卷十八《海内经》闭合校验修复</x:v>
      </x:c>
      <x:c r="B1" s="1623"/>
      <x:c r="C1" s="1623"/>
      <x:c r="D1" s="1623"/>
      <x:c r="E1" s="1623"/>
      <x:c r="F1" s="1623"/>
      <x:c r="G1" s="1623"/>
      <x:c r="H1" s="1623"/>
      <x:c r="I1" s="1623"/>
      <x:c r="J1" s="1623"/>
      <x:c r="K1" s="1623"/>
      <x:c r="L1" s="1623"/>
      <x:c r="M1" s="1623"/>
      <x:c r="N1" s="1623"/>
      <x:c r="O1" s="1623"/>
      <x:c r="P1" s="1623"/>
      <x:c r="Q1" s="1623"/>
      <x:c r="R1" s="1623"/>
      <x:c r="S1" s="1623"/>
      <x:c r="T1" s="1623"/>
      <x:c r="U1" s="1623"/>
      <x:c r="V1" s="1623"/>
      <x:c r="W1" s="1623"/>
      <x:c r="X1" s="1623"/>
      <x:c r="Y1" s="1623"/>
      <x:c r="Z1" s="1623"/>
      <x:c r="AA1" s="1623"/>
      <x:c r="AB1" s="1623"/>
      <x:c r="AC1" s="1623"/>
      <x:c r="AD1" s="1623"/>
      <x:c r="AE1" s="1623"/>
      <x:c r="AF1" s="1623"/>
      <x:c r="AG1" s="1623"/>
      <x:c r="AH1" s="1623"/>
      <x:c r="AI1" s="1623"/>
      <x:c r="AJ1" s="1623"/>
      <x:c r="AK1" s="1623"/>
      <x:c r="AL1" s="1623"/>
      <x:c r="AM1" s="1623"/>
      <x:c r="AN1" s="1623"/>
      <x:c r="AO1" s="1623"/>
      <x:c r="AP1" s="1623"/>
      <x:c r="AQ1" s="1623"/>
      <x:c r="AR1" s="1623"/>
      <x:c r="AS1" s="1623"/>
      <x:c r="AT1" s="1623"/>
      <x:c r="AU1" s="1623"/>
      <x:c r="AV1" s="1623"/>
      <x:c r="AW1" s="1623"/>
      <x:c r="AX1" s="1623"/>
      <x:c r="AY1" s="1623"/>
      <x:c r="AZ1" s="1623"/>
      <x:c r="BA1" s="1623"/>
      <x:c r="BB1" s="1623"/>
      <x:c r="BC1" s="1623"/>
      <x:c r="BD1" s="1623"/>
      <x:c r="BE1" s="1623"/>
    </x:row>
    <x:row r="2" ht="34.5" customHeight="1">
      <x:c r="A2" s="1624" t="str">
        <x:v>卷十八110条拆分记录已全部完成：97条已建档，13条非地图／概念条目。未锚定模块以专用拓扑带显示，坐标只作排版，不代表与都广的真实里数。</x:v>
      </x:c>
      <x:c r="B2" s="1624"/>
      <x:c r="C2" s="1624"/>
      <x:c r="D2" s="1624"/>
      <x:c r="E2" s="1624"/>
      <x:c r="F2" s="1624"/>
      <x:c r="G2" s="1624"/>
      <x:c r="H2" s="1624"/>
      <x:c r="I2" s="1624"/>
      <x:c r="J2" s="1624"/>
      <x:c r="K2" s="1624"/>
      <x:c r="L2" s="1624"/>
      <x:c r="M2" s="1624"/>
      <x:c r="N2" s="1624"/>
      <x:c r="O2" s="1624"/>
      <x:c r="P2" s="1624"/>
      <x:c r="Q2" s="1624"/>
      <x:c r="R2" s="1624"/>
      <x:c r="S2" s="1624"/>
      <x:c r="T2" s="1624"/>
      <x:c r="U2" s="1624"/>
      <x:c r="V2" s="1624"/>
      <x:c r="W2" s="1624"/>
      <x:c r="X2" s="1624"/>
      <x:c r="Y2" s="1624"/>
      <x:c r="Z2" s="1624"/>
      <x:c r="AA2" s="1624"/>
      <x:c r="AB2" s="1624"/>
      <x:c r="AC2" s="1624"/>
      <x:c r="AD2" s="1624"/>
      <x:c r="AE2" s="1624"/>
      <x:c r="AF2" s="1624"/>
      <x:c r="AG2" s="1624"/>
      <x:c r="AH2" s="1624"/>
      <x:c r="AI2" s="1624"/>
      <x:c r="AJ2" s="1624"/>
      <x:c r="AK2" s="1624"/>
      <x:c r="AL2" s="1624"/>
      <x:c r="AM2" s="1624"/>
      <x:c r="AN2" s="1624"/>
      <x:c r="AO2" s="1624"/>
      <x:c r="AP2" s="1624"/>
      <x:c r="AQ2" s="1624"/>
      <x:c r="AR2" s="1624"/>
      <x:c r="AS2" s="1624"/>
      <x:c r="AT2" s="1624"/>
      <x:c r="AU2" s="1624"/>
      <x:c r="AV2" s="1624"/>
      <x:c r="AW2" s="1624"/>
      <x:c r="AX2" s="1624"/>
      <x:c r="AY2" s="1624"/>
      <x:c r="AZ2" s="1624"/>
      <x:c r="BA2" s="1624"/>
      <x:c r="BB2" s="1624"/>
      <x:c r="BC2" s="1624"/>
      <x:c r="BD2" s="1624"/>
      <x:c r="BE2" s="1624"/>
    </x:row>
    <x:row r="3" ht="41.25" customHeight="1"/>
    <x:row r="4" ht="31.5" customHeight="1">
      <x:c r="A4" s="1625" t="str">
        <x:v>Y／X</x:v>
      </x:c>
      <x:c r="B4" s="1625" t="str">
        <x:v>X=-49格
(-4900里)</x:v>
      </x:c>
      <x:c r="C4" s="1625" t="str">
        <x:v>X=-48格
(-4800里)</x:v>
      </x:c>
      <x:c r="D4" s="1625" t="str">
        <x:v>X=-47格
(-4700里)</x:v>
      </x:c>
      <x:c r="E4" s="1625" t="str">
        <x:v>X=-46格
(-4600里)</x:v>
      </x:c>
      <x:c r="F4" s="1625" t="str">
        <x:v>X=-45格
(-4500里)</x:v>
      </x:c>
      <x:c r="G4" s="1625" t="str">
        <x:v>X=-44格
(-4400里)</x:v>
      </x:c>
      <x:c r="H4" s="1625" t="str">
        <x:v>X=-43格
(-4300里)</x:v>
      </x:c>
      <x:c r="I4" s="1625" t="str">
        <x:v>X=-42格
(-4200里)</x:v>
      </x:c>
      <x:c r="J4" s="1625" t="str">
        <x:v>X=-41格
(-4100里)</x:v>
      </x:c>
      <x:c r="K4" s="1625" t="str">
        <x:v>X=-40格
(-4000里)</x:v>
      </x:c>
      <x:c r="L4" s="1625" t="str">
        <x:v>X=-39格
(-3900里)</x:v>
      </x:c>
      <x:c r="M4" s="1625" t="str">
        <x:v>X=-38格
(-3800里)</x:v>
      </x:c>
      <x:c r="N4" s="1625" t="str">
        <x:v>X=-37格
(-3700里)</x:v>
      </x:c>
      <x:c r="O4" s="1625" t="str">
        <x:v>X=-36格
(-3600里)</x:v>
      </x:c>
      <x:c r="P4" s="1625" t="str">
        <x:v>X=-35格
(-3500里)</x:v>
      </x:c>
      <x:c r="Q4" s="1625" t="str">
        <x:v>X=-34格
(-3400里)</x:v>
      </x:c>
      <x:c r="R4" s="1625" t="str">
        <x:v>X=-33格
(-3300里)</x:v>
      </x:c>
      <x:c r="S4" s="1625" t="str">
        <x:v>X=-32格
(-3200里)</x:v>
      </x:c>
      <x:c r="T4" s="1625" t="str">
        <x:v>X=-31格
(-3100里)</x:v>
      </x:c>
      <x:c r="U4" s="1625" t="str">
        <x:v>X=-30格
(-3000里)</x:v>
      </x:c>
      <x:c r="V4" s="1625" t="str">
        <x:v>X=-29格
(-2900里)</x:v>
      </x:c>
      <x:c r="W4" s="1625" t="str">
        <x:v>X=-28格
(-2800里)</x:v>
      </x:c>
      <x:c r="X4" s="1625" t="str">
        <x:v>X=-27格
(-2700里)</x:v>
      </x:c>
      <x:c r="Y4" s="1625" t="str">
        <x:v>X=-26格
(-2600里)</x:v>
      </x:c>
      <x:c r="Z4" s="1625" t="str">
        <x:v>X=-25格
(-2500里)</x:v>
      </x:c>
      <x:c r="AA4" s="1625" t="str">
        <x:v>X=-24格
(-2400里)</x:v>
      </x:c>
      <x:c r="AB4" s="1625" t="str">
        <x:v>X=-23格
(-2300里)</x:v>
      </x:c>
      <x:c r="AC4" s="1625" t="str">
        <x:v>X=-22格
(-2200里)</x:v>
      </x:c>
      <x:c r="AD4" s="1625" t="str">
        <x:v>X=-21格
(-2100里)</x:v>
      </x:c>
      <x:c r="AE4" s="1625" t="str">
        <x:v>X=-20格
(-2000里)</x:v>
      </x:c>
      <x:c r="AF4" s="1625" t="str">
        <x:v>X=-19格
(-1900里)</x:v>
      </x:c>
      <x:c r="AG4" s="1625" t="str">
        <x:v>X=-18格
(-1800里)</x:v>
      </x:c>
      <x:c r="AH4" s="1625" t="str">
        <x:v>X=-17格
(-1700里)</x:v>
      </x:c>
      <x:c r="AI4" s="1625" t="str">
        <x:v>X=-16格
(-1600里)</x:v>
      </x:c>
      <x:c r="AJ4" s="1625" t="str">
        <x:v>X=-15格
(-1500里)</x:v>
      </x:c>
      <x:c r="AK4" s="1625" t="str">
        <x:v>X=-14格
(-1400里)</x:v>
      </x:c>
      <x:c r="AL4" s="1625" t="str">
        <x:v>X=-13格
(-1300里)</x:v>
      </x:c>
      <x:c r="AM4" s="1625" t="str">
        <x:v>X=-12格
(-1200里)</x:v>
      </x:c>
      <x:c r="AN4" s="1625" t="str">
        <x:v>X=-11格
(-1100里)</x:v>
      </x:c>
      <x:c r="AO4" s="1625" t="str">
        <x:v>X=-10格
(-1000里)</x:v>
      </x:c>
      <x:c r="AP4" s="1625" t="str">
        <x:v>X=-9格
(-900里)</x:v>
      </x:c>
      <x:c r="AQ4" s="1625" t="str">
        <x:v>X=-8格
(-800里)</x:v>
      </x:c>
      <x:c r="AR4" s="1625" t="str">
        <x:v>X=-7格
(-700里)</x:v>
      </x:c>
      <x:c r="AS4" s="1625" t="str">
        <x:v>X=-6格
(-600里)</x:v>
      </x:c>
      <x:c r="AT4" s="1625" t="str">
        <x:v>X=-5格
(-500里)</x:v>
      </x:c>
      <x:c r="AU4" s="1625" t="str">
        <x:v>X=-4格
(-400里)</x:v>
      </x:c>
      <x:c r="AV4" s="1625" t="str">
        <x:v>X=-3格
(-300里)</x:v>
      </x:c>
      <x:c r="AW4" s="1625" t="str">
        <x:v>X=-2格
(-200里)</x:v>
      </x:c>
      <x:c r="AX4" s="1625" t="str">
        <x:v>X=-1格
(-100里)</x:v>
      </x:c>
      <x:c r="AY4" s="1625" t="str">
        <x:v>X=+0格
(+0里)</x:v>
      </x:c>
      <x:c r="AZ4" s="1625" t="str">
        <x:v>X=+1格
(+100里)</x:v>
      </x:c>
      <x:c r="BA4" s="1625" t="str">
        <x:v>X=+2格
(+200里)</x:v>
      </x:c>
      <x:c r="BB4" s="1625" t="str">
        <x:v>X=+3格
(+300里)</x:v>
      </x:c>
      <x:c r="BC4" s="1625" t="str">
        <x:v>X=+4格
(+400里)</x:v>
      </x:c>
      <x:c r="BD4" s="1625" t="str">
        <x:v>X=+5格
(+500里)</x:v>
      </x:c>
      <x:c r="BE4" s="1626" t="str">
        <x:v>v030闭合说明</x:v>
      </x:c>
    </x:row>
    <x:row r="5" ht="84" customHeight="1">
      <x:c r="A5" s="1627" t="str">
        <x:v>Y=+15格
(+1500里)</x:v>
      </x:c>
      <x:c r="B5" s="1629" t="str"/>
      <x:c r="C5" s="1629" t="str"/>
      <x:c r="D5" s="1629" t="str"/>
      <x:c r="E5" s="1629" t="str"/>
      <x:c r="F5" s="1629" t="str"/>
      <x:c r="G5" s="1629" t="str"/>
      <x:c r="H5" s="1629" t="str"/>
      <x:c r="I5" s="1629" t="str"/>
      <x:c r="J5" s="1629" t="str"/>
      <x:c r="K5" s="1629" t="str"/>
      <x:c r="L5" s="1629" t="str"/>
      <x:c r="M5" s="1629" t="str"/>
      <x:c r="N5" s="1629" t="str"/>
      <x:c r="O5" s="1629" t="str"/>
      <x:c r="P5" s="1629" t="str"/>
      <x:c r="Q5" s="1629" t="str"/>
      <x:c r="R5" s="1629" t="str"/>
      <x:c r="S5" s="1629" t="str"/>
      <x:c r="T5" s="1629" t="str"/>
      <x:c r="U5" s="1629" t="str"/>
      <x:c r="V5" s="1629" t="str"/>
      <x:c r="W5" s="1629" t="str"/>
      <x:c r="X5" s="1629" t="str"/>
      <x:c r="Y5" s="1629" t="str"/>
      <x:c r="Z5" s="1629" t="str"/>
      <x:c r="AA5" s="1629" t="str"/>
      <x:c r="AB5" s="1629" t="str"/>
      <x:c r="AC5" s="1629" t="str"/>
      <x:c r="AD5" s="1629" t="str"/>
      <x:c r="AE5" s="1629" t="str"/>
      <x:c r="AF5" s="1629" t="str"/>
      <x:c r="AG5" s="1629" t="str"/>
      <x:c r="AH5" s="1629" t="str"/>
      <x:c r="AI5" s="1629" t="str"/>
      <x:c r="AJ5" s="1629" t="str"/>
      <x:c r="AK5" s="1629" t="str"/>
      <x:c r="AL5" s="1629" t="str"/>
      <x:c r="AM5" s="1629" t="str"/>
      <x:c r="AN5" s="1629" t="str"/>
      <x:c r="AO5" s="1629" t="str"/>
      <x:c r="AP5" s="1629" t="str"/>
      <x:c r="AQ5" s="1629" t="str"/>
      <x:c r="AR5" s="1629" t="str"/>
      <x:c r="AS5" s="1629" t="str"/>
      <x:c r="AT5" s="1629" t="str"/>
      <x:c r="AU5" s="1629" t="str"/>
      <x:c r="AV5" s="1629" t="str"/>
      <x:c r="AW5" s="1630" t="str">
        <x:v>〔北海之内〕
▧〔R181〕北海之内</x:v>
      </x:c>
      <x:c r="AX5" s="1630" t="str">
        <x:v>〔北海之内·尸体层〕
◆〔R188〕相顾之尸</x:v>
      </x:c>
      <x:c r="AY5" s="1629" t="str"/>
      <x:c r="AZ5" s="1629" t="str"/>
      <x:c r="BA5" s="1629" t="str"/>
      <x:c r="BB5" s="1630" t="str">
        <x:v>〔东海之内〕
▧〔R147〕东海之内</x:v>
      </x:c>
      <x:c r="BC5" s="1630" t="str">
        <x:v>〔东海内·北海之隅〕
▧〔R148〕北海之隅</x:v>
      </x:c>
      <x:c r="BD5" s="1629" t="str"/>
      <x:c r="BE5" s="1628" t="str">
        <x:v>卷十八闭合结果
• 拆分记录：110
• 已建档：97
• 非地图／概念条目：13
• 待办：0
• 其他未分类：0
V030新增拓扑对象（V031已校验）
• 东海—北海隅：朝鲜、天毒
• 西海—流沙：壑市、沮叶、鸟山三水、淮山好水
• 南方连续层：禺中、列襄、灵山、盐长、巴、朱卷、南方异民
• 南海内四山：衡山、菌山、桂山、三天子之都
• 北海：蛇山蛇水、不距山巧倕葬、相顾之尸、幽都外围、钉灵
• 未锚定接口：江水事件层、羽郊
证据等级
• 模块内部关系来自原文
• 模块在主棋盘中的远近属于排版
• 不得把排版坐标换算为真实里数
当前地图对象：188
主格112×112像素，严格1:1。</x:v>
      </x:c>
    </x:row>
    <x:row r="6" ht="84" customHeight="1">
      <x:c r="A6" s="1627" t="str">
        <x:v>Y=+14格
(+1400里)</x:v>
      </x:c>
      <x:c r="B6" s="1629" t="str"/>
      <x:c r="C6" s="1629" t="str"/>
      <x:c r="D6" s="1629" t="str"/>
      <x:c r="E6" s="1629" t="str"/>
      <x:c r="F6" s="1629" t="str"/>
      <x:c r="G6" s="1629" t="str"/>
      <x:c r="H6" s="1629" t="str"/>
      <x:c r="I6" s="1629" t="str"/>
      <x:c r="J6" s="1629" t="str"/>
      <x:c r="K6" s="1629" t="str"/>
      <x:c r="L6" s="1629" t="str"/>
      <x:c r="M6" s="1629" t="str"/>
      <x:c r="N6" s="1629" t="str"/>
      <x:c r="O6" s="1629" t="str"/>
      <x:c r="P6" s="1629" t="str"/>
      <x:c r="Q6" s="1629" t="str"/>
      <x:c r="R6" s="1629" t="str"/>
      <x:c r="S6" s="1629" t="str"/>
      <x:c r="T6" s="1629" t="str"/>
      <x:c r="U6" s="1629" t="str"/>
      <x:c r="V6" s="1629" t="str"/>
      <x:c r="W6" s="1629" t="str"/>
      <x:c r="X6" s="1629" t="str"/>
      <x:c r="Y6" s="1629" t="str"/>
      <x:c r="Z6" s="1629" t="str"/>
      <x:c r="AA6" s="1629" t="str"/>
      <x:c r="AB6" s="1629" t="str"/>
      <x:c r="AC6" s="1629" t="str"/>
      <x:c r="AD6" s="1629" t="str"/>
      <x:c r="AE6" s="1629" t="str"/>
      <x:c r="AF6" s="1629" t="str"/>
      <x:c r="AG6" s="1629" t="str"/>
      <x:c r="AH6" s="1629" t="str"/>
      <x:c r="AI6" s="1629" t="str"/>
      <x:c r="AJ6" s="1629" t="str"/>
      <x:c r="AK6" s="1629" t="str"/>
      <x:c r="AL6" s="1629" t="str"/>
      <x:c r="AM6" s="1629" t="str"/>
      <x:c r="AN6" s="1629" t="str"/>
      <x:c r="AO6" s="1629" t="str"/>
      <x:c r="AP6" s="1629" t="str"/>
      <x:c r="AQ6" s="1629" t="str"/>
      <x:c r="AR6" s="1629" t="str"/>
      <x:c r="AS6" s="1629" t="str"/>
      <x:c r="AT6" s="1629" t="str"/>
      <x:c r="AU6" s="1629" t="str"/>
      <x:c r="AV6" s="1629" t="str"/>
      <x:c r="AW6" s="1631" t="str">
        <x:v>〔蛇山—蛇水—翳鸟〕
▲〔R182〕蛇山 Δ(-20,0)
💧→〔R183〕蛇水 Δ(-20,-20)
≋〔R184〕蛇水入海 Δ(+20,-20)
◇〔R185〕翳鸟 Δ(+20,+20)</x:v>
      </x:c>
      <x:c r="AX6" s="1630" t="str">
        <x:v>〔不距山—巧倕葬地〕
▲〔R186〕不距之山
◆〔R187〕巧倕葬地 Δ(-20,0)</x:v>
      </x:c>
      <x:c r="AY6" s="1631" t="str">
        <x:v>〔幽都之山生态层〕
▲〔R56〕幽都之山
💧•〔R57〕黑水（幽都源段）
◇〔R196〕幽都玄兽群 Δ(+20,0)</x:v>
      </x:c>
      <x:c r="AZ6" s="1630" t="str">
        <x:v>〔大玄—玄丘—大幽〕
▲〔R189〕大玄之山
▲〔R190〕玄丘之民 Δ(+20,0)
□〔R191〕大幽国 Δ(+40,0)</x:v>
      </x:c>
      <x:c r="BA6" s="1630" t="str">
        <x:v>〔北海钉灵层〕
□〔R192〕赤胫之民 Δ(-40,0)
□〔R193〕钉灵国</x:v>
      </x:c>
      <x:c r="BB6" s="1629" t="str"/>
      <x:c r="BC6" s="1630" t="str">
        <x:v>〔朝鲜—天毒水居国〕
□〔R149〕朝鲜国 Δ(-20,+20)
□〔R150〕天毒国 Δ(+20,+20)</x:v>
      </x:c>
      <x:c r="BD6" s="1629" t="str"/>
      <x:c r="BE6" s="1628"/>
    </x:row>
    <x:row r="7" ht="84" customHeight="1">
      <x:c r="A7" s="1627" t="str">
        <x:v>Y=+13格
(+1300里)</x:v>
      </x:c>
      <x:c r="B7" s="1629" t="str"/>
      <x:c r="C7" s="1629" t="str"/>
      <x:c r="D7" s="1629" t="str"/>
      <x:c r="E7" s="1629" t="str"/>
      <x:c r="F7" s="1629" t="str"/>
      <x:c r="G7" s="1629" t="str"/>
      <x:c r="H7" s="1629" t="str"/>
      <x:c r="I7" s="1629" t="str"/>
      <x:c r="J7" s="1629" t="str"/>
      <x:c r="K7" s="1629" t="str"/>
      <x:c r="L7" s="1629" t="str"/>
      <x:c r="M7" s="1629" t="str"/>
      <x:c r="N7" s="1629" t="str"/>
      <x:c r="O7" s="1629" t="str"/>
      <x:c r="P7" s="1629" t="str"/>
      <x:c r="Q7" s="1629" t="str"/>
      <x:c r="R7" s="1629" t="str"/>
      <x:c r="S7" s="1629" t="str"/>
      <x:c r="T7" s="1629" t="str"/>
      <x:c r="U7" s="1629" t="str"/>
      <x:c r="V7" s="1629" t="str"/>
      <x:c r="W7" s="1629" t="str"/>
      <x:c r="X7" s="1629" t="str"/>
      <x:c r="Y7" s="1629" t="str"/>
      <x:c r="Z7" s="1629" t="str"/>
      <x:c r="AA7" s="1629" t="str"/>
      <x:c r="AB7" s="1629" t="str"/>
      <x:c r="AC7" s="1629" t="str"/>
      <x:c r="AD7" s="1629" t="str"/>
      <x:c r="AE7" s="1629" t="str"/>
      <x:c r="AF7" s="1629" t="str"/>
      <x:c r="AG7" s="1629" t="str"/>
      <x:c r="AH7" s="1629" t="str"/>
      <x:c r="AI7" s="1629" t="str"/>
      <x:c r="AJ7" s="1629" t="str"/>
      <x:c r="AK7" s="1629" t="str"/>
      <x:c r="AL7" s="1629" t="str"/>
      <x:c r="AM7" s="1629" t="str"/>
      <x:c r="AN7" s="1632" t="str">
        <x:v>✦〔R58〕西王母（昆仑虚北） Δ(+50,-50)</x:v>
      </x:c>
      <x:c r="AO7" s="1629" t="str"/>
      <x:c r="AP7" s="1629" t="str"/>
      <x:c r="AQ7" s="1629" t="str"/>
      <x:c r="AR7" s="1629" t="str"/>
      <x:c r="AS7" s="1629" t="str"/>
      <x:c r="AT7" s="1632" t="str">
        <x:v>✦〔R60〕四帝台（整体） Δ(+50,-50)
✦〔R61〕帝尧台</x:v>
      </x:c>
      <x:c r="AU7" s="1633" t="str">
        <x:v>✦〔R62〕帝喾台
▲〔R115〕槐江山 Δ(+32.8,+32.8)</x:v>
      </x:c>
      <x:c r="AV7" s="1629" t="str"/>
      <x:c r="AW7" s="1629" t="str"/>
      <x:c r="AX7" s="1629" t="str"/>
      <x:c r="AY7" s="1629" t="str"/>
      <x:c r="AZ7" s="1629" t="str"/>
      <x:c r="BA7" s="1629" t="str"/>
      <x:c r="BB7" s="1631" t="str">
        <x:v>〔未锚定事件接口〕
💧•〔R194〕江水事件层
•〔R195〕羽郊 Δ(+40,0)</x:v>
      </x:c>
      <x:c r="BC7" s="1629" t="str"/>
      <x:c r="BD7" s="1629" t="str"/>
      <x:c r="BE7" s="1628"/>
    </x:row>
    <x:row r="8" ht="84" customHeight="1">
      <x:c r="A8" s="1627" t="str">
        <x:v>Y=+12格
(+1200里)</x:v>
      </x:c>
      <x:c r="B8" s="1629" t="str"/>
      <x:c r="C8" s="1629" t="str"/>
      <x:c r="D8" s="1629" t="str"/>
      <x:c r="E8" s="1629" t="str"/>
      <x:c r="F8" s="1629" t="str"/>
      <x:c r="G8" s="1629" t="str"/>
      <x:c r="H8" s="1629" t="str"/>
      <x:c r="I8" s="1629" t="str"/>
      <x:c r="J8" s="1629" t="str"/>
      <x:c r="K8" s="1629" t="str"/>
      <x:c r="L8" s="1629" t="str"/>
      <x:c r="M8" s="1629" t="str"/>
      <x:c r="N8" s="1629" t="str"/>
      <x:c r="O8" s="1629" t="str"/>
      <x:c r="P8" s="1629" t="str"/>
      <x:c r="Q8" s="1629" t="str"/>
      <x:c r="R8" s="1629" t="str"/>
      <x:c r="S8" s="1629" t="str"/>
      <x:c r="T8" s="1629" t="str"/>
      <x:c r="U8" s="1629" t="str"/>
      <x:c r="V8" s="1629" t="str"/>
      <x:c r="W8" s="1629" t="str"/>
      <x:c r="X8" s="1629" t="str"/>
      <x:c r="Y8" s="1629" t="str"/>
      <x:c r="Z8" s="1629" t="str"/>
      <x:c r="AA8" s="1629" t="str"/>
      <x:c r="AB8" s="1629" t="str"/>
      <x:c r="AC8" s="1629" t="str"/>
      <x:c r="AD8" s="1629" t="str"/>
      <x:c r="AE8" s="1629" t="str"/>
      <x:c r="AF8" s="1629" t="str"/>
      <x:c r="AG8" s="1629" t="str"/>
      <x:c r="AH8" s="1629" t="str"/>
      <x:c r="AI8" s="1629" t="str"/>
      <x:c r="AJ8" s="1629" t="str"/>
      <x:c r="AK8" s="1629" t="str"/>
      <x:c r="AL8" s="1629" t="str"/>
      <x:c r="AM8" s="1629" t="str"/>
      <x:c r="AN8" s="1632" t="str">
        <x:v>✦〔R59〕三青鸟（西王母南） Δ(+50,-50)</x:v>
      </x:c>
      <x:c r="AO8" s="1629" t="str"/>
      <x:c r="AP8" s="1629" t="str"/>
      <x:c r="AQ8" s="1629" t="str"/>
      <x:c r="AR8" s="1629" t="str"/>
      <x:c r="AS8" s="1629" t="str"/>
      <x:c r="AT8" s="1632" t="str">
        <x:v>✦〔R63〕帝丹朱台</x:v>
      </x:c>
      <x:c r="AU8" s="1632" t="str">
        <x:v>✦〔R64〕帝舜台</x:v>
      </x:c>
      <x:c r="AV8" s="1629" t="str"/>
      <x:c r="AW8" s="1629" t="str"/>
      <x:c r="AX8" s="1629" t="str"/>
      <x:c r="AY8" s="1629" t="str"/>
      <x:c r="AZ8" s="1629" t="str"/>
      <x:c r="BA8" s="1629" t="str"/>
      <x:c r="BB8" s="1629" t="str"/>
      <x:c r="BC8" s="1629" t="str"/>
      <x:c r="BD8" s="1629" t="str"/>
      <x:c r="BE8" s="1628"/>
    </x:row>
    <x:row r="9" ht="84" customHeight="1">
      <x:c r="A9" s="1627" t="str">
        <x:v>Y=+11格
(+1100里)</x:v>
      </x:c>
      <x:c r="B9" s="1629" t="str"/>
      <x:c r="C9" s="1629" t="str"/>
      <x:c r="D9" s="1629" t="str"/>
      <x:c r="E9" s="1629" t="str"/>
      <x:c r="F9" s="1629" t="str"/>
      <x:c r="G9" s="1629" t="str"/>
      <x:c r="H9" s="1629" t="str"/>
      <x:c r="I9" s="1629" t="str"/>
      <x:c r="J9" s="1629" t="str"/>
      <x:c r="K9" s="1629" t="str"/>
      <x:c r="L9" s="1629" t="str"/>
      <x:c r="M9" s="1629" t="str"/>
      <x:c r="N9" s="1629" t="str"/>
      <x:c r="O9" s="1629" t="str"/>
      <x:c r="P9" s="1629" t="str"/>
      <x:c r="Q9" s="1629" t="str"/>
      <x:c r="R9" s="1629" t="str"/>
      <x:c r="S9" s="1629" t="str"/>
      <x:c r="T9" s="1629" t="str"/>
      <x:c r="U9" s="1629" t="str"/>
      <x:c r="V9" s="1629" t="str"/>
      <x:c r="W9" s="1629" t="str"/>
      <x:c r="X9" s="1629" t="str"/>
      <x:c r="Y9" s="1629" t="str"/>
      <x:c r="Z9" s="1629" t="str"/>
      <x:c r="AA9" s="1629" t="str"/>
      <x:c r="AB9" s="1629" t="str"/>
      <x:c r="AC9" s="1629" t="str"/>
      <x:c r="AD9" s="1629" t="str"/>
      <x:c r="AE9" s="1629" t="str"/>
      <x:c r="AF9" s="1629" t="str"/>
      <x:c r="AG9" s="1629" t="str"/>
      <x:c r="AH9" s="1629" t="str"/>
      <x:c r="AI9" s="1629" t="str"/>
      <x:c r="AJ9" s="1634" t="str">
        <x:v>💧•〔R47〕洋水（昆仑源段） Δ(+50,-50)
💧•〔R48〕黑水（昆仑源段） Δ(+50,-50)</x:v>
      </x:c>
      <x:c r="AK9" s="1635" t="str">
        <x:v>💧→〔R92〕洋黑水东行① Δ(-30,-50)
💧→〔R93〕洋黑水东行② Δ(-10,-50)
💧↗〔R94〕洋黑水东北转 Δ(+4.1,-35.9)
□〔R95〕羽民国（洋水黑水入海北侧） Δ(+4.1,-15.9)
≋〔R96〕洋黑水入海口 Δ(+4.1,-35.9)</x:v>
      </x:c>
      <x:c r="AL9" s="1629" t="str"/>
      <x:c r="AM9" s="1629" t="str"/>
      <x:c r="AN9" s="1629" t="str"/>
      <x:c r="AO9" s="1629" t="str"/>
      <x:c r="AP9" s="1629" t="str"/>
      <x:c r="AQ9" s="1629" t="str"/>
      <x:c r="AR9" s="1636" t="str">
        <x:v>≋〔R85〕渤海（河水贯入段） Δ(+35.9,-44.1)
💧←〔R86〕河水海外西行 Δ(+15.9,-44.1)
💧↑〔R87〕河水海外北转 Δ(+15.9,-24.1)
▲〔R88〕禹所导积石山／禹所积石之山 Δ(+15.9,-4.1)
▲〔R89〕先槛大逢之山 Δ(+35.9,-4.1)
💧◎〔R90〕济水（先槛大逢汇入段） Δ(+35.9,-4.1)
≋〔R91〕海（先槛大逢北注接口） Δ(+35.9,+15.9)</x:v>
      </x:c>
      <x:c r="AS9" s="1635" t="str">
        <x:v>💧•〔R46〕河水（昆仑源段） Δ(-50,-50)
💧↑〔R84〕河水北行 Δ(-50,-30)</x:v>
      </x:c>
      <x:c r="AT9" s="1629" t="str"/>
      <x:c r="AU9" s="1629" t="str"/>
      <x:c r="AV9" s="1629" t="str"/>
      <x:c r="AW9" s="1629" t="str"/>
      <x:c r="AX9" s="1629" t="str"/>
      <x:c r="AY9" s="1629" t="str"/>
      <x:c r="AZ9" s="1629" t="str"/>
      <x:c r="BA9" s="1629" t="str"/>
      <x:c r="BB9" s="1629" t="str"/>
      <x:c r="BC9" s="1629" t="str"/>
      <x:c r="BD9" s="1629" t="str"/>
      <x:c r="BE9" s="1628"/>
    </x:row>
    <x:row r="10" ht="84" customHeight="1">
      <x:c r="A10" s="1627" t="str">
        <x:v>Y=+10格
(+1000里)</x:v>
      </x:c>
      <x:c r="B10" s="1629" t="str"/>
      <x:c r="C10" s="1629" t="str"/>
      <x:c r="D10" s="1629" t="str"/>
      <x:c r="E10" s="1629" t="str"/>
      <x:c r="F10" s="1629" t="str"/>
      <x:c r="G10" s="1629" t="str"/>
      <x:c r="H10" s="1629" t="str"/>
      <x:c r="I10" s="1629" t="str"/>
      <x:c r="J10" s="1629" t="str"/>
      <x:c r="K10" s="1629" t="str"/>
      <x:c r="L10" s="1629" t="str"/>
      <x:c r="M10" s="1629" t="str"/>
      <x:c r="N10" s="1629" t="str"/>
      <x:c r="O10" s="1629" t="str"/>
      <x:c r="P10" s="1629" t="str"/>
      <x:c r="Q10" s="1629" t="str"/>
      <x:c r="R10" s="1629" t="str"/>
      <x:c r="S10" s="1629" t="str"/>
      <x:c r="T10" s="1629" t="str"/>
      <x:c r="U10" s="1629" t="str"/>
      <x:c r="V10" s="1629" t="str"/>
      <x:c r="W10" s="1629" t="str"/>
      <x:c r="X10" s="1629" t="str"/>
      <x:c r="Y10" s="1629" t="str"/>
      <x:c r="Z10" s="1629" t="str"/>
      <x:c r="AA10" s="1629" t="str"/>
      <x:c r="AB10" s="1629" t="str"/>
      <x:c r="AC10" s="1629" t="str"/>
      <x:c r="AD10" s="1629" t="str"/>
      <x:c r="AE10" s="1629" t="str"/>
      <x:c r="AF10" s="1629" t="str"/>
      <x:c r="AG10" s="1637" t="str"/>
      <x:c r="AH10" s="1638" t="str"/>
      <x:c r="AI10" s="1638" t="str"/>
      <x:c r="AJ10" s="1638" t="str"/>
      <x:c r="AK10" s="1639" t="str">
        <x:v>〔昆仑域〕</x:v>
      </x:c>
      <x:c r="AL10" s="1640" t="str">
        <x:v>〔昆仑域〕</x:v>
      </x:c>
      <x:c r="AM10" s="1640" t="str">
        <x:v>〔昆仑域〕</x:v>
      </x:c>
      <x:c r="AN10" s="1641" t="str">
        <x:v>〔昆仑域〕</x:v>
      </x:c>
      <x:c r="AO10" s="1640" t="str">
        <x:v>〔昆仑域〕</x:v>
      </x:c>
      <x:c r="AP10" s="1640" t="str">
        <x:v>〔昆仑域〕</x:v>
      </x:c>
      <x:c r="AQ10" s="1640" t="str">
        <x:v>〔昆仑域〕</x:v>
      </x:c>
      <x:c r="AR10" s="1642" t="str">
        <x:v>〔昆仑域〕</x:v>
      </x:c>
      <x:c r="AS10" s="1629" t="str"/>
      <x:c r="AT10" s="1629" t="str"/>
      <x:c r="AU10" s="1629" t="str"/>
      <x:c r="AV10" s="1629" t="str"/>
      <x:c r="AW10" s="1629" t="str"/>
      <x:c r="AX10" s="1629" t="str"/>
      <x:c r="AY10" s="1629" t="str"/>
      <x:c r="AZ10" s="1629" t="str"/>
      <x:c r="BA10" s="1629" t="str"/>
      <x:c r="BB10" s="1629" t="str"/>
      <x:c r="BC10" s="1629" t="str"/>
      <x:c r="BD10" s="1629" t="str"/>
      <x:c r="BE10" s="1628"/>
    </x:row>
    <x:row r="11" ht="84" customHeight="1">
      <x:c r="A11" s="1627" t="str">
        <x:v>Y=+9格
(+900里)</x:v>
      </x:c>
      <x:c r="B11" s="1629" t="str"/>
      <x:c r="C11" s="1629" t="str"/>
      <x:c r="D11" s="1629" t="str"/>
      <x:c r="E11" s="1629" t="str"/>
      <x:c r="F11" s="1629" t="str"/>
      <x:c r="G11" s="1629" t="str"/>
      <x:c r="H11" s="1629" t="str"/>
      <x:c r="I11" s="1629" t="str"/>
      <x:c r="J11" s="1629" t="str"/>
      <x:c r="K11" s="1629" t="str"/>
      <x:c r="L11" s="1629" t="str"/>
      <x:c r="M11" s="1629" t="str"/>
      <x:c r="N11" s="1629" t="str"/>
      <x:c r="O11" s="1629" t="str"/>
      <x:c r="P11" s="1629" t="str"/>
      <x:c r="Q11" s="1629" t="str"/>
      <x:c r="R11" s="1629" t="str"/>
      <x:c r="S11" s="1629" t="str"/>
      <x:c r="T11" s="1629" t="str"/>
      <x:c r="U11" s="1629" t="str"/>
      <x:c r="V11" s="1629" t="str"/>
      <x:c r="W11" s="1629" t="str"/>
      <x:c r="X11" s="1629" t="str"/>
      <x:c r="Y11" s="1629" t="str"/>
      <x:c r="Z11" s="1629" t="str"/>
      <x:c r="AA11" s="1629" t="str"/>
      <x:c r="AB11" s="1629" t="str"/>
      <x:c r="AC11" s="1629" t="str"/>
      <x:c r="AD11" s="1629" t="str"/>
      <x:c r="AE11" s="1629" t="str"/>
      <x:c r="AF11" s="1629" t="str"/>
      <x:c r="AG11" s="1643" t="str"/>
      <x:c r="AH11" s="1629" t="str"/>
      <x:c r="AI11" s="1629" t="str"/>
      <x:c r="AJ11" s="1629" t="str"/>
      <x:c r="AK11" s="1644" t="str">
        <x:v>〔昆仑域〕</x:v>
      </x:c>
      <x:c r="AL11" s="1645" t="str">
        <x:v>〔昆仑域〕</x:v>
      </x:c>
      <x:c r="AM11" s="1645" t="str">
        <x:v>〔昆仑域〕</x:v>
      </x:c>
      <x:c r="AN11" s="1646" t="str">
        <x:v>〔昆仑域〕</x:v>
      </x:c>
      <x:c r="AO11" s="1645" t="str">
        <x:v>〔昆仑域〕</x:v>
      </x:c>
      <x:c r="AP11" s="1645" t="str">
        <x:v>〔昆仑域〕</x:v>
      </x:c>
      <x:c r="AQ11" s="1645" t="str">
        <x:v>〔昆仑域〕</x:v>
      </x:c>
      <x:c r="AR11" s="1647" t="str">
        <x:v>〔昆仑域〕</x:v>
      </x:c>
      <x:c r="AS11" s="1629" t="str"/>
      <x:c r="AT11" s="1629" t="str"/>
      <x:c r="AU11" s="1629" t="str"/>
      <x:c r="AV11" s="1629" t="str"/>
      <x:c r="AW11" s="1629" t="str"/>
      <x:c r="AX11" s="1629" t="str"/>
      <x:c r="AY11" s="1629" t="str"/>
      <x:c r="AZ11" s="1629" t="str"/>
      <x:c r="BA11" s="1629" t="str"/>
      <x:c r="BB11" s="1629" t="str"/>
      <x:c r="BC11" s="1629" t="str"/>
      <x:c r="BD11" s="1629" t="str"/>
      <x:c r="BE11" s="1628"/>
    </x:row>
    <x:row r="12" ht="84" customHeight="1">
      <x:c r="A12" s="1627" t="str">
        <x:v>Y=+8格
(+800里)</x:v>
      </x:c>
      <x:c r="B12" s="1629" t="str"/>
      <x:c r="C12" s="1629" t="str"/>
      <x:c r="D12" s="1629" t="str"/>
      <x:c r="E12" s="1629" t="str"/>
      <x:c r="F12" s="1629" t="str"/>
      <x:c r="G12" s="1629" t="str"/>
      <x:c r="H12" s="1629" t="str"/>
      <x:c r="I12" s="1629" t="str"/>
      <x:c r="J12" s="1629" t="str"/>
      <x:c r="K12" s="1629" t="str"/>
      <x:c r="L12" s="1629" t="str"/>
      <x:c r="M12" s="1629" t="str"/>
      <x:c r="N12" s="1629" t="str"/>
      <x:c r="O12" s="1629" t="str"/>
      <x:c r="P12" s="1629" t="str"/>
      <x:c r="Q12" s="1629" t="str"/>
      <x:c r="R12" s="1629" t="str"/>
      <x:c r="S12" s="1629" t="str"/>
      <x:c r="T12" s="1629" t="str"/>
      <x:c r="U12" s="1629" t="str"/>
      <x:c r="V12" s="1629" t="str"/>
      <x:c r="W12" s="1629" t="str"/>
      <x:c r="X12" s="1629" t="str"/>
      <x:c r="Y12" s="1629" t="str"/>
      <x:c r="Z12" s="1629" t="str"/>
      <x:c r="AA12" s="1629" t="str"/>
      <x:c r="AB12" s="1629" t="str"/>
      <x:c r="AC12" s="1629" t="str"/>
      <x:c r="AD12" s="1629" t="str"/>
      <x:c r="AE12" s="1629" t="str"/>
      <x:c r="AF12" s="1629" t="str"/>
      <x:c r="AG12" s="1643" t="str"/>
      <x:c r="AH12" s="1629" t="str"/>
      <x:c r="AI12" s="1629" t="str"/>
      <x:c r="AJ12" s="1629" t="str"/>
      <x:c r="AK12" s="1644" t="str">
        <x:v>〔昆仑域〕</x:v>
      </x:c>
      <x:c r="AL12" s="1645" t="str">
        <x:v>〔昆仑域〕</x:v>
      </x:c>
      <x:c r="AM12" s="1645" t="str">
        <x:v>〔昆仑域〕</x:v>
      </x:c>
      <x:c r="AN12" s="1646" t="str">
        <x:v>〔昆仑域〕
♣〔R72〕开明北神木灵物区 Δ(+50,-50)</x:v>
      </x:c>
      <x:c r="AO12" s="1645" t="str">
        <x:v>〔昆仑域〕</x:v>
      </x:c>
      <x:c r="AP12" s="1645" t="str">
        <x:v>〔昆仑域〕</x:v>
      </x:c>
      <x:c r="AQ12" s="1645" t="str">
        <x:v>〔昆仑域〕</x:v>
      </x:c>
      <x:c r="AR12" s="1647" t="str">
        <x:v>〔昆仑域〕</x:v>
      </x:c>
      <x:c r="AS12" s="1629" t="str"/>
      <x:c r="AT12" s="1629" t="str"/>
      <x:c r="AU12" s="1629" t="str"/>
      <x:c r="AV12" s="1629" t="str"/>
      <x:c r="AW12" s="1629" t="str"/>
      <x:c r="AX12" s="1629" t="str"/>
      <x:c r="AY12" s="1629" t="str"/>
      <x:c r="AZ12" s="1629" t="str"/>
      <x:c r="BA12" s="1629" t="str"/>
      <x:c r="BB12" s="1629" t="str"/>
      <x:c r="BC12" s="1629" t="str"/>
      <x:c r="BD12" s="1629" t="str"/>
      <x:c r="BE12" s="1628"/>
    </x:row>
    <x:row r="13" ht="84" customHeight="1">
      <x:c r="A13" s="1627" t="str">
        <x:v>Y=+7格
(+700里)</x:v>
      </x:c>
      <x:c r="B13" s="1629" t="str"/>
      <x:c r="C13" s="1648" t="str">
        <x:v>▲〔R127〕三危山 Δ(+50,-50)
▲〔R128〕三青鸟居处 Δ(+50,-50)</x:v>
      </x:c>
      <x:c r="D13" s="1629" t="str"/>
      <x:c r="E13" s="1629" t="str"/>
      <x:c r="F13" s="1648" t="str">
        <x:v>▲〔R126〕符愓之山 Δ(-30,-50)</x:v>
      </x:c>
      <x:c r="G13" s="1629" t="str"/>
      <x:c r="H13" s="1648" t="str">
        <x:v>▲〔R125〕阴山 Δ(-30,-50)</x:v>
      </x:c>
      <x:c r="I13" s="1629" t="str"/>
      <x:c r="J13" s="1629" t="str"/>
      <x:c r="K13" s="1648" t="str">
        <x:v>▲〔R124〕章莪之山 Δ(-30,-50)</x:v>
      </x:c>
      <x:c r="L13" s="1629" t="str"/>
      <x:c r="M13" s="1648" t="str">
        <x:v>▲〔R123〕长留之山 Δ(+50,-50)</x:v>
      </x:c>
      <x:c r="N13" s="1629" t="str"/>
      <x:c r="O13" s="1648" t="str">
        <x:v>💧•〔R122〕积石山 Δ(+50,-50)</x:v>
      </x:c>
      <x:c r="P13" s="1629" t="str"/>
      <x:c r="Q13" s="1629" t="str"/>
      <x:c r="R13" s="1648" t="str">
        <x:v>▲〔R121〕轩辕丘 Δ(+50,-50)</x:v>
      </x:c>
      <x:c r="S13" s="1629" t="str"/>
      <x:c r="T13" s="1629" t="str"/>
      <x:c r="U13" s="1629" t="str"/>
      <x:c r="V13" s="1629" t="str"/>
      <x:c r="W13" s="1648" t="str">
        <x:v>▲〔R119〕玉山（西王母居所） Δ(+30,-50)
▲〔R120〕西王母 Δ(+30,-50)</x:v>
      </x:c>
      <x:c r="X13" s="1629" t="str"/>
      <x:c r="Y13" s="1629" t="str"/>
      <x:c r="Z13" s="1629" t="str"/>
      <x:c r="AA13" s="1648" t="str">
        <x:v>▲〔R118〕蠃母之山 Δ(-20,-50)</x:v>
      </x:c>
      <x:c r="AB13" s="1629" t="str"/>
      <x:c r="AC13" s="1648" t="str">
        <x:v>💧•〔R117〕流沙（西次三经水行段） Δ(-20,-50)</x:v>
      </x:c>
      <x:c r="AD13" s="1629" t="str"/>
      <x:c r="AE13" s="1629" t="str"/>
      <x:c r="AF13" s="1629" t="str"/>
      <x:c r="AG13" s="1649" t="str">
        <x:v>▲〔R116〕乐游之山 Δ(-20,-50)</x:v>
      </x:c>
      <x:c r="AH13" s="1629" t="str"/>
      <x:c r="AI13" s="1629" t="str"/>
      <x:c r="AJ13" s="1629" t="str"/>
      <x:c r="AK13" s="1644" t="str">
        <x:v>〔昆仑域〕</x:v>
      </x:c>
      <x:c r="AL13" s="1645" t="str">
        <x:v>〔昆仑域〕</x:v>
      </x:c>
      <x:c r="AM13" s="1645" t="str">
        <x:v>〔昆仑域〕
◇〔R71〕开明西神鸟区 Δ(+50,-50)</x:v>
      </x:c>
      <x:c r="AN13" s="1650" t="str">
        <x:v>〔昆仑域〕
▲〔R44〕昆仑主体 Δ(+50,-50)
▲〔R53〕昆仑大荒层 Δ(+50,-50)
≋〔R54〕弱水之渊环界 Δ(+50,-50)
♣〔R66〕木禾（昆仑顶） Δ(+50,-50)
≋〔R67〕昆仑九井（整体） Δ(+50,-50)
◎〔R68〕昆仑九门（整体） Δ(+50,-50)
◇〔R69〕开明兽（昆仑九门守） Δ(+50,-50)
♣〔R82〕服常树（昆仑内部未分位） Δ(+50,-50)
♣〔R83〕琅玕树（昆仑内部未分位） Δ(+50,-50)
▲〔R105〕昆仑西山层 Δ(+50,-50)
✦〔R106〕陆吾（昆仑九部与帝囿司） Δ(+50,-50)
💧←〔R113〕黑水（西山经西流层） Δ(+30,-50)
≋〔R114〕大杅（西山经黑水流入处） Δ(+10,-50)</x:v>
      </x:c>
      <x:c r="AO13" s="1645" t="str">
        <x:v>〔昆仑域〕
•〔R73〕开明东六巫复生区 Δ(+50,-50)</x:v>
      </x:c>
      <x:c r="AP13" s="1645" t="str">
        <x:v>〔昆仑域〕</x:v>
      </x:c>
      <x:c r="AQ13" s="1645" t="str">
        <x:v>〔昆仑域〕</x:v>
      </x:c>
      <x:c r="AR13" s="1647" t="str">
        <x:v>〔昆仑域〕</x:v>
      </x:c>
      <x:c r="AS13" s="1629" t="str"/>
      <x:c r="AT13" s="1629" t="str"/>
      <x:c r="AU13" s="1629" t="str"/>
      <x:c r="AV13" s="1629" t="str"/>
      <x:c r="AW13" s="1629" t="str"/>
      <x:c r="AX13" s="1629" t="str"/>
      <x:c r="AY13" s="1629" t="str"/>
      <x:c r="AZ13" s="1629" t="str"/>
      <x:c r="BA13" s="1629" t="str"/>
      <x:c r="BB13" s="1629" t="str"/>
      <x:c r="BC13" s="1629" t="str"/>
      <x:c r="BD13" s="1629" t="str"/>
      <x:c r="BE13" s="1628"/>
    </x:row>
    <x:row r="14" ht="84" customHeight="1">
      <x:c r="A14" s="1627" t="str">
        <x:v>Y=+6格
(+600里)</x:v>
      </x:c>
      <x:c r="B14" s="1629" t="str"/>
      <x:c r="C14" s="1629" t="str"/>
      <x:c r="D14" s="1629" t="str"/>
      <x:c r="E14" s="1629" t="str"/>
      <x:c r="F14" s="1629" t="str"/>
      <x:c r="G14" s="1629" t="str"/>
      <x:c r="H14" s="1629" t="str"/>
      <x:c r="I14" s="1629" t="str"/>
      <x:c r="J14" s="1629" t="str"/>
      <x:c r="K14" s="1629" t="str"/>
      <x:c r="L14" s="1629" t="str"/>
      <x:c r="M14" s="1629" t="str"/>
      <x:c r="N14" s="1629" t="str"/>
      <x:c r="O14" s="1629" t="str"/>
      <x:c r="P14" s="1629" t="str"/>
      <x:c r="Q14" s="1629" t="str"/>
      <x:c r="R14" s="1629" t="str"/>
      <x:c r="S14" s="1629" t="str"/>
      <x:c r="T14" s="1629" t="str"/>
      <x:c r="U14" s="1629" t="str"/>
      <x:c r="V14" s="1629" t="str"/>
      <x:c r="W14" s="1629" t="str"/>
      <x:c r="X14" s="1629" t="str"/>
      <x:c r="Y14" s="1629" t="str"/>
      <x:c r="Z14" s="1629" t="str"/>
      <x:c r="AA14" s="1629" t="str"/>
      <x:c r="AB14" s="1629" t="str"/>
      <x:c r="AC14" s="1629" t="str"/>
      <x:c r="AD14" s="1629" t="str"/>
      <x:c r="AE14" s="1629" t="str"/>
      <x:c r="AF14" s="1629" t="str"/>
      <x:c r="AG14" s="1643" t="str"/>
      <x:c r="AH14" s="1629" t="str"/>
      <x:c r="AI14" s="1629" t="str"/>
      <x:c r="AJ14" s="1629" t="str"/>
      <x:c r="AK14" s="1644" t="str">
        <x:v>〔昆仑域〕</x:v>
      </x:c>
      <x:c r="AL14" s="1645" t="str">
        <x:v>〔昆仑域〕</x:v>
      </x:c>
      <x:c r="AM14" s="1645" t="str">
        <x:v>〔昆仑域〕</x:v>
      </x:c>
      <x:c r="AN14" s="1634" t="str">
        <x:v>〔昆仑域〕
≋〔R74〕开明南表池异兽区 Δ(+50,-50)
💧↓〔R107〕河水（西山经南流—东注层） Δ(+50,+30)
💧↙〔R111〕洋水（西山经西南流层） Δ(+30,+30)
≋〔R112〕丑涂之水（西山经洋水注入处） Δ(+15.9,+15.9)</x:v>
      </x:c>
      <x:c r="AO14" s="1635" t="str">
        <x:v>〔昆仑域〕
≋〔R108〕无达（西山经河水注入处） Δ(-30,+30)
💧↘〔R109〕赤水（西山经东南流层） Δ(-30,+30)
≋〔R110〕泛天之水（氾天异文） Δ(-15.9,+15.9)</x:v>
      </x:c>
      <x:c r="AP14" s="1645" t="str">
        <x:v>〔昆仑域〕</x:v>
      </x:c>
      <x:c r="AQ14" s="1645" t="str">
        <x:v>〔昆仑域〕</x:v>
      </x:c>
      <x:c r="AR14" s="1647" t="str">
        <x:v>〔昆仑域〕</x:v>
      </x:c>
      <x:c r="AS14" s="1629" t="str"/>
      <x:c r="AT14" s="1629" t="str"/>
      <x:c r="AU14" s="1629" t="str"/>
      <x:c r="AV14" s="1629" t="str"/>
      <x:c r="AW14" s="1629" t="str"/>
      <x:c r="AX14" s="1629" t="str"/>
      <x:c r="AY14" s="1629" t="str"/>
      <x:c r="AZ14" s="1629" t="str"/>
      <x:c r="BA14" s="1629" t="str"/>
      <x:c r="BB14" s="1629" t="str"/>
      <x:c r="BC14" s="1629" t="str"/>
      <x:c r="BD14" s="1629" t="str"/>
      <x:c r="BE14" s="1628"/>
    </x:row>
    <x:row r="15" ht="84" customHeight="1">
      <x:c r="A15" s="1627" t="str">
        <x:v>Y=+5格
(+500里)</x:v>
      </x:c>
      <x:c r="B15" s="1629" t="str"/>
      <x:c r="C15" s="1629" t="str"/>
      <x:c r="D15" s="1629" t="str"/>
      <x:c r="E15" s="1629" t="str"/>
      <x:c r="F15" s="1629" t="str"/>
      <x:c r="G15" s="1629" t="str"/>
      <x:c r="H15" s="1629" t="str"/>
      <x:c r="I15" s="1629" t="str"/>
      <x:c r="J15" s="1629" t="str"/>
      <x:c r="K15" s="1629" t="str"/>
      <x:c r="L15" s="1629" t="str"/>
      <x:c r="M15" s="1629" t="str"/>
      <x:c r="N15" s="1629" t="str"/>
      <x:c r="O15" s="1629" t="str"/>
      <x:c r="P15" s="1629" t="str"/>
      <x:c r="Q15" s="1629" t="str"/>
      <x:c r="R15" s="1629" t="str"/>
      <x:c r="S15" s="1629" t="str"/>
      <x:c r="T15" s="1629" t="str"/>
      <x:c r="U15" s="1629" t="str"/>
      <x:c r="V15" s="1629" t="str"/>
      <x:c r="W15" s="1629" t="str"/>
      <x:c r="X15" s="1629" t="str"/>
      <x:c r="Y15" s="1629" t="str"/>
      <x:c r="Z15" s="1629" t="str"/>
      <x:c r="AA15" s="1629" t="str"/>
      <x:c r="AB15" s="1629" t="str"/>
      <x:c r="AC15" s="1629" t="str"/>
      <x:c r="AD15" s="1629" t="str"/>
      <x:c r="AE15" s="1629" t="str"/>
      <x:c r="AF15" s="1629" t="str"/>
      <x:c r="AG15" s="1643" t="str"/>
      <x:c r="AH15" s="1629" t="str"/>
      <x:c r="AI15" s="1629" t="str"/>
      <x:c r="AJ15" s="1629" t="str"/>
      <x:c r="AK15" s="1644" t="str">
        <x:v>〔昆仑域〕</x:v>
      </x:c>
      <x:c r="AL15" s="1645" t="str">
        <x:v>〔昆仑域〕</x:v>
      </x:c>
      <x:c r="AM15" s="1645" t="str">
        <x:v>〔昆仑域〕</x:v>
      </x:c>
      <x:c r="AN15" s="1646" t="str">
        <x:v>〔昆仑域〕</x:v>
      </x:c>
      <x:c r="AO15" s="1645" t="str">
        <x:v>〔昆仑域〕</x:v>
      </x:c>
      <x:c r="AP15" s="1645" t="str">
        <x:v>〔昆仑域〕</x:v>
      </x:c>
      <x:c r="AQ15" s="1645" t="str">
        <x:v>〔昆仑域〕</x:v>
      </x:c>
      <x:c r="AR15" s="1647" t="str">
        <x:v>〔昆仑域〕</x:v>
      </x:c>
      <x:c r="AS15" s="1629" t="str"/>
      <x:c r="AT15" s="1629" t="str"/>
      <x:c r="AU15" s="1629" t="str"/>
      <x:c r="AV15" s="1629" t="str"/>
      <x:c r="AW15" s="1629" t="str"/>
      <x:c r="AX15" s="1629" t="str"/>
      <x:c r="AY15" s="1629" t="str"/>
      <x:c r="AZ15" s="1629" t="str"/>
      <x:c r="BA15" s="1629" t="str"/>
      <x:c r="BB15" s="1629" t="str"/>
      <x:c r="BC15" s="1629" t="str"/>
      <x:c r="BD15" s="1629" t="str"/>
      <x:c r="BE15" s="1628"/>
    </x:row>
    <x:row r="16" ht="84" customHeight="1">
      <x:c r="A16" s="1627" t="str">
        <x:v>Y=+4格
(+400里)</x:v>
      </x:c>
      <x:c r="B16" s="1629" t="str"/>
      <x:c r="C16" s="1629" t="str"/>
      <x:c r="D16" s="1629" t="str"/>
      <x:c r="E16" s="1629" t="str"/>
      <x:c r="F16" s="1629" t="str"/>
      <x:c r="G16" s="1629" t="str"/>
      <x:c r="H16" s="1629" t="str"/>
      <x:c r="I16" s="1629" t="str"/>
      <x:c r="J16" s="1629" t="str"/>
      <x:c r="K16" s="1629" t="str"/>
      <x:c r="L16" s="1629" t="str"/>
      <x:c r="M16" s="1629" t="str"/>
      <x:c r="N16" s="1629" t="str"/>
      <x:c r="O16" s="1629" t="str"/>
      <x:c r="P16" s="1629" t="str"/>
      <x:c r="Q16" s="1629" t="str"/>
      <x:c r="R16" s="1629" t="str"/>
      <x:c r="S16" s="1629" t="str"/>
      <x:c r="T16" s="1629" t="str"/>
      <x:c r="U16" s="1629" t="str"/>
      <x:c r="V16" s="1629" t="str"/>
      <x:c r="W16" s="1629" t="str"/>
      <x:c r="X16" s="1629" t="str"/>
      <x:c r="Y16" s="1629" t="str"/>
      <x:c r="Z16" s="1629" t="str"/>
      <x:c r="AA16" s="1629" t="str"/>
      <x:c r="AB16" s="1629" t="str"/>
      <x:c r="AC16" s="1629" t="str"/>
      <x:c r="AD16" s="1629" t="str"/>
      <x:c r="AE16" s="1629" t="str"/>
      <x:c r="AF16" s="1629" t="str"/>
      <x:c r="AG16" s="1643" t="str"/>
      <x:c r="AH16" s="1629" t="str"/>
      <x:c r="AI16" s="1629" t="str"/>
      <x:c r="AJ16" s="1645" t="str">
        <x:v>◇〔R51〕毕方鸟（昆仑水路参照） Δ(+50,-50)</x:v>
      </x:c>
      <x:c r="AK16" s="1644" t="str">
        <x:v>〔昆仑域〕</x:v>
      </x:c>
      <x:c r="AL16" s="1645" t="str">
        <x:v>〔昆仑域〕</x:v>
      </x:c>
      <x:c r="AM16" s="1645" t="str">
        <x:v>〔昆仑域〕</x:v>
      </x:c>
      <x:c r="AN16" s="1646" t="str">
        <x:v>〔昆仑域〕</x:v>
      </x:c>
      <x:c r="AO16" s="1645" t="str">
        <x:v>〔昆仑域〕</x:v>
      </x:c>
      <x:c r="AP16" s="1645" t="str">
        <x:v>〔昆仑域〕</x:v>
      </x:c>
      <x:c r="AQ16" s="1645" t="str">
        <x:v>〔昆仑域〕</x:v>
      </x:c>
      <x:c r="AR16" s="1647" t="str">
        <x:v>〔昆仑域〕</x:v>
      </x:c>
      <x:c r="AS16" s="1629" t="str"/>
      <x:c r="AT16" s="1629" t="str"/>
      <x:c r="AU16" s="1629" t="str"/>
      <x:c r="AV16" s="1629" t="str"/>
      <x:c r="AW16" s="1629" t="str"/>
      <x:c r="AX16" s="1629" t="str"/>
      <x:c r="AY16" s="1629" t="str"/>
      <x:c r="AZ16" s="1629" t="str"/>
      <x:c r="BA16" s="1629" t="str"/>
      <x:c r="BB16" s="1629" t="str"/>
      <x:c r="BC16" s="1629" t="str"/>
      <x:c r="BD16" s="1629" t="str"/>
      <x:c r="BE16" s="1628"/>
    </x:row>
    <x:row r="17" ht="84" customHeight="1">
      <x:c r="A17" s="1627" t="str">
        <x:v>Y=+3格
(+300里)</x:v>
      </x:c>
      <x:c r="B17" s="1629" t="str"/>
      <x:c r="C17" s="1629" t="str"/>
      <x:c r="D17" s="1629" t="str"/>
      <x:c r="E17" s="1629" t="str"/>
      <x:c r="F17" s="1629" t="str"/>
      <x:c r="G17" s="1629" t="str"/>
      <x:c r="H17" s="1629" t="str"/>
      <x:c r="I17" s="1629" t="str"/>
      <x:c r="J17" s="1629" t="str"/>
      <x:c r="K17" s="1629" t="str"/>
      <x:c r="L17" s="1629" t="str"/>
      <x:c r="M17" s="1629" t="str"/>
      <x:c r="N17" s="1629" t="str"/>
      <x:c r="O17" s="1629" t="str"/>
      <x:c r="P17" s="1629" t="str"/>
      <x:c r="Q17" s="1629" t="str"/>
      <x:c r="R17" s="1629" t="str"/>
      <x:c r="S17" s="1629" t="str"/>
      <x:c r="T17" s="1629" t="str"/>
      <x:c r="U17" s="1629" t="str"/>
      <x:c r="V17" s="1629" t="str"/>
      <x:c r="W17" s="1629" t="str"/>
      <x:c r="X17" s="1629" t="str"/>
      <x:c r="Y17" s="1629" t="str"/>
      <x:c r="Z17" s="1629" t="str"/>
      <x:c r="AA17" s="1629" t="str"/>
      <x:c r="AB17" s="1629" t="str"/>
      <x:c r="AC17" s="1629" t="str"/>
      <x:c r="AD17" s="1629" t="str"/>
      <x:c r="AE17" s="1629" t="str"/>
      <x:c r="AF17" s="1629" t="str"/>
      <x:c r="AG17" s="1651" t="str"/>
      <x:c r="AH17" s="1652" t="str"/>
      <x:c r="AI17" s="1652" t="str"/>
      <x:c r="AJ17" s="1652" t="str"/>
      <x:c r="AK17" s="1653" t="str">
        <x:v>〔昆仑域〕
💧↑〔R103〕弱青水北转 Δ(-30,-30)
💧↙〔R104〕弱青水折返 Δ(-44.1,-44.1)</x:v>
      </x:c>
      <x:c r="AL17" s="1654" t="str">
        <x:v>〔昆仑域〕</x:v>
      </x:c>
      <x:c r="AM17" s="1654" t="str">
        <x:v>〔昆仑域〕</x:v>
      </x:c>
      <x:c r="AN17" s="1655" t="str">
        <x:v>〔昆仑域〕</x:v>
      </x:c>
      <x:c r="AO17" s="1654" t="str">
        <x:v>〔昆仑域〕</x:v>
      </x:c>
      <x:c r="AP17" s="1654" t="str">
        <x:v>〔昆仑域〕</x:v>
      </x:c>
      <x:c r="AQ17" s="1654" t="str">
        <x:v>〔昆仑域〕</x:v>
      </x:c>
      <x:c r="AR17" s="1656" t="str">
        <x:v>〔昆仑域〕</x:v>
      </x:c>
      <x:c r="AS17" s="1657" t="str">
        <x:v>💧↗〔R97〕赤水（昆仑东北行段） Δ(-35.9,-35.9)</x:v>
      </x:c>
      <x:c r="AT17" s="1629" t="str"/>
      <x:c r="AU17" s="1629" t="str"/>
      <x:c r="AV17" s="1629" t="str"/>
      <x:c r="AW17" s="1629" t="str"/>
      <x:c r="AX17" s="1629" t="str"/>
      <x:c r="AY17" s="1629" t="str"/>
      <x:c r="AZ17" s="1629" t="str"/>
      <x:c r="BA17" s="1629" t="str"/>
      <x:c r="BB17" s="1629" t="str"/>
      <x:c r="BC17" s="1629" t="str"/>
      <x:c r="BD17" s="1629" t="str"/>
      <x:c r="BE17" s="1628"/>
    </x:row>
    <x:row r="18" ht="84" customHeight="1">
      <x:c r="A18" s="1627" t="str">
        <x:v>Y=+2格
(+200里)</x:v>
      </x:c>
      <x:c r="B18" s="1629" t="str"/>
      <x:c r="C18" s="1629" t="str"/>
      <x:c r="D18" s="1629" t="str"/>
      <x:c r="E18" s="1629" t="str"/>
      <x:c r="F18" s="1629" t="str"/>
      <x:c r="G18" s="1629" t="str"/>
      <x:c r="H18" s="1629" t="str"/>
      <x:c r="I18" s="1629" t="str"/>
      <x:c r="J18" s="1629" t="str"/>
      <x:c r="K18" s="1629" t="str"/>
      <x:c r="L18" s="1629" t="str"/>
      <x:c r="M18" s="1629" t="str"/>
      <x:c r="N18" s="1629" t="str"/>
      <x:c r="O18" s="1629" t="str"/>
      <x:c r="P18" s="1629" t="str"/>
      <x:c r="Q18" s="1629" t="str"/>
      <x:c r="R18" s="1629" t="str"/>
      <x:c r="S18" s="1629" t="str"/>
      <x:c r="T18" s="1629" t="str"/>
      <x:c r="U18" s="1629" t="str"/>
      <x:c r="V18" s="1629" t="str"/>
      <x:c r="W18" s="1629" t="str"/>
      <x:c r="X18" s="1629" t="str"/>
      <x:c r="Y18" s="1629" t="str"/>
      <x:c r="Z18" s="1629" t="str"/>
      <x:c r="AA18" s="1629" t="str"/>
      <x:c r="AB18" s="1629" t="str"/>
      <x:c r="AC18" s="1629" t="str"/>
      <x:c r="AD18" s="1629" t="str"/>
      <x:c r="AE18" s="1629" t="str"/>
      <x:c r="AF18" s="1629" t="str"/>
      <x:c r="AG18" s="1629" t="str"/>
      <x:c r="AH18" s="1629" t="str"/>
      <x:c r="AI18" s="1629" t="str"/>
      <x:c r="AJ18" s="1634" t="str">
        <x:v>💧•〔R49〕弱水（昆仑源段） Δ(+50,+50)
💧•〔R50〕青水（昆仑源段） Δ(+50,+50)</x:v>
      </x:c>
      <x:c r="AK18" s="1658" t="str">
        <x:v>💧→〔R102〕弱青水东行 Δ(-30,+50)</x:v>
      </x:c>
      <x:c r="AL18" s="1629" t="str"/>
      <x:c r="AM18" s="1629" t="str"/>
      <x:c r="AN18" s="1659" t="str">
        <x:v>≋〔R52〕昆仑南渊 Δ(+50,+50)
≋〔R65〕从极之渊／忠极之渊 Δ(+50,+50)
▲〔R130〕阳污之山 Δ(+10,+30)
💧●〔R131〕河水（阳污山源段） Δ(+10,+30)
▲〔R132〕凌门之山 Δ(+30,+30)
💧●〔R133〕河水（凌门山源段） Δ(+30,+30)
◆〔R134〕王子夜之尸 Δ(+20,+10)
≋〔R135〕河大泽 Δ(+20,-10)
•〔R136〕宵明 Δ(+10,-20)
•〔R137〕烛光 Δ(+30,-20)
✦〔R138〕冰夷（从极之渊居者） Δ(+50,+50)
▧〔R139〕宵明烛光照明域 Δ(+20,-10)</x:v>
      </x:c>
      <x:c r="AO18" s="1629" t="str"/>
      <x:c r="AP18" s="1629" t="str"/>
      <x:c r="AQ18" s="1629" t="str"/>
      <x:c r="AR18" s="1629" t="str"/>
      <x:c r="AS18" s="1660" t="str">
        <x:v>💧•〔R45〕赤水（昆仑源段） Δ(-50,+50)
▲〔R70〕昆仑八隅之岩／赤水之际 Δ(-50,+50)</x:v>
      </x:c>
      <x:c r="AT18" s="1629" t="str"/>
      <x:c r="AU18" s="1629" t="str"/>
      <x:c r="AV18" s="1629" t="str"/>
      <x:c r="AW18" s="1629" t="str"/>
      <x:c r="AX18" s="1629" t="str"/>
      <x:c r="AY18" s="1629" t="str"/>
      <x:c r="AZ18" s="1629" t="str"/>
      <x:c r="BA18" s="1629" t="str"/>
      <x:c r="BB18" s="1629" t="str"/>
      <x:c r="BC18" s="1629" t="str"/>
      <x:c r="BD18" s="1629" t="str"/>
      <x:c r="BE18" s="1628"/>
    </x:row>
    <x:row r="19" ht="84" customHeight="1">
      <x:c r="A19" s="1627" t="str">
        <x:v>Y=+1格
(+100里)</x:v>
      </x:c>
      <x:c r="B19" s="1629" t="str"/>
      <x:c r="C19" s="1629" t="str"/>
      <x:c r="D19" s="1629" t="str"/>
      <x:c r="E19" s="1629" t="str"/>
      <x:c r="F19" s="1629" t="str"/>
      <x:c r="G19" s="1629" t="str"/>
      <x:c r="H19" s="1629" t="str"/>
      <x:c r="I19" s="1629" t="str"/>
      <x:c r="J19" s="1629" t="str"/>
      <x:c r="K19" s="1629" t="str"/>
      <x:c r="L19" s="1629" t="str"/>
      <x:c r="M19" s="1629" t="str"/>
      <x:c r="N19" s="1629" t="str"/>
      <x:c r="O19" s="1629" t="str"/>
      <x:c r="P19" s="1629" t="str"/>
      <x:c r="Q19" s="1629" t="str"/>
      <x:c r="R19" s="1629" t="str"/>
      <x:c r="S19" s="1629" t="str"/>
      <x:c r="T19" s="1629" t="str"/>
      <x:c r="U19" s="1629" t="str"/>
      <x:c r="V19" s="1629" t="str"/>
      <x:c r="W19" s="1629" t="str"/>
      <x:c r="X19" s="1629" t="str"/>
      <x:c r="Y19" s="1629" t="str"/>
      <x:c r="Z19" s="1629" t="str"/>
      <x:c r="AA19" s="1629" t="str"/>
      <x:c r="AB19" s="1629" t="str"/>
      <x:c r="AC19" s="1629" t="str"/>
      <x:c r="AD19" s="1629" t="str"/>
      <x:c r="AE19" s="1629" t="str"/>
      <x:c r="AF19" s="1629" t="str"/>
      <x:c r="AG19" s="1629" t="str"/>
      <x:c r="AH19" s="1629" t="str"/>
      <x:c r="AI19" s="1629" t="str"/>
      <x:c r="AJ19" s="1629" t="str"/>
      <x:c r="AK19" s="1629" t="str"/>
      <x:c r="AL19" s="1629" t="str"/>
      <x:c r="AM19" s="1629" t="str"/>
      <x:c r="AN19" s="1661" t="str">
        <x:v>▲〔R55〕炎火之山（昆仑外层） Δ(+50,-50)</x:v>
      </x:c>
      <x:c r="AO19" s="1629" t="str"/>
      <x:c r="AP19" s="1662" t="str"/>
      <x:c r="AQ19" s="1663" t="str"/>
      <x:c r="AR19" s="1664" t="str"/>
      <x:c r="AS19" s="1629" t="str"/>
      <x:c r="AT19" s="1665" t="str">
        <x:v>〔流黄国〕</x:v>
      </x:c>
      <x:c r="AU19" s="1666" t="str">
        <x:v>〔流黄国〕</x:v>
      </x:c>
      <x:c r="AV19" s="1667" t="str">
        <x:v>〔流黄国〕</x:v>
      </x:c>
      <x:c r="AW19" s="1629" t="str"/>
      <x:c r="AX19" s="1668" t="str">
        <x:v>〔都广核心／九丘候选〕
▲〔R13〕陶唐之丘</x:v>
      </x:c>
      <x:c r="AY19" s="1669" t="str">
        <x:v>〔都广核心／九丘候选〕
▲〔R14〕叔得之丘</x:v>
      </x:c>
      <x:c r="AZ19" s="1670" t="str">
        <x:v>〔都广核心／九丘候选〕
▲〔R15〕孟盈之丘
◇〔R30〕犀牛（狌狌西北） Δ(+29,-29)</x:v>
      </x:c>
      <x:c r="BA19" s="1629" t="str"/>
      <x:c r="BB19" s="1671" t="str">
        <x:v>〔氾林〕</x:v>
      </x:c>
      <x:c r="BC19" s="1671" t="str">
        <x:v>〔氾林〕</x:v>
      </x:c>
      <x:c r="BD19" s="1671" t="str">
        <x:v>〔氾林〕</x:v>
      </x:c>
      <x:c r="BE19" s="1628"/>
    </x:row>
    <x:row r="20" ht="84" customHeight="1">
      <x:c r="A20" s="1627" t="str">
        <x:v>Y=+0格
(+0里)</x:v>
      </x:c>
      <x:c r="B20" s="1629" t="str"/>
      <x:c r="C20" s="1629" t="str"/>
      <x:c r="D20" s="1629" t="str"/>
      <x:c r="E20" s="1629" t="str"/>
      <x:c r="F20" s="1629" t="str"/>
      <x:c r="G20" s="1629" t="str"/>
      <x:c r="H20" s="1629" t="str"/>
      <x:c r="I20" s="1629" t="str"/>
      <x:c r="J20" s="1629" t="str"/>
      <x:c r="K20" s="1629" t="str"/>
      <x:c r="L20" s="1629" t="str"/>
      <x:c r="M20" s="1629" t="str"/>
      <x:c r="N20" s="1629" t="str"/>
      <x:c r="O20" s="1629" t="str"/>
      <x:c r="P20" s="1629" t="str"/>
      <x:c r="Q20" s="1629" t="str"/>
      <x:c r="R20" s="1629" t="str"/>
      <x:c r="S20" s="1629" t="str"/>
      <x:c r="T20" s="1629" t="str"/>
      <x:c r="U20" s="1629" t="str"/>
      <x:c r="V20" s="1629" t="str"/>
      <x:c r="W20" s="1629" t="str"/>
      <x:c r="X20" s="1629" t="str"/>
      <x:c r="Y20" s="1629" t="str"/>
      <x:c r="Z20" s="1629" t="str"/>
      <x:c r="AA20" s="1629" t="str"/>
      <x:c r="AB20" s="1629" t="str"/>
      <x:c r="AC20" s="1629" t="str"/>
      <x:c r="AD20" s="1629" t="str"/>
      <x:c r="AE20" s="1629" t="str"/>
      <x:c r="AF20" s="1629" t="str"/>
      <x:c r="AG20" s="1629" t="str"/>
      <x:c r="AH20" s="1629" t="str"/>
      <x:c r="AI20" s="1629" t="str"/>
      <x:c r="AJ20" s="1629" t="str"/>
      <x:c r="AK20" s="1629" t="str"/>
      <x:c r="AL20" s="1629" t="str"/>
      <x:c r="AM20" s="1629" t="str"/>
      <x:c r="AN20" s="1629" t="str"/>
      <x:c r="AO20" s="1629" t="str"/>
      <x:c r="AP20" s="1672" t="str"/>
      <x:c r="AQ20" s="1629" t="str"/>
      <x:c r="AR20" s="1673" t="str"/>
      <x:c r="AS20" s="1629" t="str"/>
      <x:c r="AT20" s="1674" t="str">
        <x:v>〔流黄国〕</x:v>
      </x:c>
      <x:c r="AU20" s="1675" t="str">
        <x:v>〔流黄国〕
□〔R24〕流黄国
▲〔R25〕巴遂山
💧•〔R26〕澠水（巴遂源段）</x:v>
      </x:c>
      <x:c r="AV20" s="1676" t="str">
        <x:v>〔流黄国〕</x:v>
      </x:c>
      <x:c r="AW20" s="1629" t="str"/>
      <x:c r="AX20" s="1677" t="str">
        <x:v>〔都广核心／九丘候选〕
▲〔R16〕昆吾之丘
□〔R23〕氐人国</x:v>
      </x:c>
      <x:c r="AY20" s="1678" t="str">
        <x:v>〔都广核心／九丘候选〕
▧〔R9〕都广之野
♣〔R10〕建木
▲〔R11〕九丘（整体）
💧•〔R12〕九丘水络（未名水系）
▲〔R17〕黑白之丘
◆〔R22〕后稷之葬 Δ(-20,0)
♣〔R140〕都广丰饶生态层 Δ(+20,0)</x:v>
      </x:c>
      <x:c r="AZ20" s="1678" t="str">
        <x:v>〔都广核心／九丘候选〕
▲〔R18〕赤望之丘
◆〔R27〕窫窳
💧•〔R28〕弱水（都广核心段）</x:v>
      </x:c>
      <x:c r="BA20" s="1671" t="str">
        <x:v>◇〔R29〕狌狌／猩猩（都广东轴）</x:v>
      </x:c>
      <x:c r="BB20" s="1679" t="str">
        <x:v>〔氾林〕
▲〔R31〕苍梧之山
◆〔R32〕舜葬
◆〔R33〕帝丹朱葬
▲〔R34〕苍梧之丘
•〔R35〕苍梧之渊
▲〔R36〕九嶷山／九疑山
💧↘〔R75〕湘水（舜葬东南源段） Δ(+14.1,-14.1)
💧←〔R76〕湘水（西环舜葬代表段） Δ(-5.9,-14.1)
◆〔R180〕长沙零陵界 Δ(+20,0)</x:v>
      </x:c>
      <x:c r="BC20" s="1680" t="str">
        <x:v>〔氾林〕
▧〔R37〕氾林／汜林
◆〔R38〕兕（舜葬东）
💧↑〔R39〕湘水（舜葬环流—洞庭主干） Δ(0,+20)
≋〔R77〕洞庭（湘水汇入点） Δ(0,+20)
≋〔R78〕东南西泽（洞庭异文候选） Δ(0,+20)</x:v>
      </x:c>
      <x:c r="BD20" s="1671" t="str">
        <x:v>〔氾林〕</x:v>
      </x:c>
      <x:c r="BE20" s="1628"/>
    </x:row>
    <x:row r="21" ht="84" customHeight="1">
      <x:c r="A21" s="1627" t="str">
        <x:v>Y=-1格
(-100里)</x:v>
      </x:c>
      <x:c r="B21" s="1629" t="str"/>
      <x:c r="C21" s="1629" t="str"/>
      <x:c r="D21" s="1629" t="str"/>
      <x:c r="E21" s="1629" t="str"/>
      <x:c r="F21" s="1629" t="str"/>
      <x:c r="G21" s="1629" t="str"/>
      <x:c r="H21" s="1629" t="str"/>
      <x:c r="I21" s="1629" t="str"/>
      <x:c r="J21" s="1629" t="str"/>
      <x:c r="K21" s="1629" t="str"/>
      <x:c r="L21" s="1629" t="str"/>
      <x:c r="M21" s="1629" t="str"/>
      <x:c r="N21" s="1629" t="str"/>
      <x:c r="O21" s="1629" t="str"/>
      <x:c r="P21" s="1629" t="str"/>
      <x:c r="Q21" s="1629" t="str"/>
      <x:c r="R21" s="1629" t="str"/>
      <x:c r="S21" s="1629" t="str"/>
      <x:c r="T21" s="1629" t="str"/>
      <x:c r="U21" s="1629" t="str"/>
      <x:c r="V21" s="1629" t="str"/>
      <x:c r="W21" s="1629" t="str"/>
      <x:c r="X21" s="1629" t="str"/>
      <x:c r="Y21" s="1629" t="str"/>
      <x:c r="Z21" s="1629" t="str"/>
      <x:c r="AA21" s="1629" t="str"/>
      <x:c r="AB21" s="1629" t="str"/>
      <x:c r="AC21" s="1629" t="str"/>
      <x:c r="AD21" s="1629" t="str"/>
      <x:c r="AE21" s="1629" t="str"/>
      <x:c r="AF21" s="1629" t="str"/>
      <x:c r="AG21" s="1629" t="str"/>
      <x:c r="AH21" s="1629" t="str"/>
      <x:c r="AI21" s="1629" t="str"/>
      <x:c r="AJ21" s="1629" t="str"/>
      <x:c r="AK21" s="1629" t="str"/>
      <x:c r="AL21" s="1629" t="str"/>
      <x:c r="AM21" s="1629" t="str"/>
      <x:c r="AN21" s="1629" t="str"/>
      <x:c r="AO21" s="1629" t="str"/>
      <x:c r="AP21" s="1681" t="str"/>
      <x:c r="AQ21" s="1682" t="str"/>
      <x:c r="AR21" s="1683" t="str"/>
      <x:c r="AS21" s="1629" t="str"/>
      <x:c r="AT21" s="1684" t="str">
        <x:v>〔流黄国〕</x:v>
      </x:c>
      <x:c r="AU21" s="1685" t="str">
        <x:v>〔流黄国〕</x:v>
      </x:c>
      <x:c r="AV21" s="1686" t="str">
        <x:v>〔流黄国〕</x:v>
      </x:c>
      <x:c r="AW21" s="1629" t="str"/>
      <x:c r="AX21" s="1687" t="str">
        <x:v>〔都广核心／九丘候选〕
▲〔R19〕参卫之丘</x:v>
      </x:c>
      <x:c r="AY21" s="1688" t="str">
        <x:v>〔都广核心／九丘候选〕
▲〔R20〕武夫之丘</x:v>
      </x:c>
      <x:c r="AZ21" s="1689" t="str">
        <x:v>〔都广核心／九丘候选〕
▲〔R21〕神民之丘</x:v>
      </x:c>
      <x:c r="BA21" s="1690" t="str">
        <x:v>💧•〔R98〕赤水终止段
💧•〔R99〕氾天山
≋〔R100〕氾天山南海区</x:v>
      </x:c>
      <x:c r="BB21" s="1671" t="str">
        <x:v>〔氾林〕
◆〔R101〕苍梧之野
◆〔R129〕叔均之葬</x:v>
      </x:c>
      <x:c r="BC21" s="1671" t="str">
        <x:v>〔氾林〕</x:v>
      </x:c>
      <x:c r="BD21" s="1671" t="str">
        <x:v>〔氾林〕</x:v>
      </x:c>
      <x:c r="BE21" s="1628"/>
    </x:row>
    <x:row r="22" ht="84" customHeight="1">
      <x:c r="A22" s="1627" t="str">
        <x:v>Y=-2格
(-200里)</x:v>
      </x:c>
      <x:c r="B22" s="1629" t="str"/>
      <x:c r="C22" s="1630" t="str">
        <x:v>〔西海之内〕
▧〔R151〕西海之内</x:v>
      </x:c>
      <x:c r="D22" s="1630" t="str">
        <x:v>〔西海流沙之中〕
▧〔R152〕西海流沙
□〔R153〕壑市国 Δ(0,-20)</x:v>
      </x:c>
      <x:c r="E22" s="1629" t="str"/>
      <x:c r="F22" s="1629" t="str"/>
      <x:c r="G22" s="1629" t="str"/>
      <x:c r="H22" s="1629" t="str"/>
      <x:c r="I22" s="1629" t="str"/>
      <x:c r="J22" s="1629" t="str"/>
      <x:c r="K22" s="1629" t="str"/>
      <x:c r="L22" s="1629" t="str"/>
      <x:c r="M22" s="1629" t="str"/>
      <x:c r="N22" s="1629" t="str"/>
      <x:c r="O22" s="1629" t="str"/>
      <x:c r="P22" s="1629" t="str"/>
      <x:c r="Q22" s="1629" t="str"/>
      <x:c r="R22" s="1629" t="str"/>
      <x:c r="S22" s="1629" t="str"/>
      <x:c r="T22" s="1629" t="str"/>
      <x:c r="U22" s="1629" t="str"/>
      <x:c r="V22" s="1629" t="str"/>
      <x:c r="W22" s="1629" t="str"/>
      <x:c r="X22" s="1629" t="str"/>
      <x:c r="Y22" s="1629" t="str"/>
      <x:c r="Z22" s="1629" t="str"/>
      <x:c r="AA22" s="1629" t="str"/>
      <x:c r="AB22" s="1629" t="str"/>
      <x:c r="AC22" s="1629" t="str"/>
      <x:c r="AD22" s="1629" t="str"/>
      <x:c r="AE22" s="1629" t="str"/>
      <x:c r="AF22" s="1629" t="str"/>
      <x:c r="AG22" s="1629" t="str"/>
      <x:c r="AH22" s="1629" t="str"/>
      <x:c r="AI22" s="1629" t="str"/>
      <x:c r="AJ22" s="1629" t="str"/>
      <x:c r="AK22" s="1629" t="str"/>
      <x:c r="AL22" s="1629" t="str"/>
      <x:c r="AM22" s="1629" t="str"/>
      <x:c r="AN22" s="1629" t="str"/>
      <x:c r="AO22" s="1629" t="str"/>
      <x:c r="AP22" s="1629" t="str"/>
      <x:c r="AQ22" s="1629" t="str"/>
      <x:c r="AR22" s="1629" t="str"/>
      <x:c r="AS22" s="1629" t="str"/>
      <x:c r="AT22" s="1629" t="str"/>
      <x:c r="AU22" s="1629" t="str"/>
      <x:c r="AV22" s="1629" t="str"/>
      <x:c r="AW22" s="1691" t="str">
        <x:v>〔卷十八流沙界〕
▧〔R142〕卷十八流沙界 Δ(+40,0)</x:v>
      </x:c>
      <x:c r="AX22" s="1631" t="str">
        <x:v>〔南海之内·若木夹水区〕
💧•〔R40〕若木
💧●〔R41〕若水（若木源段） Δ(0,-20)
💧←〔R42〕黑水（都广—若木核心段） Δ(-20,0)
💧→〔R43〕青水（都广—若木核心段） Δ(+20,0)
💧•〔R141〕南海之内
□〔R143〕朝云国 Δ(-45,+10)
□〔R144〕司彘国 Δ(-35,-10)
▲〔R145〕不死之山 Δ(-30,+20)</x:v>
      </x:c>
      <x:c r="AY22" s="1629" t="str"/>
      <x:c r="AZ22" s="1629" t="str"/>
      <x:c r="BA22" s="1629" t="str"/>
      <x:c r="BB22" s="1630" t="str">
        <x:v>〔禺中—列襄—灵山〕
□〔R160〕禺中国
□〔R161〕列襄国 Δ(+20,0)
▲〔R162〕灵山 Δ(+40,0)
▲〔R163〕蝡蛇 Δ(+40,-20)</x:v>
      </x:c>
      <x:c r="BC22" s="1630" t="str">
        <x:v>〔盐长—朱卷连续层〕
□〔R164〕盐长国
✦〔R165〕鸟氏 Δ(+20,0)
□〔R167〕朱卷国 Δ(+30,0)
□〔R168〕黑蛇 Δ(+40,0)</x:v>
      </x:c>
      <x:c r="BD22" s="1629" t="str"/>
      <x:c r="BE22" s="1628"/>
    </x:row>
    <x:row r="23" ht="84" customHeight="1">
      <x:c r="A23" s="1627" t="str">
        <x:v>Y=-3格
(-300里)</x:v>
      </x:c>
      <x:c r="B23" s="1629" t="str"/>
      <x:c r="C23" s="1630" t="str">
        <x:v>〔流沙之西〕
▧〔R154〕流沙之西
□〔R155〕沮叶国 Δ(+20,0)</x:v>
      </x:c>
      <x:c r="D23" s="1631" t="str">
        <x:v>〔鸟山—三水〕
▲〔R156〕鸟山 Δ(+20,0)
💧●〔R157〕三水（鸟山源流群） Δ(+40,0)</x:v>
      </x:c>
      <x:c r="E23" s="1631" t="str">
        <x:v>〔淮山—好水〕
▲〔R158〕淮山 Δ(+20,0)
💧●〔R159〕好水（淮山源段） Δ(+40,0)</x:v>
      </x:c>
      <x:c r="F23" s="1629" t="str"/>
      <x:c r="G23" s="1629" t="str"/>
      <x:c r="H23" s="1629" t="str"/>
      <x:c r="I23" s="1629" t="str"/>
      <x:c r="J23" s="1629" t="str"/>
      <x:c r="K23" s="1629" t="str"/>
      <x:c r="L23" s="1629" t="str"/>
      <x:c r="M23" s="1629" t="str"/>
      <x:c r="N23" s="1629" t="str"/>
      <x:c r="O23" s="1629" t="str"/>
      <x:c r="P23" s="1629" t="str"/>
      <x:c r="Q23" s="1629" t="str"/>
      <x:c r="R23" s="1629" t="str"/>
      <x:c r="S23" s="1629" t="str"/>
      <x:c r="T23" s="1629" t="str"/>
      <x:c r="U23" s="1629" t="str"/>
      <x:c r="V23" s="1629" t="str"/>
      <x:c r="W23" s="1629" t="str"/>
      <x:c r="X23" s="1629" t="str"/>
      <x:c r="Y23" s="1629" t="str"/>
      <x:c r="Z23" s="1629" t="str"/>
      <x:c r="AA23" s="1629" t="str"/>
      <x:c r="AB23" s="1629" t="str"/>
      <x:c r="AC23" s="1629" t="str"/>
      <x:c r="AD23" s="1629" t="str"/>
      <x:c r="AE23" s="1629" t="str"/>
      <x:c r="AF23" s="1629" t="str"/>
      <x:c r="AG23" s="1629" t="str"/>
      <x:c r="AH23" s="1629" t="str"/>
      <x:c r="AI23" s="1629" t="str"/>
      <x:c r="AJ23" s="1629" t="str"/>
      <x:c r="AK23" s="1629" t="str"/>
      <x:c r="AL23" s="1629" t="str"/>
      <x:c r="AM23" s="1629" t="str"/>
      <x:c r="AN23" s="1629" t="str"/>
      <x:c r="AO23" s="1629" t="str"/>
      <x:c r="AP23" s="1629" t="str"/>
      <x:c r="AQ23" s="1629" t="str"/>
      <x:c r="AR23" s="1629" t="str"/>
      <x:c r="AS23" s="1629" t="str"/>
      <x:c r="AT23" s="1629" t="str"/>
      <x:c r="AU23" s="1629" t="str"/>
      <x:c r="AV23" s="1629" t="str"/>
      <x:c r="AW23" s="1629" t="str"/>
      <x:c r="AX23" s="1630" t="str">
        <x:v>〔巴国西南层〕
□〔R166〕巴国（卷十八西南层）</x:v>
      </x:c>
      <x:c r="AY23" s="1629" t="str"/>
      <x:c r="AZ23" s="1631" t="str">
        <x:v>〔华山—青水—肇山升降区〕
💧•〔R79〕青水参照层 Δ(-20,+10)
▲〔R80〕华山参照山 Δ(-20,-10)
▲〔R81〕肇山 Δ(+20,0)
▲〔R146〕柏高 Δ(+20,0)</x:v>
      </x:c>
      <x:c r="BA23" s="1629" t="str"/>
      <x:c r="BB23" s="1629" t="str"/>
      <x:c r="BC23" s="1630" t="str">
        <x:v>〔南海之内四山〕
▲〔R176〕衡山 Δ(-20,0)
▲〔R177〕菌山
▲〔R178〕桂山 Δ(+20,0)
▲〔R179〕三天子之都 Δ(+40,0)</x:v>
      </x:c>
      <x:c r="BD23" s="1630" t="str">
        <x:v>〔南方异民群〕
◇〔R169〕南方赣巨人区
□〔R170〕赣巨人 Δ(-20,+10)
□〔R171〕嬴民 Δ(-20,-10)
□〔R172〕黑人（虎首鸟足层） Δ(0,+10)
◇〔R173〕封豕 Δ(+20,-10)
□〔R174〕苗民（卷十八层） Δ(+20,+10)
✦〔R175〕延维 Δ(0,-30)</x:v>
      </x:c>
      <x:c r="BE23" s="1628"/>
    </x:row>
  </x:sheetData>
  <x:mergeCells>
    <x:mergeCell ref="Y4:AA4"/>
    <x:mergeCell ref="Y5:AA18"/>
    <x:mergeCell ref="BA5:BA23"/>
    <x:mergeCell ref="A1:BE1"/>
    <x:mergeCell ref="A2:BE2"/>
    <x:mergeCell ref="BE5:BE23"/>
  </x:mergeCells>
  <x:pageMargins left="0.7" right="0.7" top="0.75" bottom="0.75" header="0.3" footer="0.3"/>
</x:worksheet>
</file>

<file path=xl/worksheets/sheet3.xml><?xml version="1.0" encoding="utf-8"?>
<x:worksheet xmlns:x="http://schemas.openxmlformats.org/spreadsheetml/2006/main">
  <x:sheetFormatPr defaultColWidth="9" defaultRowHeight="13.5"/>
  <x:cols>
    <x:col min="1" max="1" width="18" hidden="0" customWidth="1"/>
    <x:col min="2" max="2" width="19" hidden="0" customWidth="1"/>
    <x:col min="3" max="3" width="58" hidden="0" customWidth="1"/>
    <x:col min="4" max="4" width="24" hidden="0" customWidth="1"/>
    <x:col min="5" max="5" width="14" hidden="0" customWidth="1"/>
    <x:col min="6" max="6" width="15" hidden="0" customWidth="1"/>
    <x:col min="7" max="7" width="44" hidden="0" customWidth="1"/>
    <x:col min="8" max="9" width="15" customWidth="1"/>
    <x:col min="10" max="10" width="35" hidden="0" customWidth="1"/>
    <x:col min="11" max="11" width="22" hidden="0" customWidth="1"/>
    <x:col min="8" max="8" width="14" hidden="0" customWidth="1"/>
    <x:col min="9" max="9" width="12" hidden="0" customWidth="1"/>
  </x:cols>
  <x:sheetData>
    <x:row r="1" ht="30" customHeight="1">
      <x:c r="A1" s="425" t="str">
        <x:v>《山海经》十八卷原文总库｜v031 卷十八《海内经》闭合校验修复</x:v>
      </x:c>
      <x:c r="B1" s="425"/>
      <x:c r="C1" s="425"/>
      <x:c r="D1" s="425"/>
      <x:c r="E1" s="425"/>
      <x:c r="F1" s="425"/>
      <x:c r="G1" s="425"/>
      <x:c r="H1" s="425"/>
      <x:c r="I1" s="425"/>
      <x:c r="J1" s="437"/>
      <x:c r="K1" s="437"/>
    </x:row>
    <x:row r="2" ht="43.5" customHeight="1">
      <x:c r="A2" s="438" t="str">
        <x:v>卷十八110条拆分记录已完成建档或非地图分类：97条已建档，13条非地图／谱系／文明概念；待办与未分类均为0。</x:v>
      </x:c>
      <x:c r="B2" s="438"/>
      <x:c r="C2" s="438"/>
      <x:c r="D2" s="438"/>
      <x:c r="E2" s="438"/>
      <x:c r="F2" s="438"/>
      <x:c r="G2" s="438"/>
      <x:c r="H2" s="438"/>
      <x:c r="I2" s="438"/>
      <x:c r="J2" s="437"/>
      <x:c r="K2" s="437"/>
    </x:row>
    <x:row r="3" ht="21" customHeight="1">
      <x:c r="A3" s="431" t="s">
        <x:v>525</x:v>
      </x:c>
      <x:c r="B3" s="431"/>
      <x:c r="C3" s="431"/>
      <x:c r="D3" s="431"/>
      <x:c r="E3" s="431"/>
      <x:c r="F3" s="431"/>
      <x:c r="G3" s="3"/>
      <x:c r="H3" s="3"/>
      <x:c r="I3" s="3"/>
    </x:row>
    <x:row r="4" ht="21" customHeight="1">
      <x:c r="A4" s="430" t="e">
        <x:f>HYPERLINK("#'山海经原文总库'!A9","卷一《南山經》")</x:f>
        <x:v>HYPERLINK is not implemented. linkLocation=#'山海经原文总库'!A9, friendlyName=卷一《南山經》</x:v>
      </x:c>
      <x:c r="B4" s="430" t="e">
        <x:f>HYPERLINK("#'山海经原文总库'!A92","卷二《西山經》")</x:f>
        <x:v>HYPERLINK is not implemented. linkLocation=#'山海经原文总库'!A92, friendlyName=卷二《西山經》</x:v>
      </x:c>
      <x:c r="C4" s="430" t="e">
        <x:f>HYPERLINK("#'山海经原文总库'!A313","卷三《北山經》")</x:f>
        <x:v>HYPERLINK is not implemented. linkLocation=#'山海经原文总库'!A313, friendlyName=卷三《北山經》</x:v>
      </x:c>
      <x:c r="D4" s="430" t="e">
        <x:f>HYPERLINK("#'山海经原文总库'!A593","卷四《東山經》")</x:f>
        <x:v>HYPERLINK is not implemented. linkLocation=#'山海经原文总库'!A593, friendlyName=卷四《東山經》</x:v>
      </x:c>
      <x:c r="E4" s="430" t="e">
        <x:f>HYPERLINK("#'山海经原文总库'!A707","卷五《中山經》")</x:f>
        <x:v>HYPERLINK is not implemented. linkLocation=#'山海经原文总库'!A707, friendlyName=卷五《中山經》</x:v>
      </x:c>
      <x:c r="F4" s="430" t="e">
        <x:f>HYPERLINK("#'山海经原文总库'!A1105","卷六《海外南經》")</x:f>
        <x:v>HYPERLINK is not implemented. linkLocation=#'山海经原文总库'!A1105, friendlyName=卷六《海外南經》</x:v>
      </x:c>
      <x:c r="H4" s="5" t="e">
        <x:f>HYPERLINK("#'都广核心区总表'!A1","← 地点详细总表")</x:f>
        <x:v>HYPERLINK is not implemented. linkLocation=#'都广核心区总表'!A1, friendlyName=← 地点详细总表</x:v>
      </x:c>
    </x:row>
    <x:row r="5" ht="21" customHeight="1">
      <x:c r="A5" s="430" t="e">
        <x:f>HYPERLINK("#'山海经原文总库'!A1135","卷七《海外西經》")</x:f>
        <x:v>HYPERLINK is not implemented. linkLocation=#'山海经原文总库'!A1135, friendlyName=卷七《海外西經》</x:v>
      </x:c>
      <x:c r="B5" s="430" t="e">
        <x:f>HYPERLINK("#'山海经原文总库'!A1158","卷八《海外北經》")</x:f>
        <x:v>HYPERLINK is not implemented. linkLocation=#'山海经原文总库'!A1158, friendlyName=卷八《海外北經》</x:v>
      </x:c>
      <x:c r="C5" s="430" t="e">
        <x:f>HYPERLINK("#'山海经原文总库'!A1192","卷九《海外東經》")</x:f>
        <x:v>HYPERLINK is not implemented. linkLocation=#'山海经原文总库'!A1192, friendlyName=卷九《海外東經》</x:v>
      </x:c>
      <x:c r="D5" s="430" t="e">
        <x:f>HYPERLINK("#'山海经原文总库'!A1214","卷十《海內南經》")</x:f>
        <x:v>HYPERLINK is not implemented. linkLocation=#'山海经原文总库'!A1214, friendlyName=卷十《海內南經》</x:v>
      </x:c>
      <x:c r="E5" s="430" t="e">
        <x:f>HYPERLINK("#'山海经原文总库'!A1241","卷十一《海內西經》")</x:f>
        <x:v>HYPERLINK is not implemented. linkLocation=#'山海经原文总库'!A1241, friendlyName=卷十一《海內西經》</x:v>
      </x:c>
      <x:c r="F5" s="430" t="e">
        <x:f>HYPERLINK("#'山海经原文总库'!A1283","卷十二《海內北經》")</x:f>
        <x:v>HYPERLINK is not implemented. linkLocation=#'山海经原文总库'!A1283, friendlyName=卷十二《海內北經》</x:v>
      </x:c>
      <x:c r="H5" s="5" t="e">
        <x:f>HYPERLINK("#'坐标棋盘图'!A1","← 坐标棋盘图")</x:f>
        <x:v>HYPERLINK is not implemented. linkLocation=#'坐标棋盘图'!A1, friendlyName=← 坐标棋盘图</x:v>
      </x:c>
    </x:row>
    <x:row r="6" ht="21" customHeight="1">
      <x:c r="A6" s="430" t="e">
        <x:f>HYPERLINK("#'山海经原文总库'!A1335","卷十三《海內東經》")</x:f>
        <x:v>HYPERLINK is not implemented. linkLocation=#'山海经原文总库'!A1335, friendlyName=卷十三《海內東經》</x:v>
      </x:c>
      <x:c r="B6" s="430" t="e">
        <x:f>HYPERLINK("#'山海经原文总库'!A1496","卷十四《大荒東經》")</x:f>
        <x:v>HYPERLINK is not implemented. linkLocation=#'山海经原文总库'!A1496, friendlyName=卷十四《大荒東經》</x:v>
      </x:c>
      <x:c r="C6" s="430" t="e">
        <x:f>HYPERLINK("#'山海经原文总库'!A1562","卷十五《大荒南經》")</x:f>
        <x:v>HYPERLINK is not implemented. linkLocation=#'山海经原文总库'!A1562, friendlyName=卷十五《大荒南經》</x:v>
      </x:c>
      <x:c r="D6" s="430" t="e">
        <x:f>HYPERLINK("#'山海经原文总库'!A1650","卷十六《大荒西經》")</x:f>
        <x:v>HYPERLINK is not implemented. linkLocation=#'山海经原文总库'!A1650, friendlyName=卷十六《大荒西經》</x:v>
      </x:c>
      <x:c r="E6" s="430" t="e">
        <x:f>HYPERLINK("#'山海经原文总库'!A1740","卷十七《大荒北經》")</x:f>
        <x:v>HYPERLINK is not implemented. linkLocation=#'山海经原文总库'!A1740, friendlyName=卷十七《大荒北經》</x:v>
      </x:c>
      <x:c r="F6" s="430" t="e">
        <x:f>HYPERLINK("#'山海经原文总库'!A1821","卷十八《海內經》")</x:f>
        <x:v>HYPERLINK is not implemented. linkLocation=#'山海经原文总库'!A1821, friendlyName=卷十八《海內經》</x:v>
      </x:c>
    </x:row>
    <x:row r="7" ht="31.5" customHeight="1"/>
    <x:row r="8" ht="34.5" customHeight="1">
      <x:c r="A8" s="313" t="s">
        <x:v>526</x:v>
      </x:c>
      <x:c r="B8" s="313" t="s">
        <x:v>527</x:v>
      </x:c>
      <x:c r="C8" s="313" t="s">
        <x:v>528</x:v>
      </x:c>
      <x:c r="D8" s="313" t="s">
        <x:v>529</x:v>
      </x:c>
      <x:c r="E8" s="313" t="s">
        <x:v>16</x:v>
      </x:c>
      <x:c r="F8" s="313" t="s">
        <x:v>530</x:v>
      </x:c>
      <x:c r="G8" s="313" t="s">
        <x:v>531</x:v>
      </x:c>
      <x:c r="H8" s="313" t="s">
        <x:v>532</x:v>
      </x:c>
      <x:c r="I8" s="313" t="str">
        <x:v>已进入总表</x:v>
      </x:c>
      <x:c r="J8" s="318" t="str">
        <x:v>对应总表行／坐标状态</x:v>
      </x:c>
      <x:c r="K8" s="318" t="str">
        <x:v>同名检索／完成状态</x:v>
      </x:c>
    </x:row>
    <x:row r="9" ht="64.5" customHeight="1">
      <x:c r="A9" s="7" t="str">
        <x:v>SHJ-01-001</x:v>
      </x:c>
      <x:c r="B9" s="7" t="str">
        <x:v>卷一 《南山經》</x:v>
      </x:c>
      <x:c r="C9" s="8" t="str">
        <x:v>南山經之首曰（昔隹）山。其首曰招搖之山，臨於西海之上，多桂，多金玉。有草焉，其狀如韭而青華，其名曰祝余，食之不飢。有木焉，其狀如谷而黑理，其華四照，其名曰迷谷，佩之不迷。有獸焉，其狀如禺而白耳，伏行人走，其名曰狌狌，食之善走。麗？之水出焉，而西流注於海，其中多育沛，佩之無瘕疾。</x:v>
      </x:c>
      <x:c r="D9" s="7" t="str">
        <x:v>招搖之山</x:v>
      </x:c>
      <x:c r="E9" s="7" t="str">
        <x:v>山</x:v>
      </x:c>
      <x:c r="F9" s="9"/>
      <x:c r="G9" s="10" t="str">
        <x:v>标点与分段参考《山海经校注》；正文对读：https://ctext.org/shan-hai-jing/nan-shan-jing/zh</x:v>
      </x:c>
      <x:c r="H9" s="11" t="e">
        <x:f>HYPERLINK("#'山海经原文总库'!A3","↩ 返回目录")</x:f>
        <x:v>HYPERLINK is not implemented. linkLocation=#'山海经原文总库'!A3, friendlyName=↩ 返回目录</x:v>
      </x:c>
      <x:c r="I9" s="440"/>
      <x:c r="J9" s="437"/>
      <x:c r="K9" s="437" t="str">
        <x:v>待同名检索｜待建档</x:v>
      </x:c>
    </x:row>
    <x:row r="10" ht="22.5" customHeight="1">
      <x:c r="A10" s="7"/>
      <x:c r="B10" s="7"/>
      <x:c r="C10" s="8"/>
      <x:c r="D10" s="7" t="str">
        <x:v>西海</x:v>
      </x:c>
      <x:c r="E10" s="7" t="str">
        <x:v>海域</x:v>
      </x:c>
      <x:c r="F10" s="9"/>
      <x:c r="G10" s="10"/>
      <x:c r="H10" s="11" t="e">
        <x:f>HYPERLINK("#'山海经原文总库'!A3","↩ 返回目录")</x:f>
        <x:v>HYPERLINK is not implemented. linkLocation=#'山海经原文总库'!A3, friendlyName=↩ 返回目录</x:v>
      </x:c>
      <x:c r="I10" s="440"/>
      <x:c r="J10" s="437"/>
      <x:c r="K10" s="437" t="str">
        <x:v>待同名检索｜待建档</x:v>
      </x:c>
    </x:row>
    <x:row r="11" ht="22.5" customHeight="1">
      <x:c r="A11" s="7"/>
      <x:c r="B11" s="7"/>
      <x:c r="C11" s="8"/>
      <x:c r="D11" s="7" t="str">
        <x:v>䧿山</x:v>
      </x:c>
      <x:c r="E11" s="7" t="str">
        <x:v>山</x:v>
      </x:c>
      <x:c r="F11" s="9"/>
      <x:c r="G11" s="10"/>
      <x:c r="H11" s="11" t="e">
        <x:f>HYPERLINK("#'山海经原文总库'!A3","↩ 返回目录")</x:f>
        <x:v>HYPERLINK is not implemented. linkLocation=#'山海经原文总库'!A3, friendlyName=↩ 返回目录</x:v>
      </x:c>
      <x:c r="I11" s="440"/>
      <x:c r="J11" s="437"/>
      <x:c r="K11" s="437" t="str">
        <x:v>待同名检索｜待建档</x:v>
      </x:c>
    </x:row>
    <x:row r="12" ht="48" customHeight="1">
      <x:c r="A12" s="7" t="str">
        <x:v>SHJ-01-002</x:v>
      </x:c>
      <x:c r="B12" s="7" t="str">
        <x:v>卷一 《南山經》</x:v>
      </x:c>
      <x:c r="C12" s="8" t="str">
        <x:v>又東三百里，曰堂庭之山，多棪木，多白猿，多水玉，多黃金。</x:v>
      </x:c>
      <x:c r="D12" s="7" t="str">
        <x:v>堂庭之山</x:v>
      </x:c>
      <x:c r="E12" s="7" t="str">
        <x:v>山</x:v>
      </x:c>
      <x:c r="F12" s="9"/>
      <x:c r="G12" s="10" t="str">
        <x:v>标点与分段参考《山海经校注》；正文对读：https://ctext.org/shan-hai-jing/nan-shan-jing/zh</x:v>
      </x:c>
      <x:c r="H12" s="11" t="e">
        <x:f>HYPERLINK("#'山海经原文总库'!A3","↩ 返回目录")</x:f>
        <x:v>HYPERLINK is not implemented. linkLocation=#'山海经原文总库'!A3, friendlyName=↩ 返回目录</x:v>
      </x:c>
      <x:c r="I12" s="440"/>
      <x:c r="J12" s="437"/>
      <x:c r="K12" s="437" t="str">
        <x:v>待同名检索｜待建档</x:v>
      </x:c>
    </x:row>
    <x:row r="13" ht="48" customHeight="1">
      <x:c r="A13" s="7" t="str">
        <x:v>SHJ-01-003</x:v>
      </x:c>
      <x:c r="B13" s="7" t="str">
        <x:v>卷一 《南山經》</x:v>
      </x:c>
      <x:c r="C13" s="8" t="str">
        <x:v>又東三百八十里，曰猿翼之山，其中多怪獸，水多怪魚，多白玉，多蝮蟲，多怪蛇，多怪木，不可以上。</x:v>
      </x:c>
      <x:c r="D13" s="7" t="str">
        <x:v>猿翼之山</x:v>
      </x:c>
      <x:c r="E13" s="7" t="str">
        <x:v>山</x:v>
      </x:c>
      <x:c r="F13" s="9"/>
      <x:c r="G13" s="10" t="str">
        <x:v>标点与分段参考《山海经校注》；正文对读：https://ctext.org/shan-hai-jing/nan-shan-jing/zh</x:v>
      </x:c>
      <x:c r="H13" s="11" t="e">
        <x:f>HYPERLINK("#'山海经原文总库'!A3","↩ 返回目录")</x:f>
        <x:v>HYPERLINK is not implemented. linkLocation=#'山海经原文总库'!A3, friendlyName=↩ 返回目录</x:v>
      </x:c>
      <x:c r="I13" s="440"/>
      <x:c r="J13" s="437"/>
      <x:c r="K13" s="437" t="str">
        <x:v>待同名检索｜待建档</x:v>
      </x:c>
    </x:row>
    <x:row r="14" ht="64.5" customHeight="1">
      <x:c r="A14" s="7" t="str">
        <x:v>SHJ-01-004</x:v>
      </x:c>
      <x:c r="B14" s="7" t="str">
        <x:v>卷一 《南山經》</x:v>
      </x:c>
      <x:c r="C14" s="8" t="str">
        <x:v>又東三百七十里，曰杻陽之山，其陽多赤金，其陰多白金。有獸焉，其狀如馬而白首，其文如虎而赤尾，其音如謠，其名曰鹿蜀，佩之宜子孫。怪水出焉，而東流注於憲翼之水。其中多玄龜，其狀如龜而鳥首虺尾，其名曰旋龜，其音如判木，佩之不聾，可以為底。</x:v>
      </x:c>
      <x:c r="D14" s="7" t="str">
        <x:v>杻陽之山</x:v>
      </x:c>
      <x:c r="E14" s="7" t="str">
        <x:v>山</x:v>
      </x:c>
      <x:c r="F14" s="9"/>
      <x:c r="G14" s="10" t="str">
        <x:v>标点与分段参考《山海经校注》；正文对读：https://ctext.org/shan-hai-jing/nan-shan-jing/zh</x:v>
      </x:c>
      <x:c r="H14" s="11" t="e">
        <x:f>HYPERLINK("#'山海经原文总库'!A3","↩ 返回目录")</x:f>
        <x:v>HYPERLINK is not implemented. linkLocation=#'山海经原文总库'!A3, friendlyName=↩ 返回目录</x:v>
      </x:c>
      <x:c r="I14" s="440"/>
      <x:c r="J14" s="437"/>
      <x:c r="K14" s="437" t="str">
        <x:v>待同名检索｜待建档</x:v>
      </x:c>
    </x:row>
    <x:row r="15" ht="22.5" customHeight="1">
      <x:c r="A15" s="7"/>
      <x:c r="B15" s="7"/>
      <x:c r="C15" s="8"/>
      <x:c r="D15" s="7" t="str">
        <x:v>怪水</x:v>
      </x:c>
      <x:c r="E15" s="7" t="str">
        <x:v>水系</x:v>
      </x:c>
      <x:c r="F15" s="9"/>
      <x:c r="G15" s="10"/>
      <x:c r="H15" s="11" t="e">
        <x:f>HYPERLINK("#'山海经原文总库'!A3","↩ 返回目录")</x:f>
        <x:v>HYPERLINK is not implemented. linkLocation=#'山海经原文总库'!A3, friendlyName=↩ 返回目录</x:v>
      </x:c>
      <x:c r="I15" s="441"/>
      <x:c r="J15" s="437"/>
      <x:c r="K15" s="437" t="str">
        <x:v>待同名检索｜待建档</x:v>
      </x:c>
    </x:row>
    <x:row r="16" ht="22.5" customHeight="1">
      <x:c r="A16" s="7"/>
      <x:c r="B16" s="7"/>
      <x:c r="C16" s="8"/>
      <x:c r="D16" s="7" t="str">
        <x:v>憲翼之水</x:v>
      </x:c>
      <x:c r="E16" s="7" t="str">
        <x:v>水系</x:v>
      </x:c>
      <x:c r="F16" s="9"/>
      <x:c r="G16" s="10"/>
      <x:c r="H16" s="11" t="e">
        <x:f>HYPERLINK("#'山海经原文总库'!A3","↩ 返回目录")</x:f>
        <x:v>HYPERLINK is not implemented. linkLocation=#'山海经原文总库'!A3, friendlyName=↩ 返回目录</x:v>
      </x:c>
      <x:c r="I16" s="441"/>
      <x:c r="J16" s="437"/>
      <x:c r="K16" s="437" t="str">
        <x:v>待同名检索｜待建档</x:v>
      </x:c>
    </x:row>
    <x:row r="17" ht="48" customHeight="1">
      <x:c r="A17" s="7" t="str">
        <x:v>SHJ-01-005</x:v>
      </x:c>
      <x:c r="B17" s="7" t="str">
        <x:v>卷一 《南山經》</x:v>
      </x:c>
      <x:c r="C17" s="8" t="str">
        <x:v>又東三百里柢山，多水，無草木。有魚焉，其狀如牛，陵居，蛇尾有翼，其羽在魼下，其音如留牛，其名曰鯥，冬死而夏生，食之無腫疾。</x:v>
      </x:c>
      <x:c r="D17" s="7" t="str">
        <x:v>柢山</x:v>
      </x:c>
      <x:c r="E17" s="7" t="str">
        <x:v>山</x:v>
      </x:c>
      <x:c r="F17" s="9"/>
      <x:c r="G17" s="10" t="str">
        <x:v>标点与分段参考《山海经校注》；正文对读：https://ctext.org/shan-hai-jing/nan-shan-jing/zh</x:v>
      </x:c>
      <x:c r="H17" s="11" t="e">
        <x:f>HYPERLINK("#'山海经原文总库'!A3","↩ 返回目录")</x:f>
        <x:v>HYPERLINK is not implemented. linkLocation=#'山海经原文总库'!A3, friendlyName=↩ 返回目录</x:v>
      </x:c>
      <x:c r="I17" s="441"/>
      <x:c r="J17" s="437"/>
      <x:c r="K17" s="437" t="str">
        <x:v>待同名检索｜待建档</x:v>
      </x:c>
    </x:row>
    <x:row r="18" ht="48" customHeight="1">
      <x:c r="A18" s="7" t="str">
        <x:v>SHJ-01-006</x:v>
      </x:c>
      <x:c r="B18" s="7" t="str">
        <x:v>卷一 《南山經》</x:v>
      </x:c>
      <x:c r="C18" s="8" t="str">
        <x:v>又東四百里，曰亶爰之山，多水，無草木，不可以上。有獸焉，其狀如狸而有髦，其名曰類，自為牝牡，食者不妒。</x:v>
      </x:c>
      <x:c r="D18" s="7" t="str">
        <x:v>亶爰之山</x:v>
      </x:c>
      <x:c r="E18" s="7" t="str">
        <x:v>山</x:v>
      </x:c>
      <x:c r="F18" s="9"/>
      <x:c r="G18" s="10" t="str">
        <x:v>标点与分段参考《山海经校注》；正文对读：https://ctext.org/shan-hai-jing/nan-shan-jing/zh</x:v>
      </x:c>
      <x:c r="H18" s="11" t="e">
        <x:f>HYPERLINK("#'山海经原文总库'!A3","↩ 返回目录")</x:f>
        <x:v>HYPERLINK is not implemented. linkLocation=#'山海经原文总库'!A3, friendlyName=↩ 返回目录</x:v>
      </x:c>
      <x:c r="I18" s="441"/>
      <x:c r="J18" s="437"/>
      <x:c r="K18" s="437" t="str">
        <x:v>待同名检索｜待建档</x:v>
      </x:c>
    </x:row>
    <x:row r="19" ht="48" customHeight="1">
      <x:c r="A19" s="7" t="str">
        <x:v>SHJ-01-007</x:v>
      </x:c>
      <x:c r="B19" s="7" t="str">
        <x:v>卷一 《南山經》</x:v>
      </x:c>
      <x:c r="C19" s="8" t="str">
        <x:v>又東三百里，曰基山，其陽多玉，其陰多怪木。有獸焉，其狀如羊，九尾四耳，其目在背，其名曰猼訑，佩之不畏。有鳥焉，其狀如雞而三首六目，六足三翼，其名曰（尚鳥）（付鳥），食之無臥。</x:v>
      </x:c>
      <x:c r="D19" s="7" t="str">
        <x:v>基山</x:v>
      </x:c>
      <x:c r="E19" s="7" t="str">
        <x:v>山</x:v>
      </x:c>
      <x:c r="F19" s="9"/>
      <x:c r="G19" s="10" t="str">
        <x:v>标点与分段参考《山海经校注》；正文对读：https://ctext.org/shan-hai-jing/nan-shan-jing/zh</x:v>
      </x:c>
      <x:c r="H19" s="11" t="e">
        <x:f>HYPERLINK("#'山海经原文总库'!A3","↩ 返回目录")</x:f>
        <x:v>HYPERLINK is not implemented. linkLocation=#'山海经原文总库'!A3, friendlyName=↩ 返回目录</x:v>
      </x:c>
      <x:c r="I19" s="441"/>
      <x:c r="J19" s="437"/>
      <x:c r="K19" s="437" t="str">
        <x:v>待同名检索｜待建档</x:v>
      </x:c>
    </x:row>
    <x:row r="20" ht="64.5" customHeight="1">
      <x:c r="A20" s="7" t="str">
        <x:v>SHJ-01-008</x:v>
      </x:c>
      <x:c r="B20" s="7" t="str">
        <x:v>卷一 《南山經》</x:v>
      </x:c>
      <x:c r="C20" s="8" t="str">
        <x:v>又東三百里，曰青丘之山，其陽多玉，其陰多青？。有獸焉，其狀如狐而九尾，其音如嬰兒，能食人；食者不蠱。有鳥焉，其狀如鳩，其音若呵，名曰灌灌，佩之不惑。英水出焉，南流注於即翼之澤。其中多赤？，其狀如魚而人面，其音如鴛鴦，食之不疥。</x:v>
      </x:c>
      <x:c r="D20" s="7" t="str">
        <x:v>青丘之山</x:v>
      </x:c>
      <x:c r="E20" s="7" t="str">
        <x:v>山</x:v>
      </x:c>
      <x:c r="F20" s="9"/>
      <x:c r="G20" s="10" t="str">
        <x:v>标点与分段参考《山海经校注》；正文对读：https://ctext.org/shan-hai-jing/nan-shan-jing/zh</x:v>
      </x:c>
      <x:c r="H20" s="11" t="e">
        <x:f>HYPERLINK("#'山海经原文总库'!A3","↩ 返回目录")</x:f>
        <x:v>HYPERLINK is not implemented. linkLocation=#'山海经原文总库'!A3, friendlyName=↩ 返回目录</x:v>
      </x:c>
      <x:c r="I20" s="441"/>
      <x:c r="J20" s="442"/>
      <x:c r="K20" s="442" t="str">
        <x:v>待同名检索｜待建档</x:v>
      </x:c>
    </x:row>
    <x:row r="21" ht="22.5" customHeight="1">
      <x:c r="A21" s="7"/>
      <x:c r="B21" s="7"/>
      <x:c r="C21" s="8"/>
      <x:c r="D21" s="7" t="str">
        <x:v>英水</x:v>
      </x:c>
      <x:c r="E21" s="7" t="str">
        <x:v>水系</x:v>
      </x:c>
      <x:c r="F21" s="9"/>
      <x:c r="G21" s="10"/>
      <x:c r="H21" s="11" t="e">
        <x:f>HYPERLINK("#'山海经原文总库'!A3","↩ 返回目录")</x:f>
        <x:v>HYPERLINK is not implemented. linkLocation=#'山海经原文总库'!A3, friendlyName=↩ 返回目录</x:v>
      </x:c>
      <x:c r="I21" s="441"/>
      <x:c r="J21" s="442"/>
      <x:c r="K21" s="442" t="str">
        <x:v>待同名检索｜待建档</x:v>
      </x:c>
    </x:row>
    <x:row r="22" ht="22.5" customHeight="1">
      <x:c r="A22" s="7"/>
      <x:c r="B22" s="7"/>
      <x:c r="C22" s="8"/>
      <x:c r="D22" s="7" t="str">
        <x:v>即翼之澤</x:v>
      </x:c>
      <x:c r="E22" s="7" t="str">
        <x:v>水系</x:v>
      </x:c>
      <x:c r="F22" s="9"/>
      <x:c r="G22" s="10"/>
      <x:c r="H22" s="11" t="e">
        <x:f>HYPERLINK("#'山海经原文总库'!A3","↩ 返回目录")</x:f>
        <x:v>HYPERLINK is not implemented. linkLocation=#'山海经原文总库'!A3, friendlyName=↩ 返回目录</x:v>
      </x:c>
      <x:c r="I22" s="441"/>
      <x:c r="J22" s="442"/>
      <x:c r="K22" s="442" t="str">
        <x:v>待同名检索｜待建档</x:v>
      </x:c>
    </x:row>
    <x:row r="23" ht="48" customHeight="1">
      <x:c r="A23" s="7" t="str">
        <x:v>SHJ-01-009-1</x:v>
      </x:c>
      <x:c r="B23" s="7" t="str">
        <x:v>卷一 《南山經》</x:v>
      </x:c>
      <x:c r="C23" s="8" t="str">
        <x:v>又東三百五十里，曰箕尾之山，其尾踆於東海，多沙石。汸水出焉，而南流注於淯，其中多白玉。</x:v>
      </x:c>
      <x:c r="D23" s="7" t="str">
        <x:v>箕尾之山</x:v>
      </x:c>
      <x:c r="E23" s="7" t="str">
        <x:v>山</x:v>
      </x:c>
      <x:c r="F23" s="9"/>
      <x:c r="G23" s="10" t="str">
        <x:v>标点与分段参考《山海经校注》；正文对读：https://ctext.org/shan-hai-jing/nan-shan-jing/zh</x:v>
      </x:c>
      <x:c r="H23" s="11" t="e">
        <x:f>HYPERLINK("#'山海经原文总库'!A3","↩ 返回目录")</x:f>
        <x:v>HYPERLINK is not implemented. linkLocation=#'山海经原文总库'!A3, friendlyName=↩ 返回目录</x:v>
      </x:c>
      <x:c r="I23" s="441"/>
      <x:c r="J23" s="442"/>
      <x:c r="K23" s="442" t="str">
        <x:v>待同名检索｜待建档</x:v>
      </x:c>
    </x:row>
    <x:row r="24" ht="22.5" customHeight="1">
      <x:c r="A24" s="7"/>
      <x:c r="B24" s="7"/>
      <x:c r="C24" s="8"/>
      <x:c r="D24" s="7" t="str">
        <x:v>汸水</x:v>
      </x:c>
      <x:c r="E24" s="7" t="str">
        <x:v>水系</x:v>
      </x:c>
      <x:c r="F24" s="9"/>
      <x:c r="G24" s="10"/>
      <x:c r="H24" s="11" t="e">
        <x:f>HYPERLINK("#'山海经原文总库'!A3","↩ 返回目录")</x:f>
        <x:v>HYPERLINK is not implemented. linkLocation=#'山海经原文总库'!A3, friendlyName=↩ 返回目录</x:v>
      </x:c>
      <x:c r="I24" s="441"/>
      <x:c r="J24" s="442"/>
      <x:c r="K24" s="442" t="str">
        <x:v>待同名检索｜待建档</x:v>
      </x:c>
    </x:row>
    <x:row r="25" ht="22.5" customHeight="1">
      <x:c r="A25" s="7"/>
      <x:c r="B25" s="7"/>
      <x:c r="C25" s="8"/>
      <x:c r="D25" s="7" t="str">
        <x:v>淯</x:v>
      </x:c>
      <x:c r="E25" s="7" t="str">
        <x:v>地理名稱</x:v>
      </x:c>
      <x:c r="F25" s="9"/>
      <x:c r="G25" s="10"/>
      <x:c r="H25" s="11" t="e">
        <x:f>HYPERLINK("#'山海经原文总库'!A3","↩ 返回目录")</x:f>
        <x:v>HYPERLINK is not implemented. linkLocation=#'山海经原文总库'!A3, friendlyName=↩ 返回目录</x:v>
      </x:c>
      <x:c r="I25" s="441"/>
      <x:c r="J25" s="443"/>
      <x:c r="K25" s="443" t="str">
        <x:v>待同名检索｜待建档</x:v>
      </x:c>
    </x:row>
    <x:row r="26" ht="22.5" customHeight="1">
      <x:c r="A26" s="7"/>
      <x:c r="B26" s="7"/>
      <x:c r="C26" s="8"/>
      <x:c r="D26" s="7" t="str">
        <x:v>東海</x:v>
      </x:c>
      <x:c r="E26" s="7" t="str">
        <x:v>海域</x:v>
      </x:c>
      <x:c r="F26" s="9"/>
      <x:c r="G26" s="10"/>
      <x:c r="H26" s="11" t="e">
        <x:f>HYPERLINK("#'山海经原文总库'!A3","↩ 返回目录")</x:f>
        <x:v>HYPERLINK is not implemented. linkLocation=#'山海经原文总库'!A3, friendlyName=↩ 返回目录</x:v>
      </x:c>
      <x:c r="I26" s="441"/>
      <x:c r="J26" s="443"/>
      <x:c r="K26" s="443" t="str">
        <x:v>待同名检索｜待建档</x:v>
      </x:c>
    </x:row>
    <x:row r="27" ht="48" customHeight="1">
      <x:c r="A27" s="7" t="str">
        <x:v>SHJ-01-009-2</x:v>
      </x:c>
      <x:c r="B27" s="7" t="str">
        <x:v>卷一 《南山經》</x:v>
      </x:c>
      <x:c r="C27" s="8" t="str">
        <x:v>凡（昔隹）山之首，自招搖之山，以至箕尾之山，凡十山，二千九百五十里。其神狀皆鳥身而龍首，其祠之禮：毛用一璋玉瘞，糈用稌米，一璧，稻米、白菅為席。</x:v>
      </x:c>
      <x:c r="D27" s="7" t="str">
        <x:v>招搖之山</x:v>
      </x:c>
      <x:c r="E27" s="7" t="str">
        <x:v>山</x:v>
      </x:c>
      <x:c r="F27" s="9"/>
      <x:c r="G27" s="10" t="str">
        <x:v>标点与分段参考《山海经校注》；正文对读：https://ctext.org/shan-hai-jing/nan-shan-jing/zh</x:v>
      </x:c>
      <x:c r="H27" s="11" t="e">
        <x:f>HYPERLINK("#'山海经原文总库'!A3","↩ 返回目录")</x:f>
        <x:v>HYPERLINK is not implemented. linkLocation=#'山海经原文总库'!A3, friendlyName=↩ 返回目录</x:v>
      </x:c>
      <x:c r="I27" s="441"/>
      <x:c r="J27" s="443"/>
      <x:c r="K27" s="443" t="str">
        <x:v>待同名检索｜待建档</x:v>
      </x:c>
    </x:row>
    <x:row r="28" ht="22.5" customHeight="1">
      <x:c r="A28" s="7"/>
      <x:c r="B28" s="7"/>
      <x:c r="C28" s="8"/>
      <x:c r="D28" s="7" t="str">
        <x:v>箕尾之山</x:v>
      </x:c>
      <x:c r="E28" s="7" t="str">
        <x:v>山</x:v>
      </x:c>
      <x:c r="F28" s="9"/>
      <x:c r="G28" s="10"/>
      <x:c r="H28" s="11" t="e">
        <x:f>HYPERLINK("#'山海经原文总库'!A3","↩ 返回目录")</x:f>
        <x:v>HYPERLINK is not implemented. linkLocation=#'山海经原文总库'!A3, friendlyName=↩ 返回目录</x:v>
      </x:c>
      <x:c r="I28" s="441"/>
      <x:c r="J28" s="444"/>
      <x:c r="K28" s="444" t="str">
        <x:v>待同名检索｜待建档</x:v>
      </x:c>
    </x:row>
    <x:row r="29" ht="64.5" customHeight="1">
      <x:c r="A29" s="7" t="str">
        <x:v>SHJ-01-010-1</x:v>
      </x:c>
      <x:c r="B29" s="7" t="str">
        <x:v>卷一 《南山經》</x:v>
      </x:c>
      <x:c r="C29" s="8" t="str">
        <x:v>南次二經之首，曰櫃山，西臨流黃，北望諸毗，東望長右。英水出焉，西南流注於赤水，其中多白玉，多丹粟。有獸焉，其狀如豚，有距，其音如狗吠，其名曰狸力，見則其縣多土功。有鳥焉，其狀如鴟而人手，其音如痹，其名曰鴸，其名自號也，見則其縣多放士。</x:v>
      </x:c>
      <x:c r="D29" s="7" t="str">
        <x:v>櫃山</x:v>
      </x:c>
      <x:c r="E29" s="7" t="str">
        <x:v>山</x:v>
      </x:c>
      <x:c r="F29" s="9"/>
      <x:c r="G29" s="10" t="str">
        <x:v>标点与分段参考《山海经校注》；正文对读：https://ctext.org/shan-hai-jing/nan-shan-jing/zh</x:v>
      </x:c>
      <x:c r="H29" s="11" t="e">
        <x:f>HYPERLINK("#'山海经原文总库'!A3","↩ 返回目录")</x:f>
        <x:v>HYPERLINK is not implemented. linkLocation=#'山海经原文总库'!A3, friendlyName=↩ 返回目录</x:v>
      </x:c>
      <x:c r="I29" s="445"/>
      <x:c r="J29" s="444"/>
      <x:c r="K29" s="444" t="str">
        <x:v>待同名检索｜待建档</x:v>
      </x:c>
    </x:row>
    <x:row r="30" ht="22.5" customHeight="1">
      <x:c r="A30" s="7"/>
      <x:c r="B30" s="7"/>
      <x:c r="C30" s="8"/>
      <x:c r="D30" s="7" t="str">
        <x:v>英水</x:v>
      </x:c>
      <x:c r="E30" s="7" t="str">
        <x:v>水系</x:v>
      </x:c>
      <x:c r="F30" s="9"/>
      <x:c r="G30" s="10"/>
      <x:c r="H30" s="11" t="e">
        <x:f>HYPERLINK("#'山海经原文总库'!A3","↩ 返回目录")</x:f>
        <x:v>HYPERLINK is not implemented. linkLocation=#'山海经原文总库'!A3, friendlyName=↩ 返回目录</x:v>
      </x:c>
      <x:c r="I30" s="445"/>
      <x:c r="J30" s="444"/>
      <x:c r="K30" s="444" t="str">
        <x:v>待同名检索｜待建档</x:v>
      </x:c>
    </x:row>
    <x:row r="31" ht="22.5" customHeight="1">
      <x:c r="A31" s="7"/>
      <x:c r="B31" s="7"/>
      <x:c r="C31" s="8"/>
      <x:c r="D31" s="7" t="str">
        <x:v>赤水</x:v>
      </x:c>
      <x:c r="E31" s="7" t="str">
        <x:v>水系</x:v>
      </x:c>
      <x:c r="F31" s="9"/>
      <x:c r="G31" s="10"/>
      <x:c r="H31" s="11" t="e">
        <x:f>HYPERLINK("#'山海经原文总库'!A3","↩ 返回目录")</x:f>
        <x:v>HYPERLINK is not implemented. linkLocation=#'山海经原文总库'!A3, friendlyName=↩ 返回目录</x:v>
      </x:c>
      <x:c r="I31" s="445"/>
      <x:c r="J31" s="442"/>
      <x:c r="K31" s="442" t="str">
        <x:v>待同名检索｜待建档</x:v>
      </x:c>
    </x:row>
    <x:row r="32" ht="22.5" customHeight="1">
      <x:c r="A32" s="7"/>
      <x:c r="B32" s="7"/>
      <x:c r="C32" s="8"/>
      <x:c r="D32" s="7" t="str">
        <x:v>流黃</x:v>
      </x:c>
      <x:c r="E32" s="7" t="str">
        <x:v>地理名稱</x:v>
      </x:c>
      <x:c r="F32" s="9"/>
      <x:c r="G32" s="10"/>
      <x:c r="H32" s="11" t="e">
        <x:f>HYPERLINK("#'山海经原文总库'!A3","↩ 返回目录")</x:f>
        <x:v>HYPERLINK is not implemented. linkLocation=#'山海经原文总库'!A3, friendlyName=↩ 返回目录</x:v>
      </x:c>
      <x:c r="I32" s="445"/>
      <x:c r="J32" s="442"/>
      <x:c r="K32" s="442" t="str">
        <x:v>待同名检索｜待建档</x:v>
      </x:c>
    </x:row>
    <x:row r="33" ht="22.5" customHeight="1">
      <x:c r="A33" s="7"/>
      <x:c r="B33" s="7"/>
      <x:c r="C33" s="8"/>
      <x:c r="D33" s="7" t="str">
        <x:v>諸毗</x:v>
      </x:c>
      <x:c r="E33" s="7" t="str">
        <x:v>地理名稱</x:v>
      </x:c>
      <x:c r="F33" s="9"/>
      <x:c r="G33" s="10"/>
      <x:c r="H33" s="11" t="e">
        <x:f>HYPERLINK("#'山海经原文总库'!A3","↩ 返回目录")</x:f>
        <x:v>HYPERLINK is not implemented. linkLocation=#'山海经原文总库'!A3, friendlyName=↩ 返回目录</x:v>
      </x:c>
      <x:c r="I33" s="445"/>
      <x:c r="J33" s="442"/>
      <x:c r="K33" s="442" t="str">
        <x:v>待同名检索｜待建档</x:v>
      </x:c>
    </x:row>
    <x:row r="34" ht="22.5" customHeight="1">
      <x:c r="A34" s="7"/>
      <x:c r="B34" s="7"/>
      <x:c r="C34" s="8"/>
      <x:c r="D34" s="7" t="str">
        <x:v>長右</x:v>
      </x:c>
      <x:c r="E34" s="7" t="str">
        <x:v>地理名稱</x:v>
      </x:c>
      <x:c r="F34" s="9"/>
      <x:c r="G34" s="10"/>
      <x:c r="H34" s="11" t="e">
        <x:f>HYPERLINK("#'山海经原文总库'!A3","↩ 返回目录")</x:f>
        <x:v>HYPERLINK is not implemented. linkLocation=#'山海经原文总库'!A3, friendlyName=↩ 返回目录</x:v>
      </x:c>
      <x:c r="I34" s="445"/>
      <x:c r="J34" s="442"/>
      <x:c r="K34" s="442" t="str">
        <x:v>待同名检索｜待建档</x:v>
      </x:c>
    </x:row>
    <x:row r="35" ht="48" customHeight="1">
      <x:c r="A35" s="7" t="str">
        <x:v>SHJ-01-010-2</x:v>
      </x:c>
      <x:c r="B35" s="7" t="str">
        <x:v>卷一 《南山經》</x:v>
      </x:c>
      <x:c r="C35" s="8" t="str">
        <x:v>東南四百五十里，曰長右之山，無草木，多水。有獸焉，其狀如禺而四耳，其名長右，其音如吟，見則郡縣大水。</x:v>
      </x:c>
      <x:c r="D35" s="7" t="str">
        <x:v>長右之山</x:v>
      </x:c>
      <x:c r="E35" s="7" t="str">
        <x:v>山</x:v>
      </x:c>
      <x:c r="F35" s="9"/>
      <x:c r="G35" s="10" t="str">
        <x:v>标点与分段参考《山海经校注》；正文对读：https://ctext.org/shan-hai-jing/nan-shan-jing/zh</x:v>
      </x:c>
      <x:c r="H35" s="11" t="e">
        <x:f t="shared" ref="H35:H40" si="0">HYPERLINK("#'山海经原文总库'!A3","↩ 返回目录")</x:f>
        <x:v>HYPERLINK is not implemented. linkLocation=#'山海经原文总库'!A3, friendlyName=↩ 返回目录</x:v>
      </x:c>
      <x:c r="I35" s="445"/>
      <x:c r="J35" s="442"/>
      <x:c r="K35" s="442" t="str">
        <x:v>待同名检索｜待建档</x:v>
      </x:c>
    </x:row>
    <x:row r="36" ht="48" customHeight="1">
      <x:c r="A36" s="7" t="str">
        <x:v>SHJ-01-011</x:v>
      </x:c>
      <x:c r="B36" s="7" t="str">
        <x:v>卷一 《南山經》</x:v>
      </x:c>
      <x:c r="C36" s="8" t="str">
        <x:v>又東三百四十里，曰堯光之山，其陽多玉，其陰多金。有獸焉，其狀如人而彘鬣，穴居而冬蟄，其名曰猾褢，其音如斲木，見則縣有大繇。</x:v>
      </x:c>
      <x:c r="D36" s="7" t="str">
        <x:v>堯光之山</x:v>
      </x:c>
      <x:c r="E36" s="7" t="str">
        <x:v>山</x:v>
      </x:c>
      <x:c r="F36" s="9"/>
      <x:c r="G36" s="10" t="str">
        <x:v>标点与分段参考《山海经校注》；正文对读：https://ctext.org/shan-hai-jing/nan-shan-jing/zh</x:v>
      </x:c>
      <x:c r="H36" s="11" t="e">
        <x:f t="shared" si="0">HYPERLINK("#'山海经原文总库'!A3","↩ 返回目录")</x:f>
        <x:v>HYPERLINK is not implemented. linkLocation=#'山海经原文总库'!A3, friendlyName=↩ 返回目录</x:v>
      </x:c>
      <x:c r="I36" s="445"/>
      <x:c r="J36" s="442"/>
      <x:c r="K36" s="442" t="str">
        <x:v>待同名检索｜待建档</x:v>
      </x:c>
    </x:row>
    <x:row r="37" ht="48" customHeight="1">
      <x:c r="A37" s="7" t="str">
        <x:v>SHJ-01-012</x:v>
      </x:c>
      <x:c r="B37" s="7" t="str">
        <x:v>卷一 《南山經》</x:v>
      </x:c>
      <x:c r="C37" s="8" t="str">
        <x:v>又東三百五十里，曰羽山，其下多水，其上多雨，無草木，多蝮蟲。</x:v>
      </x:c>
      <x:c r="D37" s="7" t="str">
        <x:v>羽山</x:v>
      </x:c>
      <x:c r="E37" s="7" t="str">
        <x:v>山</x:v>
      </x:c>
      <x:c r="F37" s="9"/>
      <x:c r="G37" s="10" t="str">
        <x:v>标点与分段参考《山海经校注》；正文对读：https://ctext.org/shan-hai-jing/nan-shan-jing/zh</x:v>
      </x:c>
      <x:c r="H37" s="11" t="e">
        <x:f t="shared" si="0">HYPERLINK("#'山海经原文总库'!A3","↩ 返回目录")</x:f>
        <x:v>HYPERLINK is not implemented. linkLocation=#'山海经原文总库'!A3, friendlyName=↩ 返回目录</x:v>
      </x:c>
      <x:c r="I37" s="445"/>
      <x:c r="J37" s="442"/>
      <x:c r="K37" s="442" t="str">
        <x:v>待同名检索｜待建档</x:v>
      </x:c>
    </x:row>
    <x:row r="38" ht="48" customHeight="1">
      <x:c r="A38" s="7" t="str">
        <x:v>SHJ-01-013</x:v>
      </x:c>
      <x:c r="B38" s="7" t="str">
        <x:v>卷一 《南山經》</x:v>
      </x:c>
      <x:c r="C38" s="8" t="str">
        <x:v>又東三百七十里，曰瞿父之山，無草木，多金玉。</x:v>
      </x:c>
      <x:c r="D38" s="7" t="str">
        <x:v>瞿父之山</x:v>
      </x:c>
      <x:c r="E38" s="7" t="str">
        <x:v>山</x:v>
      </x:c>
      <x:c r="F38" s="9"/>
      <x:c r="G38" s="10" t="str">
        <x:v>标点与分段参考《山海经校注》；正文对读：https://ctext.org/shan-hai-jing/nan-shan-jing/zh</x:v>
      </x:c>
      <x:c r="H38" s="11" t="e">
        <x:f t="shared" si="0">HYPERLINK("#'山海经原文总库'!A3","↩ 返回目录")</x:f>
        <x:v>HYPERLINK is not implemented. linkLocation=#'山海经原文总库'!A3, friendlyName=↩ 返回目录</x:v>
      </x:c>
      <x:c r="I38" s="445"/>
      <x:c r="J38" s="442"/>
      <x:c r="K38" s="442" t="str">
        <x:v>待同名检索｜待建档</x:v>
      </x:c>
    </x:row>
    <x:row r="39" ht="48" customHeight="1">
      <x:c r="A39" s="7" t="str">
        <x:v>SHJ-01-014</x:v>
      </x:c>
      <x:c r="B39" s="7" t="str">
        <x:v>卷一 《南山經》</x:v>
      </x:c>
      <x:c r="C39" s="8" t="str">
        <x:v>又東四百里，曰句余之山，無草木，多金玉。</x:v>
      </x:c>
      <x:c r="D39" s="7" t="str">
        <x:v>句余之山</x:v>
      </x:c>
      <x:c r="E39" s="7" t="str">
        <x:v>山</x:v>
      </x:c>
      <x:c r="F39" s="9"/>
      <x:c r="G39" s="10" t="str">
        <x:v>标点与分段参考《山海经校注》；正文对读：https://ctext.org/shan-hai-jing/nan-shan-jing/zh</x:v>
      </x:c>
      <x:c r="H39" s="11" t="e">
        <x:f t="shared" si="0">HYPERLINK("#'山海经原文总库'!A3","↩ 返回目录")</x:f>
        <x:v>HYPERLINK is not implemented. linkLocation=#'山海经原文总库'!A3, friendlyName=↩ 返回目录</x:v>
      </x:c>
      <x:c r="I39" s="445"/>
      <x:c r="J39" s="444"/>
      <x:c r="K39" s="444" t="str">
        <x:v>待同名检索｜待建档</x:v>
      </x:c>
    </x:row>
    <x:row r="40" ht="48" customHeight="1">
      <x:c r="A40" s="7" t="str">
        <x:v>SHJ-01-015</x:v>
      </x:c>
      <x:c r="B40" s="7" t="str">
        <x:v>卷一 《南山經》</x:v>
      </x:c>
      <x:c r="C40" s="8" t="str">
        <x:v>又東五百里，曰浮玉之山，北望具區，東望諸毗。有獸焉，其狀如虎而牛尾，其音如吠犬，其名曰彘，是食人。苕水出於其陰，北流注於具區。其中多鮆魚。</x:v>
      </x:c>
      <x:c r="D40" s="7" t="str">
        <x:v>浮玉之山</x:v>
      </x:c>
      <x:c r="E40" s="7" t="str">
        <x:v>山</x:v>
      </x:c>
      <x:c r="F40" s="9"/>
      <x:c r="G40" s="10" t="str">
        <x:v>标点与分段参考《山海经校注》；正文对读：https://ctext.org/shan-hai-jing/nan-shan-jing/zh</x:v>
      </x:c>
      <x:c r="H40" s="11" t="e">
        <x:f t="shared" si="0">HYPERLINK("#'山海经原文总库'!A3","↩ 返回目录")</x:f>
        <x:v>HYPERLINK is not implemented. linkLocation=#'山海经原文总库'!A3, friendlyName=↩ 返回目录</x:v>
      </x:c>
      <x:c r="I40" s="445"/>
      <x:c r="J40" s="444"/>
      <x:c r="K40" s="444" t="str">
        <x:v>待同名检索｜待建档</x:v>
      </x:c>
    </x:row>
    <x:row r="41" ht="22.5" customHeight="1">
      <x:c r="A41" s="7"/>
      <x:c r="B41" s="7"/>
      <x:c r="C41" s="8"/>
      <x:c r="D41" s="7" t="str">
        <x:v>苕水</x:v>
      </x:c>
      <x:c r="E41" s="7" t="str">
        <x:v>水系</x:v>
      </x:c>
      <x:c r="F41" s="9"/>
      <x:c r="G41" s="10"/>
      <x:c r="H41" s="11" t="e">
        <x:f>HYPERLINK("#'山海经原文总库'!A3","↩ 返回目录")</x:f>
        <x:v>HYPERLINK is not implemented. linkLocation=#'山海经原文总库'!A3, friendlyName=↩ 返回目录</x:v>
      </x:c>
      <x:c r="I41" s="446"/>
      <x:c r="J41" s="444"/>
      <x:c r="K41" s="444" t="str">
        <x:v>待同名检索｜待建档</x:v>
      </x:c>
    </x:row>
    <x:row r="42" ht="22.5" customHeight="1">
      <x:c r="A42" s="7"/>
      <x:c r="B42" s="7"/>
      <x:c r="C42" s="8"/>
      <x:c r="D42" s="7" t="str">
        <x:v>具區</x:v>
      </x:c>
      <x:c r="E42" s="7" t="str">
        <x:v>地理名稱</x:v>
      </x:c>
      <x:c r="F42" s="9"/>
      <x:c r="G42" s="10"/>
      <x:c r="H42" s="11" t="e">
        <x:f>HYPERLINK("#'山海经原文总库'!A3","↩ 返回目录")</x:f>
        <x:v>HYPERLINK is not implemented. linkLocation=#'山海经原文总库'!A3, friendlyName=↩ 返回目录</x:v>
      </x:c>
      <x:c r="I42" s="446"/>
      <x:c r="J42" s="444"/>
      <x:c r="K42" s="444" t="str">
        <x:v>待同名检索｜待建档</x:v>
      </x:c>
    </x:row>
    <x:row r="43" ht="22.5" customHeight="1">
      <x:c r="A43" s="7"/>
      <x:c r="B43" s="7"/>
      <x:c r="C43" s="8"/>
      <x:c r="D43" s="7" t="str">
        <x:v>諸毗</x:v>
      </x:c>
      <x:c r="E43" s="7" t="str">
        <x:v>地理名稱</x:v>
      </x:c>
      <x:c r="F43" s="9"/>
      <x:c r="G43" s="10"/>
      <x:c r="H43" s="11" t="e">
        <x:f>HYPERLINK("#'山海经原文总库'!A3","↩ 返回目录")</x:f>
        <x:v>HYPERLINK is not implemented. linkLocation=#'山海经原文总库'!A3, friendlyName=↩ 返回目录</x:v>
      </x:c>
      <x:c r="I43" s="446"/>
      <x:c r="J43" s="442"/>
      <x:c r="K43" s="442" t="str">
        <x:v>待同名检索｜待建档</x:v>
      </x:c>
    </x:row>
    <x:row r="44" ht="48" customHeight="1">
      <x:c r="A44" s="7" t="str">
        <x:v>SHJ-01-016</x:v>
      </x:c>
      <x:c r="B44" s="7" t="str">
        <x:v>卷一 《南山經》</x:v>
      </x:c>
      <x:c r="C44" s="8" t="str">
        <x:v>又東五百里，曰成山，四方而三壇，其上多金玉，其下多青雘。（外門內豖）水出焉，而南流注於虖勺，其中多黃金。</x:v>
      </x:c>
      <x:c r="D44" s="7" t="str">
        <x:v>成山</x:v>
      </x:c>
      <x:c r="E44" s="7" t="str">
        <x:v>山</x:v>
      </x:c>
      <x:c r="F44" s="9"/>
      <x:c r="G44" s="10" t="str">
        <x:v>标点与分段参考《山海经校注》；正文对读：https://ctext.org/shan-hai-jing/nan-shan-jing/zh</x:v>
      </x:c>
      <x:c r="H44" s="11" t="e">
        <x:f>HYPERLINK("#'山海经原文总库'!A3","↩ 返回目录")</x:f>
        <x:v>HYPERLINK is not implemented. linkLocation=#'山海经原文总库'!A3, friendlyName=↩ 返回目录</x:v>
      </x:c>
      <x:c r="I44" s="446"/>
      <x:c r="J44" s="442"/>
      <x:c r="K44" s="442" t="str">
        <x:v>待同名检索｜待建档</x:v>
      </x:c>
    </x:row>
    <x:row r="45" ht="22.5" customHeight="1">
      <x:c r="A45" s="7"/>
      <x:c r="B45" s="7"/>
      <x:c r="C45" s="8"/>
      <x:c r="D45" s="7" t="str">
        <x:v>虖勺</x:v>
      </x:c>
      <x:c r="E45" s="7" t="str">
        <x:v>地理名稱</x:v>
      </x:c>
      <x:c r="F45" s="9"/>
      <x:c r="G45" s="10"/>
      <x:c r="H45" s="11" t="e">
        <x:f>HYPERLINK("#'山海经原文总库'!A3","↩ 返回目录")</x:f>
        <x:v>HYPERLINK is not implemented. linkLocation=#'山海经原文总库'!A3, friendlyName=↩ 返回目录</x:v>
      </x:c>
      <x:c r="I45" s="446"/>
      <x:c r="J45" s="442"/>
      <x:c r="K45" s="442" t="str">
        <x:v>待同名检索｜待建档</x:v>
      </x:c>
    </x:row>
    <x:row r="46" ht="22.5" customHeight="1">
      <x:c r="A46" s="7"/>
      <x:c r="B46" s="7"/>
      <x:c r="C46" s="8"/>
      <x:c r="D46" s="7" t="str">
        <x:v>䦠水</x:v>
      </x:c>
      <x:c r="E46" s="7" t="str">
        <x:v>水系</x:v>
      </x:c>
      <x:c r="F46" s="9"/>
      <x:c r="G46" s="10"/>
      <x:c r="H46" s="11" t="e">
        <x:f>HYPERLINK("#'山海经原文总库'!A3","↩ 返回目录")</x:f>
        <x:v>HYPERLINK is not implemented. linkLocation=#'山海经原文总库'!A3, friendlyName=↩ 返回目录</x:v>
      </x:c>
      <x:c r="I46" s="446"/>
      <x:c r="J46" s="444"/>
      <x:c r="K46" s="444" t="str">
        <x:v>待同名检索｜待建档</x:v>
      </x:c>
    </x:row>
    <x:row r="47" ht="48" customHeight="1">
      <x:c r="A47" s="7" t="str">
        <x:v>SHJ-01-017</x:v>
      </x:c>
      <x:c r="B47" s="7" t="str">
        <x:v>卷一 《南山經》</x:v>
      </x:c>
      <x:c r="C47" s="8" t="str">
        <x:v>又東五百里，曰會稽之山，四方，其上多金玉，其下多砆石。勺水出焉，而南流注於湨。</x:v>
      </x:c>
      <x:c r="D47" s="7" t="str">
        <x:v>會稽之山</x:v>
      </x:c>
      <x:c r="E47" s="7" t="str">
        <x:v>山</x:v>
      </x:c>
      <x:c r="F47" s="9"/>
      <x:c r="G47" s="10" t="str">
        <x:v>标点与分段参考《山海经校注》；正文对读：https://ctext.org/shan-hai-jing/nan-shan-jing/zh</x:v>
      </x:c>
      <x:c r="H47" s="11" t="e">
        <x:f>HYPERLINK("#'山海经原文总库'!A3","↩ 返回目录")</x:f>
        <x:v>HYPERLINK is not implemented. linkLocation=#'山海经原文总库'!A3, friendlyName=↩ 返回目录</x:v>
      </x:c>
      <x:c r="I47" s="447"/>
      <x:c r="J47" s="444"/>
      <x:c r="K47" s="444" t="str">
        <x:v>待同名检索｜待建档</x:v>
      </x:c>
    </x:row>
    <x:row r="48" ht="22.5" customHeight="1">
      <x:c r="A48" s="7"/>
      <x:c r="B48" s="7"/>
      <x:c r="C48" s="8"/>
      <x:c r="D48" s="7" t="str">
        <x:v>勺水</x:v>
      </x:c>
      <x:c r="E48" s="7" t="str">
        <x:v>水系</x:v>
      </x:c>
      <x:c r="F48" s="9"/>
      <x:c r="G48" s="10"/>
      <x:c r="H48" s="11" t="e">
        <x:f>HYPERLINK("#'山海经原文总库'!A3","↩ 返回目录")</x:f>
        <x:v>HYPERLINK is not implemented. linkLocation=#'山海经原文总库'!A3, friendlyName=↩ 返回目录</x:v>
      </x:c>
      <x:c r="I48" s="447"/>
      <x:c r="J48" s="444"/>
      <x:c r="K48" s="444" t="str">
        <x:v>待同名检索｜待建档</x:v>
      </x:c>
    </x:row>
    <x:row r="49" ht="22.5" customHeight="1">
      <x:c r="A49" s="7"/>
      <x:c r="B49" s="7"/>
      <x:c r="C49" s="8"/>
      <x:c r="D49" s="7" t="str">
        <x:v>湨</x:v>
      </x:c>
      <x:c r="E49" s="7" t="str">
        <x:v>地理名稱</x:v>
      </x:c>
      <x:c r="F49" s="9"/>
      <x:c r="G49" s="10"/>
      <x:c r="H49" s="11" t="e">
        <x:f>HYPERLINK("#'山海经原文总库'!A3","↩ 返回目录")</x:f>
        <x:v>HYPERLINK is not implemented. linkLocation=#'山海经原文总库'!A3, friendlyName=↩ 返回目录</x:v>
      </x:c>
      <x:c r="I49" s="447"/>
      <x:c r="J49" s="444"/>
      <x:c r="K49" s="444" t="str">
        <x:v>待同名检索｜待建档</x:v>
      </x:c>
    </x:row>
    <x:row r="50" ht="48" customHeight="1">
      <x:c r="A50" s="7" t="str">
        <x:v>SHJ-01-018</x:v>
      </x:c>
      <x:c r="B50" s="7" t="str">
        <x:v>卷一 《南山經》</x:v>
      </x:c>
      <x:c r="C50" s="8" t="str">
        <x:v>又東五百里，曰夷山，無草木，多沙石，湨水出焉，而南流注於列塗。</x:v>
      </x:c>
      <x:c r="D50" s="7" t="str">
        <x:v>夷山</x:v>
      </x:c>
      <x:c r="E50" s="7" t="str">
        <x:v>山</x:v>
      </x:c>
      <x:c r="F50" s="9"/>
      <x:c r="G50" s="10" t="str">
        <x:v>标点与分段参考《山海经校注》；正文对读：https://ctext.org/shan-hai-jing/nan-shan-jing/zh</x:v>
      </x:c>
      <x:c r="H50" s="11" t="e">
        <x:f>HYPERLINK("#'山海经原文总库'!A3","↩ 返回目录")</x:f>
        <x:v>HYPERLINK is not implemented. linkLocation=#'山海经原文总库'!A3, friendlyName=↩ 返回目录</x:v>
      </x:c>
      <x:c r="I50" s="447"/>
      <x:c r="J50" s="444"/>
      <x:c r="K50" s="444" t="str">
        <x:v>待同名检索｜待建档</x:v>
      </x:c>
    </x:row>
    <x:row r="51" ht="22.5" customHeight="1">
      <x:c r="A51" s="7"/>
      <x:c r="B51" s="7"/>
      <x:c r="C51" s="8"/>
      <x:c r="D51" s="7" t="str">
        <x:v>湨水</x:v>
      </x:c>
      <x:c r="E51" s="7" t="str">
        <x:v>水系</x:v>
      </x:c>
      <x:c r="F51" s="9"/>
      <x:c r="G51" s="10"/>
      <x:c r="H51" s="11" t="e">
        <x:f>HYPERLINK("#'山海经原文总库'!A3","↩ 返回目录")</x:f>
        <x:v>HYPERLINK is not implemented. linkLocation=#'山海经原文总库'!A3, friendlyName=↩ 返回目录</x:v>
      </x:c>
      <x:c r="I51" s="447"/>
      <x:c r="J51" s="444"/>
      <x:c r="K51" s="444" t="str">
        <x:v>待同名检索｜待建档</x:v>
      </x:c>
    </x:row>
    <x:row r="52" ht="22.5" customHeight="1">
      <x:c r="A52" s="7"/>
      <x:c r="B52" s="7"/>
      <x:c r="C52" s="8"/>
      <x:c r="D52" s="7" t="str">
        <x:v>列塗</x:v>
      </x:c>
      <x:c r="E52" s="7" t="str">
        <x:v>地理名稱</x:v>
      </x:c>
      <x:c r="F52" s="9"/>
      <x:c r="G52" s="10"/>
      <x:c r="H52" s="11" t="e">
        <x:f>HYPERLINK("#'山海经原文总库'!A3","↩ 返回目录")</x:f>
        <x:v>HYPERLINK is not implemented. linkLocation=#'山海经原文总库'!A3, friendlyName=↩ 返回目录</x:v>
      </x:c>
      <x:c r="I52" s="447"/>
      <x:c r="J52" s="444"/>
      <x:c r="K52" s="444" t="str">
        <x:v>待同名检索｜待建档</x:v>
      </x:c>
    </x:row>
    <x:row r="53" ht="48" customHeight="1">
      <x:c r="A53" s="7" t="str">
        <x:v>SHJ-01-019</x:v>
      </x:c>
      <x:c r="B53" s="7" t="str">
        <x:v>卷一 《南山經》</x:v>
      </x:c>
      <x:c r="C53" s="8" t="str">
        <x:v>又東五百里，曰僕勾之山，其上多金玉，其下多草木，無鳥獸，無水。</x:v>
      </x:c>
      <x:c r="D53" s="7" t="str">
        <x:v>僕勾之山</x:v>
      </x:c>
      <x:c r="E53" s="7" t="str">
        <x:v>山</x:v>
      </x:c>
      <x:c r="F53" s="9"/>
      <x:c r="G53" s="10" t="str">
        <x:v>标点与分段参考《山海经校注》；正文对读：https://ctext.org/shan-hai-jing/nan-shan-jing/zh</x:v>
      </x:c>
      <x:c r="H53" s="11" t="e">
        <x:f>HYPERLINK("#'山海经原文总库'!A3","↩ 返回目录")</x:f>
        <x:v>HYPERLINK is not implemented. linkLocation=#'山海经原文总库'!A3, friendlyName=↩ 返回目录</x:v>
      </x:c>
      <x:c r="I53" s="447"/>
      <x:c r="J53" s="443"/>
      <x:c r="K53" s="443" t="str">
        <x:v>待同名检索｜待建档</x:v>
      </x:c>
    </x:row>
    <x:row r="54" ht="48" customHeight="1">
      <x:c r="A54" s="7" t="str">
        <x:v>SHJ-01-020</x:v>
      </x:c>
      <x:c r="B54" s="7" t="str">
        <x:v>卷一 《南山經》</x:v>
      </x:c>
      <x:c r="C54" s="8" t="str">
        <x:v>又東五百里，曰咸陰之山，無草木，無水。</x:v>
      </x:c>
      <x:c r="D54" s="7" t="str">
        <x:v>咸陰之山</x:v>
      </x:c>
      <x:c r="E54" s="7" t="str">
        <x:v>山</x:v>
      </x:c>
      <x:c r="F54" s="9"/>
      <x:c r="G54" s="10" t="str">
        <x:v>标点与分段参考《山海经校注》；正文对读：https://ctext.org/shan-hai-jing/nan-shan-jing/zh</x:v>
      </x:c>
      <x:c r="H54" s="11" t="e">
        <x:f>HYPERLINK("#'山海经原文总库'!A3","↩ 返回目录")</x:f>
        <x:v>HYPERLINK is not implemented. linkLocation=#'山海经原文总库'!A3, friendlyName=↩ 返回目录</x:v>
      </x:c>
      <x:c r="I54" s="447"/>
      <x:c r="J54" s="437"/>
      <x:c r="K54" s="437" t="str">
        <x:v>待同名检索｜待建档</x:v>
      </x:c>
    </x:row>
    <x:row r="55" ht="48" customHeight="1">
      <x:c r="A55" s="7" t="str">
        <x:v>SHJ-01-021</x:v>
      </x:c>
      <x:c r="B55" s="7" t="str">
        <x:v>卷一 《南山經》</x:v>
      </x:c>
      <x:c r="C55" s="8" t="str">
        <x:v>又東四百里，曰洵山，其陽多金，其陰多玉。有獸焉，其狀如羊而無口，不可殺也，其名曰（羊患）。洵水出焉，而南流注於閼之澤，其中多芘蠃。</x:v>
      </x:c>
      <x:c r="D55" s="7" t="str">
        <x:v>洵山</x:v>
      </x:c>
      <x:c r="E55" s="7" t="str">
        <x:v>山</x:v>
      </x:c>
      <x:c r="F55" s="9"/>
      <x:c r="G55" s="10" t="str">
        <x:v>标点与分段参考《山海经校注》；正文对读：https://ctext.org/shan-hai-jing/nan-shan-jing/zh</x:v>
      </x:c>
      <x:c r="H55" s="11" t="e">
        <x:f>HYPERLINK("#'山海经原文总库'!A3","↩ 返回目录")</x:f>
        <x:v>HYPERLINK is not implemented. linkLocation=#'山海经原文总库'!A3, friendlyName=↩ 返回目录</x:v>
      </x:c>
      <x:c r="I55" s="447"/>
      <x:c r="J55" s="437"/>
      <x:c r="K55" s="437" t="str">
        <x:v>待同名检索｜待建档</x:v>
      </x:c>
    </x:row>
    <x:row r="56" ht="22.5" customHeight="1">
      <x:c r="A56" s="7"/>
      <x:c r="B56" s="7"/>
      <x:c r="C56" s="8"/>
      <x:c r="D56" s="7" t="str">
        <x:v>洵水</x:v>
      </x:c>
      <x:c r="E56" s="7" t="str">
        <x:v>水系</x:v>
      </x:c>
      <x:c r="F56" s="9"/>
      <x:c r="G56" s="10"/>
      <x:c r="H56" s="11" t="e">
        <x:f>HYPERLINK("#'山海经原文总库'!A3","↩ 返回目录")</x:f>
        <x:v>HYPERLINK is not implemented. linkLocation=#'山海经原文总库'!A3, friendlyName=↩ 返回目录</x:v>
      </x:c>
      <x:c r="I56" s="447"/>
      <x:c r="J56" s="437"/>
      <x:c r="K56" s="437" t="str">
        <x:v>待同名检索｜待建档</x:v>
      </x:c>
    </x:row>
    <x:row r="57" ht="22.5" customHeight="1">
      <x:c r="A57" s="7"/>
      <x:c r="B57" s="7"/>
      <x:c r="C57" s="8"/>
      <x:c r="D57" s="7" t="str">
        <x:v>閼之澤</x:v>
      </x:c>
      <x:c r="E57" s="7" t="str">
        <x:v>水系</x:v>
      </x:c>
      <x:c r="F57" s="9"/>
      <x:c r="G57" s="10"/>
      <x:c r="H57" s="11" t="e">
        <x:f>HYPERLINK("#'山海经原文总库'!A3","↩ 返回目录")</x:f>
        <x:v>HYPERLINK is not implemented. linkLocation=#'山海经原文总库'!A3, friendlyName=↩ 返回目录</x:v>
      </x:c>
      <x:c r="I57" s="447"/>
      <x:c r="J57" s="437"/>
      <x:c r="K57" s="437" t="str">
        <x:v>待同名检索｜待建档</x:v>
      </x:c>
    </x:row>
    <x:row r="58" ht="48" customHeight="1">
      <x:c r="A58" s="7" t="str">
        <x:v>SHJ-01-022</x:v>
      </x:c>
      <x:c r="B58" s="7" t="str">
        <x:v>卷一 《南山經》</x:v>
      </x:c>
      <x:c r="C58" s="8" t="str">
        <x:v>又東四百里，曰虖勺之山，其上多梓柟，其下多荊杞。滂水出焉，而東流注於海。</x:v>
      </x:c>
      <x:c r="D58" s="7" t="str">
        <x:v>虖勺之山</x:v>
      </x:c>
      <x:c r="E58" s="7" t="str">
        <x:v>山</x:v>
      </x:c>
      <x:c r="F58" s="9"/>
      <x:c r="G58" s="10" t="str">
        <x:v>标点与分段参考《山海经校注》；正文对读：https://ctext.org/shan-hai-jing/nan-shan-jing/zh</x:v>
      </x:c>
      <x:c r="H58" s="11" t="e">
        <x:f>HYPERLINK("#'山海经原文总库'!A3","↩ 返回目录")</x:f>
        <x:v>HYPERLINK is not implemented. linkLocation=#'山海经原文总库'!A3, friendlyName=↩ 返回目录</x:v>
      </x:c>
      <x:c r="I58" s="447"/>
      <x:c r="J58" s="437"/>
      <x:c r="K58" s="437" t="str">
        <x:v>待同名检索｜待建档</x:v>
      </x:c>
    </x:row>
    <x:row r="59" ht="22.5" customHeight="1">
      <x:c r="A59" s="7"/>
      <x:c r="B59" s="7"/>
      <x:c r="C59" s="8"/>
      <x:c r="D59" s="7" t="str">
        <x:v>滂水</x:v>
      </x:c>
      <x:c r="E59" s="7" t="str">
        <x:v>水系</x:v>
      </x:c>
      <x:c r="F59" s="9"/>
      <x:c r="G59" s="10"/>
      <x:c r="H59" s="11" t="e">
        <x:f>HYPERLINK("#'山海经原文总库'!A3","↩ 返回目录")</x:f>
        <x:v>HYPERLINK is not implemented. linkLocation=#'山海经原文总库'!A3, friendlyName=↩ 返回目录</x:v>
      </x:c>
      <x:c r="I59" s="447"/>
      <x:c r="J59" s="437"/>
      <x:c r="K59" s="437" t="str">
        <x:v>待同名检索｜待建档</x:v>
      </x:c>
    </x:row>
    <x:row r="60" ht="48" customHeight="1">
      <x:c r="A60" s="7" t="str">
        <x:v>SHJ-01-023</x:v>
      </x:c>
      <x:c r="B60" s="7" t="str">
        <x:v>卷一 《南山經》</x:v>
      </x:c>
      <x:c r="C60" s="8" t="str">
        <x:v>又東五百里，曰區吳之山，無草木，多沙石。鹿水出焉，而南流注於滂水。</x:v>
      </x:c>
      <x:c r="D60" s="7" t="str">
        <x:v>區吳之山</x:v>
      </x:c>
      <x:c r="E60" s="7" t="str">
        <x:v>山</x:v>
      </x:c>
      <x:c r="F60" s="9"/>
      <x:c r="G60" s="10" t="str">
        <x:v>标点与分段参考《山海经校注》；正文对读：https://ctext.org/shan-hai-jing/nan-shan-jing/zh</x:v>
      </x:c>
      <x:c r="H60" s="11" t="e">
        <x:f>HYPERLINK("#'山海经原文总库'!A3","↩ 返回目录")</x:f>
        <x:v>HYPERLINK is not implemented. linkLocation=#'山海经原文总库'!A3, friendlyName=↩ 返回目录</x:v>
      </x:c>
      <x:c r="I60" s="447"/>
      <x:c r="J60" s="437"/>
      <x:c r="K60" s="437" t="str">
        <x:v>待同名检索｜待建档</x:v>
      </x:c>
    </x:row>
    <x:row r="61" ht="22.5" customHeight="1">
      <x:c r="A61" s="7"/>
      <x:c r="B61" s="7"/>
      <x:c r="C61" s="8"/>
      <x:c r="D61" s="7" t="str">
        <x:v>鹿水</x:v>
      </x:c>
      <x:c r="E61" s="7" t="str">
        <x:v>水系</x:v>
      </x:c>
      <x:c r="F61" s="9"/>
      <x:c r="G61" s="10"/>
      <x:c r="H61" s="11" t="e">
        <x:f>HYPERLINK("#'山海经原文总库'!A3","↩ 返回目录")</x:f>
        <x:v>HYPERLINK is not implemented. linkLocation=#'山海经原文总库'!A3, friendlyName=↩ 返回目录</x:v>
      </x:c>
      <x:c r="I61" s="447"/>
      <x:c r="J61" s="437"/>
      <x:c r="K61" s="437" t="str">
        <x:v>待同名检索｜待建档</x:v>
      </x:c>
    </x:row>
    <x:row r="62" ht="22.5" customHeight="1">
      <x:c r="A62" s="7"/>
      <x:c r="B62" s="7"/>
      <x:c r="C62" s="8"/>
      <x:c r="D62" s="7" t="str">
        <x:v>滂水</x:v>
      </x:c>
      <x:c r="E62" s="7" t="str">
        <x:v>水系</x:v>
      </x:c>
      <x:c r="F62" s="9"/>
      <x:c r="G62" s="10"/>
      <x:c r="H62" s="11" t="e">
        <x:f>HYPERLINK("#'山海经原文总库'!A3","↩ 返回目录")</x:f>
        <x:v>HYPERLINK is not implemented. linkLocation=#'山海经原文总库'!A3, friendlyName=↩ 返回目录</x:v>
      </x:c>
      <x:c r="I62" s="447"/>
      <x:c r="J62" s="437"/>
      <x:c r="K62" s="437" t="str">
        <x:v>待同名检索｜待建档</x:v>
      </x:c>
    </x:row>
    <x:row r="63" ht="48" customHeight="1">
      <x:c r="A63" s="7" t="str">
        <x:v>SHJ-01-024</x:v>
      </x:c>
      <x:c r="B63" s="7" t="str">
        <x:v>卷一 《南山經》</x:v>
      </x:c>
      <x:c r="C63" s="8" t="str">
        <x:v>又東五百里，曰鹿吳之山，上無草木，多金石。澤更之水出焉，而南流注於滂水。水有獸焉，名曰蠱雕，其狀如雕而有角，其音如嬰兒之音，是食人。</x:v>
      </x:c>
      <x:c r="D63" s="7" t="str">
        <x:v>鹿吳之山</x:v>
      </x:c>
      <x:c r="E63" s="7" t="str">
        <x:v>山</x:v>
      </x:c>
      <x:c r="F63" s="9"/>
      <x:c r="G63" s="10" t="str">
        <x:v>标点与分段参考《山海经校注》；正文对读：https://ctext.org/shan-hai-jing/nan-shan-jing/zh</x:v>
      </x:c>
      <x:c r="H63" s="11" t="e">
        <x:f>HYPERLINK("#'山海经原文总库'!A3","↩ 返回目录")</x:f>
        <x:v>HYPERLINK is not implemented. linkLocation=#'山海经原文总库'!A3, friendlyName=↩ 返回目录</x:v>
      </x:c>
      <x:c r="I63" s="447"/>
      <x:c r="J63" s="437"/>
      <x:c r="K63" s="437" t="str">
        <x:v>待同名检索｜待建档</x:v>
      </x:c>
    </x:row>
    <x:row r="64" ht="22.5" customHeight="1">
      <x:c r="A64" s="7"/>
      <x:c r="B64" s="7"/>
      <x:c r="C64" s="8"/>
      <x:c r="D64" s="7" t="str">
        <x:v>澤更之水</x:v>
      </x:c>
      <x:c r="E64" s="7" t="str">
        <x:v>水系</x:v>
      </x:c>
      <x:c r="F64" s="9"/>
      <x:c r="G64" s="10"/>
      <x:c r="H64" s="11" t="e">
        <x:f>HYPERLINK("#'山海经原文总库'!A3","↩ 返回目录")</x:f>
        <x:v>HYPERLINK is not implemented. linkLocation=#'山海经原文总库'!A3, friendlyName=↩ 返回目录</x:v>
      </x:c>
      <x:c r="I64" s="447"/>
      <x:c r="J64" s="437"/>
      <x:c r="K64" s="437" t="str">
        <x:v>待同名检索｜待建档</x:v>
      </x:c>
    </x:row>
    <x:row r="65" ht="22.5" customHeight="1">
      <x:c r="A65" s="7"/>
      <x:c r="B65" s="7"/>
      <x:c r="C65" s="8"/>
      <x:c r="D65" s="7" t="str">
        <x:v>滂水</x:v>
      </x:c>
      <x:c r="E65" s="7" t="str">
        <x:v>水系</x:v>
      </x:c>
      <x:c r="F65" s="9"/>
      <x:c r="G65" s="10"/>
      <x:c r="H65" s="11" t="e">
        <x:f>HYPERLINK("#'山海经原文总库'!A3","↩ 返回目录")</x:f>
        <x:v>HYPERLINK is not implemented. linkLocation=#'山海经原文总库'!A3, friendlyName=↩ 返回目录</x:v>
      </x:c>
      <x:c r="I65" s="447"/>
      <x:c r="J65" s="437"/>
      <x:c r="K65" s="437" t="str">
        <x:v>待同名检索｜待建档</x:v>
      </x:c>
    </x:row>
    <x:row r="66" ht="48" customHeight="1">
      <x:c r="A66" s="7" t="str">
        <x:v>SHJ-01-025</x:v>
      </x:c>
      <x:c r="B66" s="7" t="str">
        <x:v>卷一 《南山經》</x:v>
      </x:c>
      <x:c r="C66" s="8" t="str">
        <x:v>東五百里，曰漆吳之山，無草木，多博石，無玉。處於東海，望丘山，其光載出加載，是惟日次。</x:v>
      </x:c>
      <x:c r="D66" s="7" t="str">
        <x:v>漆吳之山</x:v>
      </x:c>
      <x:c r="E66" s="7" t="str">
        <x:v>山</x:v>
      </x:c>
      <x:c r="F66" s="9"/>
      <x:c r="G66" s="10" t="str">
        <x:v>标点与分段参考《山海经校注》；正文对读：https://ctext.org/shan-hai-jing/nan-shan-jing/zh</x:v>
      </x:c>
      <x:c r="H66" s="11" t="e">
        <x:f>HYPERLINK("#'山海经原文总库'!A3","↩ 返回目录")</x:f>
        <x:v>HYPERLINK is not implemented. linkLocation=#'山海经原文总库'!A3, friendlyName=↩ 返回目录</x:v>
      </x:c>
      <x:c r="I66" s="447"/>
      <x:c r="J66" s="437"/>
      <x:c r="K66" s="437" t="str">
        <x:v>待同名检索｜待建档</x:v>
      </x:c>
    </x:row>
    <x:row r="67" ht="22.5" customHeight="1">
      <x:c r="A67" s="7"/>
      <x:c r="B67" s="7"/>
      <x:c r="C67" s="8"/>
      <x:c r="D67" s="7" t="str">
        <x:v>東海</x:v>
      </x:c>
      <x:c r="E67" s="7" t="str">
        <x:v>海域</x:v>
      </x:c>
      <x:c r="F67" s="9"/>
      <x:c r="G67" s="10"/>
      <x:c r="H67" s="11" t="e">
        <x:f>HYPERLINK("#'山海经原文总库'!A3","↩ 返回目录")</x:f>
        <x:v>HYPERLINK is not implemented. linkLocation=#'山海经原文总库'!A3, friendlyName=↩ 返回目录</x:v>
      </x:c>
      <x:c r="I67" s="447"/>
      <x:c r="J67" s="437"/>
      <x:c r="K67" s="437" t="str">
        <x:v>待同名检索｜待建档</x:v>
      </x:c>
    </x:row>
    <x:row r="68" ht="48" customHeight="1">
      <x:c r="A68" s="7" t="str">
        <x:v>SHJ-01-026</x:v>
      </x:c>
      <x:c r="B68" s="7" t="str">
        <x:v>卷一 《南山經》</x:v>
      </x:c>
      <x:c r="C68" s="8" t="str">
        <x:v>凡南次二經之首，自櫃山至於漆吳之山，凡十七山，七千二百里。其神狀皆龍身而鳥首。其祠：毛用一璧瘞，糈用稌。</x:v>
      </x:c>
      <x:c r="D68" s="7" t="str">
        <x:v>櫃山至於漆吳之山</x:v>
      </x:c>
      <x:c r="E68" s="7" t="str">
        <x:v>山</x:v>
      </x:c>
      <x:c r="F68" s="9"/>
      <x:c r="G68" s="10" t="str">
        <x:v>标点与分段参考《山海经校注》；正文对读：https://ctext.org/shan-hai-jing/nan-shan-jing/zh</x:v>
      </x:c>
      <x:c r="H68" s="11" t="e">
        <x:f>HYPERLINK("#'山海经原文总库'!A3","↩ 返回目录")</x:f>
        <x:v>HYPERLINK is not implemented. linkLocation=#'山海经原文总库'!A3, friendlyName=↩ 返回目录</x:v>
      </x:c>
      <x:c r="I68" s="447"/>
      <x:c r="J68" s="437"/>
      <x:c r="K68" s="437" t="str">
        <x:v>待同名检索｜待建档</x:v>
      </x:c>
    </x:row>
    <x:row r="69" ht="48" customHeight="1">
      <x:c r="A69" s="7" t="str">
        <x:v>SHJ-01-027</x:v>
      </x:c>
      <x:c r="B69" s="7" t="str">
        <x:v>卷一 《南山經》</x:v>
      </x:c>
      <x:c r="C69" s="8" t="str">
        <x:v>南次三經之首，曰天虞之山，其下多水，不可以上。</x:v>
      </x:c>
      <x:c r="D69" s="7" t="str">
        <x:v>天虞之山</x:v>
      </x:c>
      <x:c r="E69" s="7" t="str">
        <x:v>山</x:v>
      </x:c>
      <x:c r="F69" s="9"/>
      <x:c r="G69" s="10" t="str">
        <x:v>标点与分段参考《山海经校注》；正文对读：https://ctext.org/shan-hai-jing/nan-shan-jing/zh</x:v>
      </x:c>
      <x:c r="H69" s="11" t="e">
        <x:f>HYPERLINK("#'山海经原文总库'!A3","↩ 返回目录")</x:f>
        <x:v>HYPERLINK is not implemented. linkLocation=#'山海经原文总库'!A3, friendlyName=↩ 返回目录</x:v>
      </x:c>
      <x:c r="I69" s="447"/>
      <x:c r="J69" s="437"/>
      <x:c r="K69" s="437" t="str">
        <x:v>待同名检索｜待建档</x:v>
      </x:c>
    </x:row>
    <x:row r="70" ht="64.5" customHeight="1">
      <x:c r="A70" s="7" t="str">
        <x:v>SHJ-01-028</x:v>
      </x:c>
      <x:c r="B70" s="7" t="str">
        <x:v>卷一 《南山經》</x:v>
      </x:c>
      <x:c r="C70" s="8" t="str">
        <x:v>東五百里，曰禱過之山，其上多金玉，其下多犀、兕，多象。有鳥焉，其狀同鵁，而白首、三足、人面，其名曰瞿如，其鳴自號也。？水出焉，而南流注於海。其中有虎蛟，其狀魚身而蛇尾，其音如鴛鴦，食者不腫，可以已痔。</x:v>
      </x:c>
      <x:c r="D70" s="7" t="str">
        <x:v>禱過之山</x:v>
      </x:c>
      <x:c r="E70" s="7" t="str">
        <x:v>山</x:v>
      </x:c>
      <x:c r="F70" s="9"/>
      <x:c r="G70" s="10" t="str">
        <x:v>标点与分段参考《山海经校注》；正文对读：https://ctext.org/shan-hai-jing/nan-shan-jing/zh</x:v>
      </x:c>
      <x:c r="H70" s="11" t="e">
        <x:f>HYPERLINK("#'山海经原文总库'!A3","↩ 返回目录")</x:f>
        <x:v>HYPERLINK is not implemented. linkLocation=#'山海经原文总库'!A3, friendlyName=↩ 返回目录</x:v>
      </x:c>
      <x:c r="I70" s="447"/>
      <x:c r="J70" s="437"/>
      <x:c r="K70" s="437" t="str">
        <x:v>待同名检索｜待建档</x:v>
      </x:c>
    </x:row>
    <x:row r="71" ht="22.5" customHeight="1">
      <x:c r="A71" s="7"/>
      <x:c r="B71" s="7"/>
      <x:c r="C71" s="8"/>
      <x:c r="D71" s="7" t="str">
        <x:v>泿水</x:v>
      </x:c>
      <x:c r="E71" s="7" t="str">
        <x:v>水系</x:v>
      </x:c>
      <x:c r="F71" s="9"/>
      <x:c r="G71" s="10"/>
      <x:c r="H71" s="11" t="e">
        <x:f>HYPERLINK("#'山海经原文总库'!A3","↩ 返回目录")</x:f>
        <x:v>HYPERLINK is not implemented. linkLocation=#'山海经原文总库'!A3, friendlyName=↩ 返回目录</x:v>
      </x:c>
      <x:c r="I71" s="448"/>
      <x:c r="J71" s="437"/>
      <x:c r="K71" s="437" t="str">
        <x:v>待同名检索｜待建档</x:v>
      </x:c>
    </x:row>
    <x:row r="72" ht="64.5" customHeight="1">
      <x:c r="A72" s="7" t="str">
        <x:v>SHJ-01-029</x:v>
      </x:c>
      <x:c r="B72" s="7" t="str">
        <x:v>卷一 《南山經》</x:v>
      </x:c>
      <x:c r="C72" s="8" t="str">
        <x:v>又東五百里，曰丹穴之山，其上多金玉。丹水出焉，而南流注於渤海。有鳥焉，其狀如雞，五採而文，名曰鳳皇，首文曰德，翼文曰義，背文曰禮，膺文曰仁，腹文曰信。是鳥也，飲食自然，自歌自舞，見則天下安寧。</x:v>
      </x:c>
      <x:c r="D72" s="7" t="str">
        <x:v>丹穴之山</x:v>
      </x:c>
      <x:c r="E72" s="7" t="str">
        <x:v>山</x:v>
      </x:c>
      <x:c r="F72" s="9"/>
      <x:c r="G72" s="10" t="str">
        <x:v>标点与分段参考《山海经校注》；正文对读：https://ctext.org/shan-hai-jing/nan-shan-jing/zh</x:v>
      </x:c>
      <x:c r="H72" s="11" t="e">
        <x:f>HYPERLINK("#'山海经原文总库'!A3","↩ 返回目录")</x:f>
        <x:v>HYPERLINK is not implemented. linkLocation=#'山海经原文总库'!A3, friendlyName=↩ 返回目录</x:v>
      </x:c>
      <x:c r="I72" s="448"/>
      <x:c r="J72" s="437"/>
      <x:c r="K72" s="437" t="str">
        <x:v>待同名检索｜待建档</x:v>
      </x:c>
    </x:row>
    <x:row r="73" ht="22.5" customHeight="1">
      <x:c r="A73" s="7"/>
      <x:c r="B73" s="7"/>
      <x:c r="C73" s="8"/>
      <x:c r="D73" s="7" t="str">
        <x:v>丹水</x:v>
      </x:c>
      <x:c r="E73" s="7" t="str">
        <x:v>水系</x:v>
      </x:c>
      <x:c r="F73" s="9"/>
      <x:c r="G73" s="10"/>
      <x:c r="H73" s="11" t="e">
        <x:f>HYPERLINK("#'山海经原文总库'!A3","↩ 返回目录")</x:f>
        <x:v>HYPERLINK is not implemented. linkLocation=#'山海经原文总库'!A3, friendlyName=↩ 返回目录</x:v>
      </x:c>
      <x:c r="I73" s="449"/>
      <x:c r="J73" s="437"/>
      <x:c r="K73" s="437" t="str">
        <x:v>待同名检索｜待建档</x:v>
      </x:c>
    </x:row>
    <x:row r="74" ht="22.5" customHeight="1">
      <x:c r="A74" s="7"/>
      <x:c r="B74" s="7"/>
      <x:c r="C74" s="8"/>
      <x:c r="D74" s="7" t="str">
        <x:v>渤海</x:v>
      </x:c>
      <x:c r="E74" s="7" t="str">
        <x:v>水系</x:v>
      </x:c>
      <x:c r="F74" s="9"/>
      <x:c r="G74" s="10"/>
      <x:c r="H74" s="11" t="e">
        <x:f>HYPERLINK("#'山海经原文总库'!A3","↩ 返回目录")</x:f>
        <x:v>HYPERLINK is not implemented. linkLocation=#'山海经原文总库'!A3, friendlyName=↩ 返回目录</x:v>
      </x:c>
      <x:c r="I74" s="449"/>
      <x:c r="J74" s="437"/>
      <x:c r="K74" s="437" t="str">
        <x:v>待同名检索｜待建档</x:v>
      </x:c>
    </x:row>
    <x:row r="75" ht="48" customHeight="1">
      <x:c r="A75" s="7" t="str">
        <x:v>SHJ-01-030</x:v>
      </x:c>
      <x:c r="B75" s="7" t="str">
        <x:v>卷一 《南山經》</x:v>
      </x:c>
      <x:c r="C75" s="8" t="str">
        <x:v>又東五百里，曰發爽之山，無草木，多水，多白猿。泛水出焉，而南流注於渤海。</x:v>
      </x:c>
      <x:c r="D75" s="7" t="str">
        <x:v>發爽之山</x:v>
      </x:c>
      <x:c r="E75" s="7" t="str">
        <x:v>山</x:v>
      </x:c>
      <x:c r="F75" s="9"/>
      <x:c r="G75" s="10" t="str">
        <x:v>标点与分段参考《山海经校注》；正文对读：https://ctext.org/shan-hai-jing/nan-shan-jing/zh</x:v>
      </x:c>
      <x:c r="H75" s="11" t="e">
        <x:f>HYPERLINK("#'山海经原文总库'!A3","↩ 返回目录")</x:f>
        <x:v>HYPERLINK is not implemented. linkLocation=#'山海经原文总库'!A3, friendlyName=↩ 返回目录</x:v>
      </x:c>
      <x:c r="I75" s="450"/>
      <x:c r="J75" s="437"/>
      <x:c r="K75" s="437" t="str">
        <x:v>待同名检索｜待建档</x:v>
      </x:c>
    </x:row>
    <x:row r="76" ht="22.5" customHeight="1">
      <x:c r="A76" s="7"/>
      <x:c r="B76" s="7"/>
      <x:c r="C76" s="8"/>
      <x:c r="D76" s="7" t="str">
        <x:v>泛水</x:v>
      </x:c>
      <x:c r="E76" s="7" t="str">
        <x:v>水系</x:v>
      </x:c>
      <x:c r="F76" s="9"/>
      <x:c r="G76" s="10"/>
      <x:c r="H76" s="11" t="e">
        <x:f>HYPERLINK("#'山海经原文总库'!A3","↩ 返回目录")</x:f>
        <x:v>HYPERLINK is not implemented. linkLocation=#'山海经原文总库'!A3, friendlyName=↩ 返回目录</x:v>
      </x:c>
      <x:c r="I76" s="450"/>
      <x:c r="J76" s="437"/>
      <x:c r="K76" s="437" t="str">
        <x:v>待同名检索｜待建档</x:v>
      </x:c>
    </x:row>
    <x:row r="77" ht="22.5" customHeight="1">
      <x:c r="A77" s="7"/>
      <x:c r="B77" s="7"/>
      <x:c r="C77" s="8"/>
      <x:c r="D77" s="7" t="str">
        <x:v>渤海</x:v>
      </x:c>
      <x:c r="E77" s="7" t="str">
        <x:v>水系</x:v>
      </x:c>
      <x:c r="F77" s="9"/>
      <x:c r="G77" s="10"/>
      <x:c r="H77" s="11" t="e">
        <x:f>HYPERLINK("#'山海经原文总库'!A3","↩ 返回目录")</x:f>
        <x:v>HYPERLINK is not implemented. linkLocation=#'山海经原文总库'!A3, friendlyName=↩ 返回目录</x:v>
      </x:c>
      <x:c r="I77" s="451"/>
      <x:c r="J77" s="437"/>
      <x:c r="K77" s="437" t="str">
        <x:v>待同名检索｜待建档</x:v>
      </x:c>
    </x:row>
    <x:row r="78" ht="48" customHeight="1">
      <x:c r="A78" s="7" t="str">
        <x:v>SHJ-01-031</x:v>
      </x:c>
      <x:c r="B78" s="7" t="str">
        <x:v>卷一 《南山經》</x:v>
      </x:c>
      <x:c r="C78" s="8" t="str">
        <x:v>又東四百里，至於旄山之尾，其南有谷，曰育遺，多怪鳥，凱風自是出。</x:v>
      </x:c>
      <x:c r="D78" s="7" t="str">
        <x:v>旄山</x:v>
      </x:c>
      <x:c r="E78" s="7" t="str">
        <x:v>山</x:v>
      </x:c>
      <x:c r="F78" s="9"/>
      <x:c r="G78" s="10" t="str">
        <x:v>标点与分段参考《山海经校注》；正文对读：https://ctext.org/shan-hai-jing/nan-shan-jing/zh</x:v>
      </x:c>
      <x:c r="H78" s="11" t="e">
        <x:f>HYPERLINK("#'山海经原文总库'!A3","↩ 返回目录")</x:f>
        <x:v>HYPERLINK is not implemented. linkLocation=#'山海经原文总库'!A3, friendlyName=↩ 返回目录</x:v>
      </x:c>
      <x:c r="I78" s="451"/>
      <x:c r="J78" s="437"/>
      <x:c r="K78" s="437" t="str">
        <x:v>待同名检索｜待建档</x:v>
      </x:c>
    </x:row>
    <x:row r="79" ht="48" customHeight="1">
      <x:c r="A79" s="7" t="str">
        <x:v>SHJ-01-032</x:v>
      </x:c>
      <x:c r="B79" s="7" t="str">
        <x:v>卷一 《南山經》</x:v>
      </x:c>
      <x:c r="C79" s="8" t="str">
        <x:v>又東四百里，至於非山之首，其上多金玉，無水，其下多蝮蟲。</x:v>
      </x:c>
      <x:c r="D79" s="7" t="str">
        <x:v>非山</x:v>
      </x:c>
      <x:c r="E79" s="7" t="str">
        <x:v>山</x:v>
      </x:c>
      <x:c r="F79" s="9"/>
      <x:c r="G79" s="10" t="str">
        <x:v>标点与分段参考《山海经校注》；正文对读：https://ctext.org/shan-hai-jing/nan-shan-jing/zh</x:v>
      </x:c>
      <x:c r="H79" s="11" t="e">
        <x:f>HYPERLINK("#'山海经原文总库'!A3","↩ 返回目录")</x:f>
        <x:v>HYPERLINK is not implemented. linkLocation=#'山海经原文总库'!A3, friendlyName=↩ 返回目录</x:v>
      </x:c>
      <x:c r="I79" s="452"/>
      <x:c r="J79" s="437"/>
      <x:c r="K79" s="437" t="str">
        <x:v>待同名检索｜待建档</x:v>
      </x:c>
    </x:row>
    <x:row r="80" ht="48" customHeight="1">
      <x:c r="A80" s="7" t="str">
        <x:v>SHJ-01-033</x:v>
      </x:c>
      <x:c r="B80" s="7" t="str">
        <x:v>卷一 《南山經》</x:v>
      </x:c>
      <x:c r="C80" s="8" t="str">
        <x:v>又東五百里，曰陽夾之山，無草木，多水。</x:v>
      </x:c>
      <x:c r="D80" s="7" t="str">
        <x:v>陽夾之山</x:v>
      </x:c>
      <x:c r="E80" s="7" t="str">
        <x:v>山</x:v>
      </x:c>
      <x:c r="F80" s="9"/>
      <x:c r="G80" s="10" t="str">
        <x:v>标点与分段参考《山海经校注》；正文对读：https://ctext.org/shan-hai-jing/nan-shan-jing/zh</x:v>
      </x:c>
      <x:c r="H80" s="11" t="e">
        <x:f>HYPERLINK("#'山海经原文总库'!A3","↩ 返回目录")</x:f>
        <x:v>HYPERLINK is not implemented. linkLocation=#'山海经原文总库'!A3, friendlyName=↩ 返回目录</x:v>
      </x:c>
      <x:c r="I80" s="452"/>
      <x:c r="J80" s="437"/>
      <x:c r="K80" s="437" t="str">
        <x:v>待同名检索｜待建档</x:v>
      </x:c>
    </x:row>
    <x:row r="81" ht="48" customHeight="1">
      <x:c r="A81" s="7" t="str">
        <x:v>SHJ-01-034</x:v>
      </x:c>
      <x:c r="B81" s="7" t="str">
        <x:v>卷一 《南山經》</x:v>
      </x:c>
      <x:c r="C81" s="8" t="str">
        <x:v>又東五百里，曰灌湘之山，上多木，無草；多怪鳥，無獸。</x:v>
      </x:c>
      <x:c r="D81" s="7" t="str">
        <x:v>灌湘之山</x:v>
      </x:c>
      <x:c r="E81" s="7" t="str">
        <x:v>山</x:v>
      </x:c>
      <x:c r="F81" s="9"/>
      <x:c r="G81" s="10" t="str">
        <x:v>标点与分段参考《山海经校注》；正文对读：https://ctext.org/shan-hai-jing/nan-shan-jing/zh</x:v>
      </x:c>
      <x:c r="H81" s="11" t="e">
        <x:f>HYPERLINK("#'山海经原文总库'!A3","↩ 返回目录")</x:f>
        <x:v>HYPERLINK is not implemented. linkLocation=#'山海经原文总库'!A3, friendlyName=↩ 返回目录</x:v>
      </x:c>
      <x:c r="I81" s="452"/>
      <x:c r="J81" s="437"/>
      <x:c r="K81" s="437" t="str">
        <x:v>待同名检索｜待建档</x:v>
      </x:c>
    </x:row>
    <x:row r="82" ht="48" customHeight="1">
      <x:c r="A82" s="7" t="str">
        <x:v>SHJ-01-035</x:v>
      </x:c>
      <x:c r="B82" s="7" t="str">
        <x:v>卷一 《南山經》</x:v>
      </x:c>
      <x:c r="C82" s="8" t="str">
        <x:v>又東五百里，曰雞山，其上多金，其下多丹雘。黑水出焉，而南流注於海。其中有鱄魚，其狀如鮒而彘毛，其音如豚，見則天下大旱。</x:v>
      </x:c>
      <x:c r="D82" s="7" t="str">
        <x:v>雞山</x:v>
      </x:c>
      <x:c r="E82" s="7" t="str">
        <x:v>山</x:v>
      </x:c>
      <x:c r="F82" s="9"/>
      <x:c r="G82" s="10" t="str">
        <x:v>标点与分段参考《山海经校注》；正文对读：https://ctext.org/shan-hai-jing/nan-shan-jing/zh</x:v>
      </x:c>
      <x:c r="H82" s="11" t="e">
        <x:f>HYPERLINK("#'山海经原文总库'!A3","↩ 返回目录")</x:f>
        <x:v>HYPERLINK is not implemented. linkLocation=#'山海经原文总库'!A3, friendlyName=↩ 返回目录</x:v>
      </x:c>
      <x:c r="I82" s="452"/>
      <x:c r="J82" s="437"/>
      <x:c r="K82" s="437" t="str">
        <x:v>待同名检索｜待建档</x:v>
      </x:c>
    </x:row>
    <x:row r="83" ht="22.5" customHeight="1">
      <x:c r="A83" s="7"/>
      <x:c r="B83" s="7"/>
      <x:c r="C83" s="8"/>
      <x:c r="D83" s="7" t="str">
        <x:v>黑水</x:v>
      </x:c>
      <x:c r="E83" s="7" t="str">
        <x:v>水系</x:v>
      </x:c>
      <x:c r="F83" s="9"/>
      <x:c r="G83" s="10"/>
      <x:c r="H83" s="11" t="e">
        <x:f>HYPERLINK("#'山海经原文总库'!A3","↩ 返回目录")</x:f>
        <x:v>HYPERLINK is not implemented. linkLocation=#'山海经原文总库'!A3, friendlyName=↩ 返回目录</x:v>
      </x:c>
      <x:c r="I83" s="452"/>
      <x:c r="J83" s="437"/>
      <x:c r="K83" s="437" t="str">
        <x:v>待同名检索｜待建档</x:v>
      </x:c>
    </x:row>
    <x:row r="84" ht="48" customHeight="1">
      <x:c r="A84" s="7" t="str">
        <x:v>SHJ-01-036</x:v>
      </x:c>
      <x:c r="B84" s="7" t="str">
        <x:v>卷一 《南山經》</x:v>
      </x:c>
      <x:c r="C84" s="8" t="str">
        <x:v>又東四百里，曰令丘之山，無草木，多火。其南有谷焉，曰中谷，條風自是出。有鳥焉，其狀如梟，人面四目而有耳，其名曰顒，其鳴自號也，見則天下大旱。</x:v>
      </x:c>
      <x:c r="D84" s="7" t="str">
        <x:v>令丘之山</x:v>
      </x:c>
      <x:c r="E84" s="7" t="str">
        <x:v>山</x:v>
      </x:c>
      <x:c r="F84" s="9"/>
      <x:c r="G84" s="10" t="str">
        <x:v>标点与分段参考《山海经校注》；正文对读：https://ctext.org/shan-hai-jing/nan-shan-jing/zh</x:v>
      </x:c>
      <x:c r="H84" s="11" t="e">
        <x:f>HYPERLINK("#'山海经原文总库'!A3","↩ 返回目录")</x:f>
        <x:v>HYPERLINK is not implemented. linkLocation=#'山海经原文总库'!A3, friendlyName=↩ 返回目录</x:v>
      </x:c>
      <x:c r="I84" s="452"/>
      <x:c r="J84" s="437"/>
      <x:c r="K84" s="437" t="str">
        <x:v>待同名检索｜待建档</x:v>
      </x:c>
    </x:row>
    <x:row r="85" ht="22.5" customHeight="1">
      <x:c r="A85" s="7"/>
      <x:c r="B85" s="7"/>
      <x:c r="C85" s="8"/>
      <x:c r="D85" s="7" t="str">
        <x:v>中谷</x:v>
      </x:c>
      <x:c r="E85" s="7" t="str">
        <x:v>區域</x:v>
      </x:c>
      <x:c r="F85" s="9"/>
      <x:c r="G85" s="10"/>
      <x:c r="H85" s="11" t="e">
        <x:f>HYPERLINK("#'山海经原文总库'!A3","↩ 返回目录")</x:f>
        <x:v>HYPERLINK is not implemented. linkLocation=#'山海经原文总库'!A3, friendlyName=↩ 返回目录</x:v>
      </x:c>
      <x:c r="I85" s="452"/>
      <x:c r="J85" s="437"/>
      <x:c r="K85" s="437" t="str">
        <x:v>待同名检索｜待建档</x:v>
      </x:c>
    </x:row>
    <x:row r="86" ht="48" customHeight="1">
      <x:c r="A86" s="7" t="str">
        <x:v>SHJ-01-037</x:v>
      </x:c>
      <x:c r="B86" s="7" t="str">
        <x:v>卷一 《南山經》</x:v>
      </x:c>
      <x:c r="C86" s="8" t="str">
        <x:v>又東三百七十里，曰侖者之山，其上多金玉，其下多青雘。有木焉，其狀如谷而赤理，其汗如漆，其味如飴，食者不飢，可以釋勞，其名曰白咎，可以血玉。</x:v>
      </x:c>
      <x:c r="D86" s="7" t="str">
        <x:v>侖者之山</x:v>
      </x:c>
      <x:c r="E86" s="7" t="str">
        <x:v>山</x:v>
      </x:c>
      <x:c r="F86" s="9"/>
      <x:c r="G86" s="10" t="str">
        <x:v>标点与分段参考《山海经校注》；正文对读：https://ctext.org/shan-hai-jing/nan-shan-jing/zh</x:v>
      </x:c>
      <x:c r="H86" s="11" t="e">
        <x:f>HYPERLINK("#'山海经原文总库'!A3","↩ 返回目录")</x:f>
        <x:v>HYPERLINK is not implemented. linkLocation=#'山海经原文总库'!A3, friendlyName=↩ 返回目录</x:v>
      </x:c>
      <x:c r="I86" s="452"/>
      <x:c r="J86" s="437"/>
      <x:c r="K86" s="437" t="str">
        <x:v>待同名检索｜待建档</x:v>
      </x:c>
    </x:row>
    <x:row r="87" ht="48" customHeight="1">
      <x:c r="A87" s="7" t="str">
        <x:v>SHJ-01-038</x:v>
      </x:c>
      <x:c r="B87" s="7" t="str">
        <x:v>卷一 《南山經》</x:v>
      </x:c>
      <x:c r="C87" s="8" t="str">
        <x:v>又東五百八十里，曰禺稿之山，多怪獸，多大蛇。</x:v>
      </x:c>
      <x:c r="D87" s="7" t="str">
        <x:v>禺稿之山</x:v>
      </x:c>
      <x:c r="E87" s="7" t="str">
        <x:v>山</x:v>
      </x:c>
      <x:c r="F87" s="9"/>
      <x:c r="G87" s="10" t="str">
        <x:v>标点与分段参考《山海经校注》；正文对读：https://ctext.org/shan-hai-jing/nan-shan-jing/zh</x:v>
      </x:c>
      <x:c r="H87" s="11" t="e">
        <x:f>HYPERLINK("#'山海经原文总库'!A3","↩ 返回目录")</x:f>
        <x:v>HYPERLINK is not implemented. linkLocation=#'山海经原文总库'!A3, friendlyName=↩ 返回目录</x:v>
      </x:c>
      <x:c r="I87" s="452"/>
      <x:c r="J87" s="437"/>
      <x:c r="K87" s="437" t="str">
        <x:v>待同名检索｜待建档</x:v>
      </x:c>
    </x:row>
    <x:row r="88" ht="48" customHeight="1">
      <x:c r="A88" s="7" t="str">
        <x:v>SHJ-01-039</x:v>
      </x:c>
      <x:c r="B88" s="7" t="str">
        <x:v>卷一 《南山經》</x:v>
      </x:c>
      <x:c r="C88" s="8" t="str">
        <x:v>又東五百八十里，曰南禺之山，其上多金玉，其下多水。有穴焉，水出輒入，夏乃出，冬則閉。佐水出焉，而東南流注於海，有鳳皇、鵷雛。</x:v>
      </x:c>
      <x:c r="D88" s="7" t="str">
        <x:v>禺之山</x:v>
      </x:c>
      <x:c r="E88" s="7" t="str">
        <x:v>山</x:v>
      </x:c>
      <x:c r="F88" s="9"/>
      <x:c r="G88" s="10" t="str">
        <x:v>标点与分段参考《山海经校注》；正文对读：https://ctext.org/shan-hai-jing/nan-shan-jing/zh</x:v>
      </x:c>
      <x:c r="H88" s="11" t="e">
        <x:f>HYPERLINK("#'山海经原文总库'!A3","↩ 返回目录")</x:f>
        <x:v>HYPERLINK is not implemented. linkLocation=#'山海经原文总库'!A3, friendlyName=↩ 返回目录</x:v>
      </x:c>
      <x:c r="I88" s="452"/>
      <x:c r="J88" s="437"/>
      <x:c r="K88" s="437" t="str">
        <x:v>待同名检索｜待建档</x:v>
      </x:c>
    </x:row>
    <x:row r="89" ht="22.5" customHeight="1">
      <x:c r="A89" s="7"/>
      <x:c r="B89" s="7"/>
      <x:c r="C89" s="8"/>
      <x:c r="D89" s="7" t="str">
        <x:v>佐水</x:v>
      </x:c>
      <x:c r="E89" s="7" t="str">
        <x:v>水系</x:v>
      </x:c>
      <x:c r="F89" s="9"/>
      <x:c r="G89" s="10"/>
      <x:c r="H89" s="11" t="e">
        <x:f>HYPERLINK("#'山海经原文总库'!A3","↩ 返回目录")</x:f>
        <x:v>HYPERLINK is not implemented. linkLocation=#'山海经原文总库'!A3, friendlyName=↩ 返回目录</x:v>
      </x:c>
      <x:c r="I89" s="452"/>
      <x:c r="J89" s="437"/>
      <x:c r="K89" s="437" t="str">
        <x:v>待同名检索｜待建档</x:v>
      </x:c>
    </x:row>
    <x:row r="90" ht="48" customHeight="1">
      <x:c r="A90" s="7" t="str">
        <x:v>SHJ-01-040</x:v>
      </x:c>
      <x:c r="B90" s="7" t="str">
        <x:v>卷一 《南山經》</x:v>
      </x:c>
      <x:c r="C90" s="8" t="str">
        <x:v>凡南次三經之首，自天虞之山以至南禺之山，凡一十四山，六千五百三十里。其神皆龍身而人面。其祠皆一白狗祈，糈用稌。</x:v>
      </x:c>
      <x:c r="D90" s="7" t="str">
        <x:v>天虞之山以至南禺之山</x:v>
      </x:c>
      <x:c r="E90" s="7" t="str">
        <x:v>山</x:v>
      </x:c>
      <x:c r="F90" s="9"/>
      <x:c r="G90" s="10" t="str">
        <x:v>标点与分段参考《山海经校注》；正文对读：https://ctext.org/shan-hai-jing/nan-shan-jing/zh</x:v>
      </x:c>
      <x:c r="H90" s="11" t="e">
        <x:f>HYPERLINK("#'山海经原文总库'!A3","↩ 返回目录")</x:f>
        <x:v>HYPERLINK is not implemented. linkLocation=#'山海经原文总库'!A3, friendlyName=↩ 返回目录</x:v>
      </x:c>
      <x:c r="I90" s="452"/>
      <x:c r="J90" s="437"/>
      <x:c r="K90" s="437" t="str">
        <x:v>待同名检索｜待建档</x:v>
      </x:c>
    </x:row>
    <x:row r="91" ht="48" customHeight="1">
      <x:c r="A91" s="7" t="str">
        <x:v>SHJ-01-041</x:v>
      </x:c>
      <x:c r="B91" s="7" t="str">
        <x:v>卷一 《南山經》</x:v>
      </x:c>
      <x:c r="C91" s="8" t="str">
        <x:v>右南經之山志大小。凡四十山萬六千三百八十里。</x:v>
      </x:c>
      <x:c r="D91" s="7"/>
      <x:c r="E91" s="7"/>
      <x:c r="F91" s="9"/>
      <x:c r="G91" s="10" t="str">
        <x:v>标点与分段参考《山海经校注》；正文对读：https://ctext.org/shan-hai-jing/nan-shan-jing/zh</x:v>
      </x:c>
      <x:c r="H91" s="11" t="e">
        <x:f>HYPERLINK("#'山海经原文总库'!A3","↩ 返回目录")</x:f>
        <x:v>HYPERLINK is not implemented. linkLocation=#'山海经原文总库'!A3, friendlyName=↩ 返回目录</x:v>
      </x:c>
      <x:c r="I91" s="452"/>
      <x:c r="J91" s="437"/>
      <x:c r="K91" s="437" t="str">
        <x:v>经文已收录｜非地点行</x:v>
      </x:c>
    </x:row>
    <x:row r="92" ht="48" customHeight="1">
      <x:c r="A92" s="24" t="str">
        <x:v>SHJ-02-001</x:v>
      </x:c>
      <x:c r="B92" s="24" t="str">
        <x:v>卷二 《西山經》</x:v>
      </x:c>
      <x:c r="C92" s="25" t="str">
        <x:v>西山經華山之首，曰錢來之山，其上多松，其下多洗石。有獸焉，其狀如羊而馬尾，名曰羬羊，其脂可以已臘。</x:v>
      </x:c>
      <x:c r="D92" s="24" t="str">
        <x:v>錢來之山</x:v>
      </x:c>
      <x:c r="E92" s="24" t="str">
        <x:v>山</x:v>
      </x:c>
      <x:c r="F92" s="12"/>
      <x:c r="G92" s="26" t="str">
        <x:v>标点与分段参考《山海经校注》；正文对读：https://ctext.org/shan-hai-jing/xi-shan-jing/zh</x:v>
      </x:c>
      <x:c r="H92" s="27" t="e">
        <x:f>HYPERLINK("#'山海经原文总库'!A3","↩ 返回目录")</x:f>
        <x:v>HYPERLINK is not implemented. linkLocation=#'山海经原文总库'!A3, friendlyName=↩ 返回目录</x:v>
      </x:c>
      <x:c r="I92" s="453"/>
      <x:c r="J92" s="437"/>
      <x:c r="K92" s="437" t="str">
        <x:v>待同名检索｜待建档</x:v>
      </x:c>
    </x:row>
    <x:row r="93" ht="48" customHeight="1">
      <x:c r="A93" s="24" t="str">
        <x:v>SHJ-02-002</x:v>
      </x:c>
      <x:c r="B93" s="24" t="str">
        <x:v>卷二 《西山經》</x:v>
      </x:c>
      <x:c r="C93" s="25" t="str">
        <x:v>西四十五里，曰松果之山。濩水出焉，北流注於渭，其中多銅。有鳥焉，其名曰（蟲鳥）渠，其狀如山雞，黑身赤足，可以已（月暴）。</x:v>
      </x:c>
      <x:c r="D93" s="24" t="str">
        <x:v>松果之山</x:v>
      </x:c>
      <x:c r="E93" s="24" t="str">
        <x:v>山</x:v>
      </x:c>
      <x:c r="F93" s="12"/>
      <x:c r="G93" s="26" t="str">
        <x:v>标点与分段参考《山海经校注》；正文对读：https://ctext.org/shan-hai-jing/xi-shan-jing/zh</x:v>
      </x:c>
      <x:c r="H93" s="27" t="e">
        <x:f>HYPERLINK("#'山海经原文总库'!A3","↩ 返回目录")</x:f>
        <x:v>HYPERLINK is not implemented. linkLocation=#'山海经原文总库'!A3, friendlyName=↩ 返回目录</x:v>
      </x:c>
      <x:c r="I93" s="453"/>
      <x:c r="J93" s="437"/>
      <x:c r="K93" s="437" t="str">
        <x:v>待同名检索｜待建档</x:v>
      </x:c>
    </x:row>
    <x:row r="94" ht="22.5" customHeight="1">
      <x:c r="A94" s="24"/>
      <x:c r="B94" s="24"/>
      <x:c r="C94" s="25"/>
      <x:c r="D94" s="24" t="str">
        <x:v>濩水</x:v>
      </x:c>
      <x:c r="E94" s="24" t="str">
        <x:v>水系</x:v>
      </x:c>
      <x:c r="F94" s="12"/>
      <x:c r="G94" s="26"/>
      <x:c r="H94" s="27" t="e">
        <x:f>HYPERLINK("#'山海经原文总库'!A3","↩ 返回目录")</x:f>
        <x:v>HYPERLINK is not implemented. linkLocation=#'山海经原文总库'!A3, friendlyName=↩ 返回目录</x:v>
      </x:c>
      <x:c r="I94" s="453"/>
      <x:c r="J94" s="437"/>
      <x:c r="K94" s="437" t="str">
        <x:v>待同名检索｜待建档</x:v>
      </x:c>
    </x:row>
    <x:row r="95" ht="48" customHeight="1">
      <x:c r="A95" s="24" t="str">
        <x:v>SHJ-02-003</x:v>
      </x:c>
      <x:c r="B95" s="24" t="str">
        <x:v>卷二 《西山經》</x:v>
      </x:c>
      <x:c r="C95" s="25" t="str">
        <x:v>又西六十里，曰太華之山，削成而四方，其高五千仞，其廣十里，鳥獸莫居。有蛇焉，名曰肥，六足四翼，見則天下大旱。</x:v>
      </x:c>
      <x:c r="D95" s="24" t="str">
        <x:v>太華之山</x:v>
      </x:c>
      <x:c r="E95" s="24" t="str">
        <x:v>山</x:v>
      </x:c>
      <x:c r="F95" s="12"/>
      <x:c r="G95" s="26" t="str">
        <x:v>标点与分段参考《山海经校注》；正文对读：https://ctext.org/shan-hai-jing/xi-shan-jing/zh</x:v>
      </x:c>
      <x:c r="H95" s="27" t="e">
        <x:f>HYPERLINK("#'山海经原文总库'!A3","↩ 返回目录")</x:f>
        <x:v>HYPERLINK is not implemented. linkLocation=#'山海经原文总库'!A3, friendlyName=↩ 返回目录</x:v>
      </x:c>
      <x:c r="I95" s="453"/>
      <x:c r="J95" s="437"/>
      <x:c r="K95" s="437" t="str">
        <x:v>待同名检索｜待建档</x:v>
      </x:c>
    </x:row>
    <x:row r="96" ht="48" customHeight="1">
      <x:c r="A96" s="24" t="str">
        <x:v>SHJ-02-004</x:v>
      </x:c>
      <x:c r="B96" s="24" t="str">
        <x:v>卷二 《西山經》</x:v>
      </x:c>
      <x:c r="C96" s="25" t="str">
        <x:v>又西八十里，曰小華之山，其木多荊杞，其獸多（牛乍）牛，其陰多磬石，其陽多（王雩）琈之玉，鳥多赤鷩，可以御火，其草有萆荔，狀如烏韭，而生於石上，亦緣木而生，食之已心痛。</x:v>
      </x:c>
      <x:c r="D96" s="24" t="str">
        <x:v>小華之山</x:v>
      </x:c>
      <x:c r="E96" s="24" t="str">
        <x:v>山</x:v>
      </x:c>
      <x:c r="F96" s="12"/>
      <x:c r="G96" s="26" t="str">
        <x:v>标点与分段参考《山海经校注》；正文对读：https://ctext.org/shan-hai-jing/xi-shan-jing/zh</x:v>
      </x:c>
      <x:c r="H96" s="27" t="e">
        <x:f>HYPERLINK("#'山海经原文总库'!A3","↩ 返回目录")</x:f>
        <x:v>HYPERLINK is not implemented. linkLocation=#'山海经原文总库'!A3, friendlyName=↩ 返回目录</x:v>
      </x:c>
      <x:c r="I96" s="453"/>
      <x:c r="J96" s="437"/>
      <x:c r="K96" s="437" t="str">
        <x:v>待同名检索｜待建档</x:v>
      </x:c>
    </x:row>
    <x:row r="97" ht="64.5" customHeight="1">
      <x:c r="A97" s="24" t="str">
        <x:v>SHJ-02-005</x:v>
      </x:c>
      <x:c r="B97" s="24" t="str">
        <x:v>卷二 《西山經》</x:v>
      </x:c>
      <x:c r="C97" s="25" t="str">
        <x:v>又西八十里，曰符禺之山，其陽多銅，其陰多鐵。其上有木焉，名曰文莖，其實如棗，可以已聾。其草多條，其狀如葵，而赤華黃實，如嬰兒舌，食之使人不惑。符禺之水出焉，而北流注於渭。其獸多蔥聾，其狀如羊而赤鬣。其鳥多？，其狀如翠而赤喙，可以御火。</x:v>
      </x:c>
      <x:c r="D97" s="24" t="str">
        <x:v>符禺之山</x:v>
      </x:c>
      <x:c r="E97" s="24" t="str">
        <x:v>山</x:v>
      </x:c>
      <x:c r="F97" s="12"/>
      <x:c r="G97" s="26" t="str">
        <x:v>标点与分段参考《山海经校注》；正文对读：https://ctext.org/shan-hai-jing/xi-shan-jing/zh</x:v>
      </x:c>
      <x:c r="H97" s="27" t="e">
        <x:f>HYPERLINK("#'山海经原文总库'!A3","↩ 返回目录")</x:f>
        <x:v>HYPERLINK is not implemented. linkLocation=#'山海经原文总库'!A3, friendlyName=↩ 返回目录</x:v>
      </x:c>
      <x:c r="I97" s="454"/>
      <x:c r="J97" s="437"/>
      <x:c r="K97" s="437" t="str">
        <x:v>待同名检索｜待建档</x:v>
      </x:c>
    </x:row>
    <x:row r="98" ht="22.5" customHeight="1">
      <x:c r="A98" s="24"/>
      <x:c r="B98" s="24"/>
      <x:c r="C98" s="25"/>
      <x:c r="D98" s="24" t="str">
        <x:v>符禺之水</x:v>
      </x:c>
      <x:c r="E98" s="24" t="str">
        <x:v>水系</x:v>
      </x:c>
      <x:c r="F98" s="12"/>
      <x:c r="G98" s="26"/>
      <x:c r="H98" s="27" t="e">
        <x:f>HYPERLINK("#'山海经原文总库'!A3","↩ 返回目录")</x:f>
        <x:v>HYPERLINK is not implemented. linkLocation=#'山海经原文总库'!A3, friendlyName=↩ 返回目录</x:v>
      </x:c>
      <x:c r="I98" s="454"/>
      <x:c r="J98" s="437"/>
      <x:c r="K98" s="437" t="str">
        <x:v>待同名检索｜待建档</x:v>
      </x:c>
    </x:row>
    <x:row r="99" ht="48" customHeight="1">
      <x:c r="A99" s="24" t="str">
        <x:v>SHJ-02-006</x:v>
      </x:c>
      <x:c r="B99" s="24" t="str">
        <x:v>卷二 《西山經》</x:v>
      </x:c>
      <x:c r="C99" s="25" t="str">
        <x:v>又西六十里，曰石脆之山，其木多棕柟，其草多條，其狀如韭，而白華黑實，食之已疥。其陽多（王雩）琈之玉，其陰多銅。灌水出焉，而北流注於禺水。其中有流赭，以塗牛馬無病。</x:v>
      </x:c>
      <x:c r="D99" s="24" t="str">
        <x:v>石脆之山</x:v>
      </x:c>
      <x:c r="E99" s="24" t="str">
        <x:v>山</x:v>
      </x:c>
      <x:c r="F99" s="12"/>
      <x:c r="G99" s="26" t="str">
        <x:v>标点与分段参考《山海经校注》；正文对读：https://ctext.org/shan-hai-jing/xi-shan-jing/zh</x:v>
      </x:c>
      <x:c r="H99" s="27" t="e">
        <x:f>HYPERLINK("#'山海经原文总库'!A3","↩ 返回目录")</x:f>
        <x:v>HYPERLINK is not implemented. linkLocation=#'山海经原文总库'!A3, friendlyName=↩ 返回目录</x:v>
      </x:c>
      <x:c r="I99" s="455"/>
      <x:c r="J99" s="437"/>
      <x:c r="K99" s="437" t="str">
        <x:v>待同名检索｜待建档</x:v>
      </x:c>
    </x:row>
    <x:row r="100" ht="22.5" customHeight="1">
      <x:c r="A100" s="24"/>
      <x:c r="B100" s="24"/>
      <x:c r="C100" s="25"/>
      <x:c r="D100" s="24" t="str">
        <x:v>灌水</x:v>
      </x:c>
      <x:c r="E100" s="24" t="str">
        <x:v>水系</x:v>
      </x:c>
      <x:c r="F100" s="12"/>
      <x:c r="G100" s="26"/>
      <x:c r="H100" s="27" t="e">
        <x:f>HYPERLINK("#'山海经原文总库'!A3","↩ 返回目录")</x:f>
        <x:v>HYPERLINK is not implemented. linkLocation=#'山海经原文总库'!A3, friendlyName=↩ 返回目录</x:v>
      </x:c>
      <x:c r="I100" s="455"/>
      <x:c r="J100" s="437"/>
      <x:c r="K100" s="437" t="str">
        <x:v>待同名检索｜待建档</x:v>
      </x:c>
    </x:row>
    <x:row r="101" ht="22.5" customHeight="1">
      <x:c r="A101" s="24"/>
      <x:c r="B101" s="24"/>
      <x:c r="C101" s="25"/>
      <x:c r="D101" s="24" t="str">
        <x:v>禺水</x:v>
      </x:c>
      <x:c r="E101" s="24" t="str">
        <x:v>水系</x:v>
      </x:c>
      <x:c r="F101" s="12"/>
      <x:c r="G101" s="26"/>
      <x:c r="H101" s="27" t="e">
        <x:f>HYPERLINK("#'山海经原文总库'!A3","↩ 返回目录")</x:f>
        <x:v>HYPERLINK is not implemented. linkLocation=#'山海经原文总库'!A3, friendlyName=↩ 返回目录</x:v>
      </x:c>
      <x:c r="I101" s="456"/>
      <x:c r="J101" s="437"/>
      <x:c r="K101" s="437" t="str">
        <x:v>待同名检索｜待建档</x:v>
      </x:c>
    </x:row>
    <x:row r="102" ht="64.5" customHeight="1">
      <x:c r="A102" s="24" t="str">
        <x:v>SHJ-02-007</x:v>
      </x:c>
      <x:c r="B102" s="24" t="str">
        <x:v>卷二 《西山經》</x:v>
      </x:c>
      <x:c r="C102" s="25" t="str">
        <x:v>又西七十里，曰英山，其上多杻橿，其陰多鐵，其陽多赤金。禺水出焉，北流注於招水，其中多（魚豐）魚，其狀如鱉，其音如羊。其陽多箭（上竹下媚），其獸多（牛乍）牛、羬羊。有鳥焉，其狀如鶉，黃身而赤喙，其名曰肥遺，食之已癘，可以殺蟲。</x:v>
      </x:c>
      <x:c r="D102" s="24" t="str">
        <x:v>英山</x:v>
      </x:c>
      <x:c r="E102" s="24" t="str">
        <x:v>山</x:v>
      </x:c>
      <x:c r="F102" s="12"/>
      <x:c r="G102" s="26" t="str">
        <x:v>标点与分段参考《山海经校注》；正文对读：https://ctext.org/shan-hai-jing/xi-shan-jing/zh</x:v>
      </x:c>
      <x:c r="H102" s="27" t="e">
        <x:f>HYPERLINK("#'山海经原文总库'!A3","↩ 返回目录")</x:f>
        <x:v>HYPERLINK is not implemented. linkLocation=#'山海经原文总库'!A3, friendlyName=↩ 返回目录</x:v>
      </x:c>
      <x:c r="I102" s="456"/>
      <x:c r="J102" s="437"/>
      <x:c r="K102" s="437" t="str">
        <x:v>待同名检索｜待建档</x:v>
      </x:c>
    </x:row>
    <x:row r="103" ht="22.5" customHeight="1">
      <x:c r="A103" s="24"/>
      <x:c r="B103" s="24"/>
      <x:c r="C103" s="25"/>
      <x:c r="D103" s="24" t="str">
        <x:v>禺水</x:v>
      </x:c>
      <x:c r="E103" s="24" t="str">
        <x:v>水系</x:v>
      </x:c>
      <x:c r="F103" s="12"/>
      <x:c r="G103" s="26"/>
      <x:c r="H103" s="27" t="e">
        <x:f>HYPERLINK("#'山海经原文总库'!A3","↩ 返回目录")</x:f>
        <x:v>HYPERLINK is not implemented. linkLocation=#'山海经原文总库'!A3, friendlyName=↩ 返回目录</x:v>
      </x:c>
      <x:c r="I103" s="456"/>
      <x:c r="J103" s="437"/>
      <x:c r="K103" s="437" t="str">
        <x:v>待同名检索｜待建档</x:v>
      </x:c>
    </x:row>
    <x:row r="104" ht="22.5" customHeight="1">
      <x:c r="A104" s="24"/>
      <x:c r="B104" s="24"/>
      <x:c r="C104" s="25"/>
      <x:c r="D104" s="24" t="str">
        <x:v>招水</x:v>
      </x:c>
      <x:c r="E104" s="24" t="str">
        <x:v>水系</x:v>
      </x:c>
      <x:c r="F104" s="12"/>
      <x:c r="G104" s="26"/>
      <x:c r="H104" s="27" t="e">
        <x:f>HYPERLINK("#'山海经原文总库'!A3","↩ 返回目录")</x:f>
        <x:v>HYPERLINK is not implemented. linkLocation=#'山海经原文总库'!A3, friendlyName=↩ 返回目录</x:v>
      </x:c>
      <x:c r="I104" s="457"/>
      <x:c r="J104" s="437"/>
      <x:c r="K104" s="437" t="str">
        <x:v>待同名检索｜待建档</x:v>
      </x:c>
    </x:row>
    <x:row r="105" ht="64.5" customHeight="1">
      <x:c r="A105" s="24" t="str">
        <x:v>SHJ-02-008</x:v>
      </x:c>
      <x:c r="B105" s="24" t="str">
        <x:v>卷二 《西山經》</x:v>
      </x:c>
      <x:c r="C105" s="25" t="str">
        <x:v>又西五十二里，曰竹山，其上多喬木，其陰多鐵。有草焉，其名曰黃雚，其狀如樗，其葉如麻，白華而赤實，其狀如赭，浴之已疥，又可以已胕。竹水出焉，北流注於渭，其陽多竹箭，多蒼玉。丹水出焉，東南流注於洛水，其中多水玉，多人魚。有獸焉，其狀如豚而白毛，大如笄而黑端，名曰豪彘。</x:v>
      </x:c>
      <x:c r="D105" s="24" t="str">
        <x:v>竹山</x:v>
      </x:c>
      <x:c r="E105" s="24" t="str">
        <x:v>山</x:v>
      </x:c>
      <x:c r="F105" s="12"/>
      <x:c r="G105" s="26" t="str">
        <x:v>标点与分段参考《山海经校注》；正文对读：https://ctext.org/shan-hai-jing/xi-shan-jing/zh</x:v>
      </x:c>
      <x:c r="H105" s="27" t="e">
        <x:f>HYPERLINK("#'山海经原文总库'!A3","↩ 返回目录")</x:f>
        <x:v>HYPERLINK is not implemented. linkLocation=#'山海经原文总库'!A3, friendlyName=↩ 返回目录</x:v>
      </x:c>
      <x:c r="I105" s="457"/>
      <x:c r="J105" s="437"/>
      <x:c r="K105" s="437" t="str">
        <x:v>待同名检索｜待建档</x:v>
      </x:c>
    </x:row>
    <x:row r="106" ht="22.5" customHeight="1">
      <x:c r="A106" s="24"/>
      <x:c r="B106" s="24"/>
      <x:c r="C106" s="25"/>
      <x:c r="D106" s="24" t="str">
        <x:v>竹水</x:v>
      </x:c>
      <x:c r="E106" s="24" t="str">
        <x:v>水系</x:v>
      </x:c>
      <x:c r="F106" s="12"/>
      <x:c r="G106" s="26"/>
      <x:c r="H106" s="27" t="e">
        <x:f>HYPERLINK("#'山海经原文总库'!A3","↩ 返回目录")</x:f>
        <x:v>HYPERLINK is not implemented. linkLocation=#'山海经原文总库'!A3, friendlyName=↩ 返回目录</x:v>
      </x:c>
      <x:c r="I106" s="457"/>
      <x:c r="J106" s="437"/>
      <x:c r="K106" s="437" t="str">
        <x:v>待同名检索｜待建档</x:v>
      </x:c>
    </x:row>
    <x:row r="107" ht="22.5" customHeight="1">
      <x:c r="A107" s="24"/>
      <x:c r="B107" s="24"/>
      <x:c r="C107" s="25"/>
      <x:c r="D107" s="24" t="str">
        <x:v>丹水</x:v>
      </x:c>
      <x:c r="E107" s="24" t="str">
        <x:v>水系</x:v>
      </x:c>
      <x:c r="F107" s="12"/>
      <x:c r="G107" s="26"/>
      <x:c r="H107" s="27" t="e">
        <x:f>HYPERLINK("#'山海经原文总库'!A3","↩ 返回目录")</x:f>
        <x:v>HYPERLINK is not implemented. linkLocation=#'山海经原文总库'!A3, friendlyName=↩ 返回目录</x:v>
      </x:c>
      <x:c r="I107" s="458"/>
      <x:c r="J107" s="437"/>
      <x:c r="K107" s="437" t="str">
        <x:v>待同名检索｜待建档</x:v>
      </x:c>
    </x:row>
    <x:row r="108" ht="22.5" customHeight="1">
      <x:c r="A108" s="24"/>
      <x:c r="B108" s="24"/>
      <x:c r="C108" s="25"/>
      <x:c r="D108" s="24" t="str">
        <x:v>洛水</x:v>
      </x:c>
      <x:c r="E108" s="24" t="str">
        <x:v>水系</x:v>
      </x:c>
      <x:c r="F108" s="12"/>
      <x:c r="G108" s="26"/>
      <x:c r="H108" s="27" t="e">
        <x:f>HYPERLINK("#'山海经原文总库'!A3","↩ 返回目录")</x:f>
        <x:v>HYPERLINK is not implemented. linkLocation=#'山海经原文总库'!A3, friendlyName=↩ 返回目录</x:v>
      </x:c>
      <x:c r="I108" s="458"/>
      <x:c r="J108" s="437"/>
      <x:c r="K108" s="437" t="str">
        <x:v>待同名检索｜待建档</x:v>
      </x:c>
    </x:row>
    <x:row r="109" ht="48" customHeight="1">
      <x:c r="A109" s="24" t="str">
        <x:v>SHJ-02-009</x:v>
      </x:c>
      <x:c r="B109" s="24" t="str">
        <x:v>卷二 《西山經》</x:v>
      </x:c>
      <x:c r="C109" s="25" t="str">
        <x:v>又西百二十里，曰浮山，多盼木，枳葉而無傷，木蟲居之。有草焉，名曰熏草，麻葉而方莖，赤華而黑實，臭如蘼蕪，佩之可以已癘。</x:v>
      </x:c>
      <x:c r="D109" s="24" t="str">
        <x:v>浮山</x:v>
      </x:c>
      <x:c r="E109" s="24" t="str">
        <x:v>山</x:v>
      </x:c>
      <x:c r="F109" s="12"/>
      <x:c r="G109" s="26" t="str">
        <x:v>标点与分段参考《山海经校注》；正文对读：https://ctext.org/shan-hai-jing/xi-shan-jing/zh</x:v>
      </x:c>
      <x:c r="H109" s="27" t="e">
        <x:f>HYPERLINK("#'山海经原文总库'!A3","↩ 返回目录")</x:f>
        <x:v>HYPERLINK is not implemented. linkLocation=#'山海经原文总库'!A3, friendlyName=↩ 返回目录</x:v>
      </x:c>
      <x:c r="I109" s="458"/>
      <x:c r="J109" s="437"/>
      <x:c r="K109" s="437" t="str">
        <x:v>待同名检索｜待建档</x:v>
      </x:c>
    </x:row>
    <x:row r="110" ht="64.5" customHeight="1">
      <x:c r="A110" s="24" t="str">
        <x:v>SHJ-02-010</x:v>
      </x:c>
      <x:c r="B110" s="24" t="str">
        <x:v>卷二 《西山經》</x:v>
      </x:c>
      <x:c r="C110" s="25" t="str">
        <x:v>又西七十里，曰羭次之山，漆水出焉，北流注於渭。其上多棫橿，其下多竹箭，其陰多赤銅，其陽多嬰垣之玉。有獸焉，其狀如禺而長臂，善投，其名曰囂。有鳥焉，其狀如梟，人面而一足，曰橐（上非下巴），冬見夏蟄，服之不畏雷。</x:v>
      </x:c>
      <x:c r="D110" s="24" t="str">
        <x:v>羭次之山</x:v>
      </x:c>
      <x:c r="E110" s="24" t="str">
        <x:v>山</x:v>
      </x:c>
      <x:c r="F110" s="12"/>
      <x:c r="G110" s="26" t="str">
        <x:v>标点与分段参考《山海经校注》；正文对读：https://ctext.org/shan-hai-jing/xi-shan-jing/zh</x:v>
      </x:c>
      <x:c r="H110" s="27" t="e">
        <x:f>HYPERLINK("#'山海经原文总库'!A3","↩ 返回目录")</x:f>
        <x:v>HYPERLINK is not implemented. linkLocation=#'山海经原文总库'!A3, friendlyName=↩ 返回目录</x:v>
      </x:c>
      <x:c r="I110" s="458"/>
      <x:c r="J110" s="437"/>
      <x:c r="K110" s="437" t="str">
        <x:v>待同名检索｜待建档</x:v>
      </x:c>
    </x:row>
    <x:row r="111" ht="22.5" customHeight="1">
      <x:c r="A111" s="24"/>
      <x:c r="B111" s="24"/>
      <x:c r="C111" s="25"/>
      <x:c r="D111" s="24" t="str">
        <x:v>漆水</x:v>
      </x:c>
      <x:c r="E111" s="24" t="str">
        <x:v>水系</x:v>
      </x:c>
      <x:c r="F111" s="12"/>
      <x:c r="G111" s="26"/>
      <x:c r="H111" s="27" t="e">
        <x:f>HYPERLINK("#'山海经原文总库'!A3","↩ 返回目录")</x:f>
        <x:v>HYPERLINK is not implemented. linkLocation=#'山海经原文总库'!A3, friendlyName=↩ 返回目录</x:v>
      </x:c>
      <x:c r="I111" s="459"/>
      <x:c r="J111" s="437"/>
      <x:c r="K111" s="437" t="str">
        <x:v>待同名检索｜待建档</x:v>
      </x:c>
    </x:row>
    <x:row r="112" ht="48" customHeight="1">
      <x:c r="A112" s="24" t="str">
        <x:v>SHJ-02-011</x:v>
      </x:c>
      <x:c r="B112" s="24" t="str">
        <x:v>卷二 《西山經》</x:v>
      </x:c>
      <x:c r="C112" s="25" t="str">
        <x:v>又西百五十里，曰時山，無草木。逐水出焉，北流注於渭，其中多水玉。</x:v>
      </x:c>
      <x:c r="D112" s="24" t="str">
        <x:v>時山</x:v>
      </x:c>
      <x:c r="E112" s="24" t="str">
        <x:v>山</x:v>
      </x:c>
      <x:c r="F112" s="12"/>
      <x:c r="G112" s="26" t="str">
        <x:v>标点与分段参考《山海经校注》；正文对读：https://ctext.org/shan-hai-jing/xi-shan-jing/zh</x:v>
      </x:c>
      <x:c r="H112" s="27" t="e">
        <x:f>HYPERLINK("#'山海经原文总库'!A3","↩ 返回目录")</x:f>
        <x:v>HYPERLINK is not implemented. linkLocation=#'山海经原文总库'!A3, friendlyName=↩ 返回目录</x:v>
      </x:c>
      <x:c r="I112" s="459"/>
      <x:c r="J112" s="437"/>
      <x:c r="K112" s="437" t="str">
        <x:v>待同名检索｜待建档</x:v>
      </x:c>
    </x:row>
    <x:row r="113" ht="22.5" customHeight="1">
      <x:c r="A113" s="24"/>
      <x:c r="B113" s="24"/>
      <x:c r="C113" s="25"/>
      <x:c r="D113" s="24" t="str">
        <x:v>逐水</x:v>
      </x:c>
      <x:c r="E113" s="24" t="str">
        <x:v>水系</x:v>
      </x:c>
      <x:c r="F113" s="12"/>
      <x:c r="G113" s="26"/>
      <x:c r="H113" s="27" t="e">
        <x:f>HYPERLINK("#'山海经原文总库'!A3","↩ 返回目录")</x:f>
        <x:v>HYPERLINK is not implemented. linkLocation=#'山海经原文总库'!A3, friendlyName=↩ 返回目录</x:v>
      </x:c>
      <x:c r="I113" s="459"/>
      <x:c r="J113" s="437"/>
      <x:c r="K113" s="437" t="str">
        <x:v>待同名检索｜待建档</x:v>
      </x:c>
    </x:row>
    <x:row r="114" ht="48" customHeight="1">
      <x:c r="A114" s="24" t="str">
        <x:v>SHJ-02-012</x:v>
      </x:c>
      <x:c r="B114" s="24" t="str">
        <x:v>卷二 《西山經》</x:v>
      </x:c>
      <x:c r="C114" s="25" t="str">
        <x:v>又西百七十里，曰南山，上多丹粟。丹水出焉，北流注於渭。獸多猛豹，鳥多屍鳩。</x:v>
      </x:c>
      <x:c r="D114" s="24" t="str">
        <x:v>丹水</x:v>
      </x:c>
      <x:c r="E114" s="24" t="str">
        <x:v>水系</x:v>
      </x:c>
      <x:c r="F114" s="12"/>
      <x:c r="G114" s="26" t="str">
        <x:v>标点与分段参考《山海经校注》；正文对读：https://ctext.org/shan-hai-jing/xi-shan-jing/zh</x:v>
      </x:c>
      <x:c r="H114" s="27" t="e">
        <x:f>HYPERLINK("#'山海经原文总库'!A3","↩ 返回目录")</x:f>
        <x:v>HYPERLINK is not implemented. linkLocation=#'山海经原文总库'!A3, friendlyName=↩ 返回目录</x:v>
      </x:c>
      <x:c r="I114" s="460"/>
      <x:c r="J114" s="437"/>
      <x:c r="K114" s="437" t="str">
        <x:v>待同名检索｜待建档</x:v>
      </x:c>
    </x:row>
    <x:row r="115" ht="48" customHeight="1">
      <x:c r="A115" s="24" t="str">
        <x:v>SHJ-02-013</x:v>
      </x:c>
      <x:c r="B115" s="24" t="str">
        <x:v>卷二 《西山經》</x:v>
      </x:c>
      <x:c r="C115" s="25" t="str">
        <x:v>又西百八十里，曰大時之山，上多谷柞，下多杻橿，陰多銀，陽多白玉。涔水出焉，北流注於渭。清水出焉，南流注於漢水。</x:v>
      </x:c>
      <x:c r="D115" s="24" t="str">
        <x:v>大時之山</x:v>
      </x:c>
      <x:c r="E115" s="24" t="str">
        <x:v>山</x:v>
      </x:c>
      <x:c r="F115" s="12"/>
      <x:c r="G115" s="26" t="str">
        <x:v>标点与分段参考《山海经校注》；正文对读：https://ctext.org/shan-hai-jing/xi-shan-jing/zh</x:v>
      </x:c>
      <x:c r="H115" s="27" t="e">
        <x:f>HYPERLINK("#'山海经原文总库'!A3","↩ 返回目录")</x:f>
        <x:v>HYPERLINK is not implemented. linkLocation=#'山海经原文总库'!A3, friendlyName=↩ 返回目录</x:v>
      </x:c>
      <x:c r="I115" s="460"/>
      <x:c r="J115" s="437"/>
      <x:c r="K115" s="437" t="str">
        <x:v>待同名检索｜待建档</x:v>
      </x:c>
    </x:row>
    <x:row r="116" ht="22.5" customHeight="1">
      <x:c r="A116" s="24"/>
      <x:c r="B116" s="24"/>
      <x:c r="C116" s="25"/>
      <x:c r="D116" s="24" t="str">
        <x:v>涔水</x:v>
      </x:c>
      <x:c r="E116" s="24" t="str">
        <x:v>水系</x:v>
      </x:c>
      <x:c r="F116" s="12"/>
      <x:c r="G116" s="26"/>
      <x:c r="H116" s="27" t="e">
        <x:f>HYPERLINK("#'山海经原文总库'!A3","↩ 返回目录")</x:f>
        <x:v>HYPERLINK is not implemented. linkLocation=#'山海经原文总库'!A3, friendlyName=↩ 返回目录</x:v>
      </x:c>
      <x:c r="I116" s="460"/>
      <x:c r="J116" s="437"/>
      <x:c r="K116" s="437" t="str">
        <x:v>待同名检索｜待建档</x:v>
      </x:c>
    </x:row>
    <x:row r="117" ht="22.5" customHeight="1">
      <x:c r="A117" s="24"/>
      <x:c r="B117" s="24"/>
      <x:c r="C117" s="25"/>
      <x:c r="D117" s="24" t="str">
        <x:v>清水</x:v>
      </x:c>
      <x:c r="E117" s="24" t="str">
        <x:v>水系</x:v>
      </x:c>
      <x:c r="F117" s="12"/>
      <x:c r="G117" s="26"/>
      <x:c r="H117" s="27" t="e">
        <x:f>HYPERLINK("#'山海经原文总库'!A3","↩ 返回目录")</x:f>
        <x:v>HYPERLINK is not implemented. linkLocation=#'山海经原文总库'!A3, friendlyName=↩ 返回目录</x:v>
      </x:c>
      <x:c r="I117" s="460"/>
      <x:c r="J117" s="437"/>
      <x:c r="K117" s="437" t="str">
        <x:v>待同名检索｜待建档</x:v>
      </x:c>
    </x:row>
    <x:row r="118" ht="22.5" customHeight="1">
      <x:c r="A118" s="24"/>
      <x:c r="B118" s="24"/>
      <x:c r="C118" s="25"/>
      <x:c r="D118" s="24" t="str">
        <x:v>漢水</x:v>
      </x:c>
      <x:c r="E118" s="24" t="str">
        <x:v>水系</x:v>
      </x:c>
      <x:c r="F118" s="12"/>
      <x:c r="G118" s="26"/>
      <x:c r="H118" s="27" t="e">
        <x:f>HYPERLINK("#'山海经原文总库'!A3","↩ 返回目录")</x:f>
        <x:v>HYPERLINK is not implemented. linkLocation=#'山海经原文总库'!A3, friendlyName=↩ 返回目录</x:v>
      </x:c>
      <x:c r="I118" s="460"/>
      <x:c r="J118" s="437"/>
      <x:c r="K118" s="437" t="str">
        <x:v>待同名检索｜待建档</x:v>
      </x:c>
    </x:row>
    <x:row r="119" ht="22.5" customHeight="1">
      <x:c r="A119" s="24"/>
      <x:c r="B119" s="24"/>
      <x:c r="C119" s="25"/>
      <x:c r="D119" s="24" t="str">
        <x:v>上多谷</x:v>
      </x:c>
      <x:c r="E119" s="24" t="str">
        <x:v>區域</x:v>
      </x:c>
      <x:c r="F119" s="12"/>
      <x:c r="G119" s="26"/>
      <x:c r="H119" s="27" t="e">
        <x:f>HYPERLINK("#'山海经原文总库'!A3","↩ 返回目录")</x:f>
        <x:v>HYPERLINK is not implemented. linkLocation=#'山海经原文总库'!A3, friendlyName=↩ 返回目录</x:v>
      </x:c>
      <x:c r="I119" s="460"/>
      <x:c r="J119" s="437"/>
      <x:c r="K119" s="437" t="str">
        <x:v>待同名检索｜待建档</x:v>
      </x:c>
    </x:row>
    <x:row r="120" ht="64.5" customHeight="1">
      <x:c r="A120" s="24" t="str">
        <x:v>SHJ-02-014</x:v>
      </x:c>
      <x:c r="B120" s="24" t="str">
        <x:v>卷二 《西山經》</x:v>
      </x:c>
      <x:c r="C120" s="25" t="str">
        <x:v>又西三百二十里，曰嶓冢之山，漢水出焉，而東南流注於沔；囂水出焉，北流注於湯水。其上多桃枝鈎端，獸多犀兕熊羆，鳥多白翰赤鷩。有草焉，其葉如蕙，其本如桔梗，黑華而不實，名曰蓇蓉，食之使人無子。</x:v>
      </x:c>
      <x:c r="D120" s="24" t="str">
        <x:v>嶓冢之山</x:v>
      </x:c>
      <x:c r="E120" s="24" t="str">
        <x:v>山</x:v>
      </x:c>
      <x:c r="F120" s="12"/>
      <x:c r="G120" s="26" t="str">
        <x:v>标点与分段参考《山海经校注》；正文对读：https://ctext.org/shan-hai-jing/xi-shan-jing/zh</x:v>
      </x:c>
      <x:c r="H120" s="27" t="e">
        <x:f>HYPERLINK("#'山海经原文总库'!A3","↩ 返回目录")</x:f>
        <x:v>HYPERLINK is not implemented. linkLocation=#'山海经原文总库'!A3, friendlyName=↩ 返回目录</x:v>
      </x:c>
      <x:c r="I120" s="460"/>
      <x:c r="J120" s="437"/>
      <x:c r="K120" s="437" t="str">
        <x:v>待同名检索｜待建档</x:v>
      </x:c>
    </x:row>
    <x:row r="121" ht="22.5" customHeight="1">
      <x:c r="A121" s="24"/>
      <x:c r="B121" s="24"/>
      <x:c r="C121" s="25"/>
      <x:c r="D121" s="24" t="str">
        <x:v>漢水</x:v>
      </x:c>
      <x:c r="E121" s="24" t="str">
        <x:v>水系</x:v>
      </x:c>
      <x:c r="F121" s="12"/>
      <x:c r="G121" s="26"/>
      <x:c r="H121" s="27" t="e">
        <x:f>HYPERLINK("#'山海经原文总库'!A3","↩ 返回目录")</x:f>
        <x:v>HYPERLINK is not implemented. linkLocation=#'山海经原文总库'!A3, friendlyName=↩ 返回目录</x:v>
      </x:c>
      <x:c r="I121" s="460"/>
      <x:c r="J121" s="437"/>
      <x:c r="K121" s="437" t="str">
        <x:v>待同名检索｜待建档</x:v>
      </x:c>
    </x:row>
    <x:row r="122" ht="22.5" customHeight="1">
      <x:c r="A122" s="24"/>
      <x:c r="B122" s="24"/>
      <x:c r="C122" s="25"/>
      <x:c r="D122" s="24" t="str">
        <x:v>囂水</x:v>
      </x:c>
      <x:c r="E122" s="24" t="str">
        <x:v>水系</x:v>
      </x:c>
      <x:c r="F122" s="12"/>
      <x:c r="G122" s="26"/>
      <x:c r="H122" s="27" t="e">
        <x:f>HYPERLINK("#'山海经原文总库'!A3","↩ 返回目录")</x:f>
        <x:v>HYPERLINK is not implemented. linkLocation=#'山海经原文总库'!A3, friendlyName=↩ 返回目录</x:v>
      </x:c>
      <x:c r="I122" s="460"/>
      <x:c r="J122" s="437"/>
      <x:c r="K122" s="437" t="str">
        <x:v>待同名检索｜待建档</x:v>
      </x:c>
    </x:row>
    <x:row r="123" ht="22.5" customHeight="1">
      <x:c r="A123" s="24"/>
      <x:c r="B123" s="24"/>
      <x:c r="C123" s="25"/>
      <x:c r="D123" s="24" t="str">
        <x:v>湯水</x:v>
      </x:c>
      <x:c r="E123" s="24" t="str">
        <x:v>水系</x:v>
      </x:c>
      <x:c r="F123" s="12"/>
      <x:c r="G123" s="26"/>
      <x:c r="H123" s="27" t="e">
        <x:f>HYPERLINK("#'山海经原文总库'!A3","↩ 返回目录")</x:f>
        <x:v>HYPERLINK is not implemented. linkLocation=#'山海经原文总库'!A3, friendlyName=↩ 返回目录</x:v>
      </x:c>
      <x:c r="I123" s="460"/>
      <x:c r="J123" s="437"/>
      <x:c r="K123" s="437" t="str">
        <x:v>待同名检索｜待建档</x:v>
      </x:c>
    </x:row>
    <x:row r="124" ht="64.5" customHeight="1">
      <x:c r="A124" s="24" t="str">
        <x:v>SHJ-02-015-1</x:v>
      </x:c>
      <x:c r="B124" s="24" t="str">
        <x:v>卷二 《西山經》</x:v>
      </x:c>
      <x:c r="C124" s="25" t="str">
        <x:v>又西三百五十里，曰天帝之山，上多棕柟，下多菅蕙。有獸焉，其狀如狗，名曰溪邊，席其皮者不蠱。有鳥焉，其狀如鶉，黑文而赤翁，名曰櫟，食之已痔。有草焉，其狀如葵，其臭如蘼蕪，名曰杜衡，可以走馬，食之已癭。</x:v>
      </x:c>
      <x:c r="D124" s="24" t="str">
        <x:v>天帝之山</x:v>
      </x:c>
      <x:c r="E124" s="24" t="str">
        <x:v>山</x:v>
      </x:c>
      <x:c r="F124" s="12"/>
      <x:c r="G124" s="26" t="str">
        <x:v>标点与分段参考《山海经校注》；正文对读：https://ctext.org/shan-hai-jing/xi-shan-jing/zh</x:v>
      </x:c>
      <x:c r="H124" s="27" t="e">
        <x:f>HYPERLINK("#'山海经原文总库'!A3","↩ 返回目录")</x:f>
        <x:v>HYPERLINK is not implemented. linkLocation=#'山海经原文总库'!A3, friendlyName=↩ 返回目录</x:v>
      </x:c>
      <x:c r="I124" s="460"/>
      <x:c r="J124" s="437"/>
      <x:c r="K124" s="437" t="str">
        <x:v>待同名检索｜待建档</x:v>
      </x:c>
    </x:row>
    <x:row r="125" ht="64.5" customHeight="1">
      <x:c r="A125" s="24" t="str">
        <x:v>SHJ-02-015-2</x:v>
      </x:c>
      <x:c r="B125" s="24" t="str">
        <x:v>卷二 《西山經》</x:v>
      </x:c>
      <x:c r="C125" s="25" t="str">
        <x:v>西南三百八十里，曰皋塗之山，薔水出焉，西流注於諸資之水；塗水出焉，南流注於集獲之水。其陽多丹粟，其陰多銀、黃金，其上多桂木。有白石焉，其名曰礜，可以毒鼠。有草焉，其狀如槁茇，其葉如葵而赤背，名曰無條，可以毒鼠。有獸焉，其狀如鹿而白尾，馬腳人手而四角，名曰如。有鳥焉，其狀如鴟而人足，名曰數斯，食之已癭。</x:v>
      </x:c>
      <x:c r="D125" s="24" t="str">
        <x:v>皋塗之山</x:v>
      </x:c>
      <x:c r="E125" s="24" t="str">
        <x:v>山</x:v>
      </x:c>
      <x:c r="F125" s="12"/>
      <x:c r="G125" s="26" t="str">
        <x:v>标点与分段参考《山海经校注》；正文对读：https://ctext.org/shan-hai-jing/xi-shan-jing/zh</x:v>
      </x:c>
      <x:c r="H125" s="27" t="e">
        <x:f>HYPERLINK("#'山海经原文总库'!A3","↩ 返回目录")</x:f>
        <x:v>HYPERLINK is not implemented. linkLocation=#'山海经原文总库'!A3, friendlyName=↩ 返回目录</x:v>
      </x:c>
      <x:c r="I125" s="460"/>
      <x:c r="J125" s="437"/>
      <x:c r="K125" s="437" t="str">
        <x:v>待同名检索｜待建档</x:v>
      </x:c>
    </x:row>
    <x:row r="126" ht="22.5" customHeight="1">
      <x:c r="A126" s="24"/>
      <x:c r="B126" s="24"/>
      <x:c r="C126" s="25"/>
      <x:c r="D126" s="24" t="str">
        <x:v>薔水</x:v>
      </x:c>
      <x:c r="E126" s="24" t="str">
        <x:v>水系</x:v>
      </x:c>
      <x:c r="F126" s="12"/>
      <x:c r="G126" s="26"/>
      <x:c r="H126" s="27" t="e">
        <x:f>HYPERLINK("#'山海经原文总库'!A3","↩ 返回目录")</x:f>
        <x:v>HYPERLINK is not implemented. linkLocation=#'山海经原文总库'!A3, friendlyName=↩ 返回目录</x:v>
      </x:c>
      <x:c r="I126" s="460"/>
      <x:c r="J126" s="437"/>
      <x:c r="K126" s="437" t="str">
        <x:v>待同名检索｜待建档</x:v>
      </x:c>
    </x:row>
    <x:row r="127" ht="22.5" customHeight="1">
      <x:c r="A127" s="24"/>
      <x:c r="B127" s="24"/>
      <x:c r="C127" s="25"/>
      <x:c r="D127" s="24" t="str">
        <x:v>塗水</x:v>
      </x:c>
      <x:c r="E127" s="24" t="str">
        <x:v>水系</x:v>
      </x:c>
      <x:c r="F127" s="12"/>
      <x:c r="G127" s="26"/>
      <x:c r="H127" s="27" t="e">
        <x:f>HYPERLINK("#'山海经原文总库'!A3","↩ 返回目录")</x:f>
        <x:v>HYPERLINK is not implemented. linkLocation=#'山海经原文总库'!A3, friendlyName=↩ 返回目录</x:v>
      </x:c>
      <x:c r="I127" s="460"/>
      <x:c r="J127" s="437"/>
      <x:c r="K127" s="437" t="str">
        <x:v>待同名检索｜待建档</x:v>
      </x:c>
    </x:row>
    <x:row r="128" ht="22.5" customHeight="1">
      <x:c r="A128" s="24"/>
      <x:c r="B128" s="24"/>
      <x:c r="C128" s="25"/>
      <x:c r="D128" s="24" t="str">
        <x:v>諸資之水</x:v>
      </x:c>
      <x:c r="E128" s="24" t="str">
        <x:v>水系</x:v>
      </x:c>
      <x:c r="F128" s="12"/>
      <x:c r="G128" s="26"/>
      <x:c r="H128" s="27" t="e">
        <x:f>HYPERLINK("#'山海经原文总库'!A3","↩ 返回目录")</x:f>
        <x:v>HYPERLINK is not implemented. linkLocation=#'山海经原文总库'!A3, friendlyName=↩ 返回目录</x:v>
      </x:c>
      <x:c r="I128" s="460"/>
      <x:c r="J128" s="437"/>
      <x:c r="K128" s="437" t="str">
        <x:v>待同名检索｜待建档</x:v>
      </x:c>
    </x:row>
    <x:row r="129" ht="22.5" customHeight="1">
      <x:c r="A129" s="24"/>
      <x:c r="B129" s="24"/>
      <x:c r="C129" s="25"/>
      <x:c r="D129" s="24" t="str">
        <x:v>集獲之水</x:v>
      </x:c>
      <x:c r="E129" s="24" t="str">
        <x:v>水系</x:v>
      </x:c>
      <x:c r="F129" s="12"/>
      <x:c r="G129" s="26"/>
      <x:c r="H129" s="27" t="e">
        <x:f>HYPERLINK("#'山海经原文总库'!A3","↩ 返回目录")</x:f>
        <x:v>HYPERLINK is not implemented. linkLocation=#'山海经原文总库'!A3, friendlyName=↩ 返回目录</x:v>
      </x:c>
      <x:c r="I129" s="460"/>
      <x:c r="J129" s="437"/>
      <x:c r="K129" s="437" t="str">
        <x:v>待同名检索｜待建档</x:v>
      </x:c>
    </x:row>
    <x:row r="130" ht="48" customHeight="1">
      <x:c r="A130" s="24" t="str">
        <x:v>SHJ-02-016</x:v>
      </x:c>
      <x:c r="B130" s="24" t="str">
        <x:v>卷二 《西山經》</x:v>
      </x:c>
      <x:c r="C130" s="25" t="str">
        <x:v>又西百八十里，曰黃山，無草木，多竹箭。盼水出焉，西流注於赤水，其中多玉。有獸焉，其狀如牛，而蒼黑大目，其名曰（敏牛）。有鳥焉，其狀如鴞，青羽赤喙，人舌能言，名曰鸚。</x:v>
      </x:c>
      <x:c r="D130" s="24" t="str">
        <x:v>黃山</x:v>
      </x:c>
      <x:c r="E130" s="24" t="str">
        <x:v>山</x:v>
      </x:c>
      <x:c r="F130" s="12"/>
      <x:c r="G130" s="26" t="str">
        <x:v>标点与分段参考《山海经校注》；正文对读：https://ctext.org/shan-hai-jing/xi-shan-jing/zh</x:v>
      </x:c>
      <x:c r="H130" s="27" t="e">
        <x:f>HYPERLINK("#'山海经原文总库'!A3","↩ 返回目录")</x:f>
        <x:v>HYPERLINK is not implemented. linkLocation=#'山海经原文总库'!A3, friendlyName=↩ 返回目录</x:v>
      </x:c>
      <x:c r="I130" s="460"/>
      <x:c r="J130" s="437"/>
      <x:c r="K130" s="437" t="str">
        <x:v>待同名检索｜待建档</x:v>
      </x:c>
    </x:row>
    <x:row r="131" ht="22.5" customHeight="1">
      <x:c r="A131" s="24"/>
      <x:c r="B131" s="24"/>
      <x:c r="C131" s="25"/>
      <x:c r="D131" s="24" t="str">
        <x:v>盼水</x:v>
      </x:c>
      <x:c r="E131" s="24" t="str">
        <x:v>水系</x:v>
      </x:c>
      <x:c r="F131" s="12"/>
      <x:c r="G131" s="26"/>
      <x:c r="H131" s="27" t="e">
        <x:f>HYPERLINK("#'山海经原文总库'!A3","↩ 返回目录")</x:f>
        <x:v>HYPERLINK is not implemented. linkLocation=#'山海经原文总库'!A3, friendlyName=↩ 返回目录</x:v>
      </x:c>
      <x:c r="I131" s="460"/>
      <x:c r="J131" s="437"/>
      <x:c r="K131" s="437" t="str">
        <x:v>待同名检索｜待建档</x:v>
      </x:c>
    </x:row>
    <x:row r="132" ht="22.5" customHeight="1">
      <x:c r="A132" s="24"/>
      <x:c r="B132" s="24"/>
      <x:c r="C132" s="25"/>
      <x:c r="D132" s="24" t="str">
        <x:v>赤水</x:v>
      </x:c>
      <x:c r="E132" s="24" t="str">
        <x:v>水系</x:v>
      </x:c>
      <x:c r="F132" s="12"/>
      <x:c r="G132" s="26"/>
      <x:c r="H132" s="27" t="e">
        <x:f>HYPERLINK("#'山海经原文总库'!A3","↩ 返回目录")</x:f>
        <x:v>HYPERLINK is not implemented. linkLocation=#'山海经原文总库'!A3, friendlyName=↩ 返回目录</x:v>
      </x:c>
      <x:c r="I132" s="460"/>
      <x:c r="J132" s="437"/>
      <x:c r="K132" s="437" t="str">
        <x:v>待同名检索｜待建档</x:v>
      </x:c>
    </x:row>
    <x:row r="133" ht="22.5" customHeight="1">
      <x:c r="A133" s="24"/>
      <x:c r="B133" s="24"/>
      <x:c r="C133" s="25"/>
      <x:c r="D133" s="24" t="str">
        <x:v>黄山</x:v>
      </x:c>
      <x:c r="E133" s="24" t="str">
        <x:v>山</x:v>
      </x:c>
      <x:c r="F133" s="12"/>
      <x:c r="G133" s="26"/>
      <x:c r="H133" s="27" t="e">
        <x:f>HYPERLINK("#'山海经原文总库'!A3","↩ 返回目录")</x:f>
        <x:v>HYPERLINK is not implemented. linkLocation=#'山海经原文总库'!A3, friendlyName=↩ 返回目录</x:v>
      </x:c>
      <x:c r="I133" s="460"/>
      <x:c r="J133" s="437"/>
      <x:c r="K133" s="437" t="str">
        <x:v>待同名检索｜待建档</x:v>
      </x:c>
    </x:row>
    <x:row r="134" ht="48" customHeight="1">
      <x:c r="A134" s="24" t="str">
        <x:v>SHJ-02-017</x:v>
      </x:c>
      <x:c r="B134" s="24" t="str">
        <x:v>卷二 《西山經》</x:v>
      </x:c>
      <x:c r="C134" s="25" t="str">
        <x:v>又西二百里，曰翠山，其上多棕柟，其下多竹箭，其陽多黃金、玉，其陰多旄牛、¤、麝；其鳥多鸓，其狀如鵲，赤黑而兩首四足，可以御火。</x:v>
      </x:c>
      <x:c r="D134" s="24" t="str">
        <x:v>翠山</x:v>
      </x:c>
      <x:c r="E134" s="24" t="str">
        <x:v>山</x:v>
      </x:c>
      <x:c r="F134" s="12"/>
      <x:c r="G134" s="26" t="str">
        <x:v>标点与分段参考《山海经校注》；正文对读：https://ctext.org/shan-hai-jing/xi-shan-jing/zh</x:v>
      </x:c>
      <x:c r="H134" s="27" t="e">
        <x:f>HYPERLINK("#'山海经原文总库'!A3","↩ 返回目录")</x:f>
        <x:v>HYPERLINK is not implemented. linkLocation=#'山海经原文总库'!A3, friendlyName=↩ 返回目录</x:v>
      </x:c>
      <x:c r="I134" s="460"/>
      <x:c r="J134" s="437"/>
      <x:c r="K134" s="437" t="str">
        <x:v>待同名检索｜待建档</x:v>
      </x:c>
    </x:row>
    <x:row r="135" ht="48" customHeight="1">
      <x:c r="A135" s="24" t="str">
        <x:v>SHJ-02-018</x:v>
      </x:c>
      <x:c r="B135" s="24" t="str">
        <x:v>卷二 《西山經》</x:v>
      </x:c>
      <x:c r="C135" s="25" t="str">
        <x:v>又西二百五十里，曰騩山，是錞於西海，無草木，多玉。淒水出焉，西流注於海，其中多采石、黃金，多丹粟。</x:v>
      </x:c>
      <x:c r="D135" s="24" t="str">
        <x:v>騩山</x:v>
      </x:c>
      <x:c r="E135" s="24" t="str">
        <x:v>山</x:v>
      </x:c>
      <x:c r="F135" s="12"/>
      <x:c r="G135" s="26" t="str">
        <x:v>标点与分段参考《山海经校注》；正文对读：https://ctext.org/shan-hai-jing/xi-shan-jing/zh</x:v>
      </x:c>
      <x:c r="H135" s="27" t="e">
        <x:f>HYPERLINK("#'山海经原文总库'!A3","↩ 返回目录")</x:f>
        <x:v>HYPERLINK is not implemented. linkLocation=#'山海经原文总库'!A3, friendlyName=↩ 返回目录</x:v>
      </x:c>
      <x:c r="I135" s="460"/>
      <x:c r="J135" s="437"/>
      <x:c r="K135" s="437" t="str">
        <x:v>待同名检索｜待建档</x:v>
      </x:c>
    </x:row>
    <x:row r="136" ht="22.5" customHeight="1">
      <x:c r="A136" s="24"/>
      <x:c r="B136" s="24"/>
      <x:c r="C136" s="25"/>
      <x:c r="D136" s="24" t="str">
        <x:v>淒水</x:v>
      </x:c>
      <x:c r="E136" s="24" t="str">
        <x:v>水系</x:v>
      </x:c>
      <x:c r="F136" s="12"/>
      <x:c r="G136" s="26"/>
      <x:c r="H136" s="27" t="e">
        <x:f>HYPERLINK("#'山海经原文总库'!A3","↩ 返回目录")</x:f>
        <x:v>HYPERLINK is not implemented. linkLocation=#'山海经原文总库'!A3, friendlyName=↩ 返回目录</x:v>
      </x:c>
      <x:c r="I136" s="460"/>
      <x:c r="J136" s="437"/>
      <x:c r="K136" s="437" t="str">
        <x:v>待同名检索｜待建档</x:v>
      </x:c>
    </x:row>
    <x:row r="137" ht="22.5" customHeight="1">
      <x:c r="A137" s="24"/>
      <x:c r="B137" s="24"/>
      <x:c r="C137" s="25"/>
      <x:c r="D137" s="24" t="str">
        <x:v>西海</x:v>
      </x:c>
      <x:c r="E137" s="24" t="str">
        <x:v>海域</x:v>
      </x:c>
      <x:c r="F137" s="12"/>
      <x:c r="G137" s="26"/>
      <x:c r="H137" s="27" t="e">
        <x:f>HYPERLINK("#'山海经原文总库'!A3","↩ 返回目录")</x:f>
        <x:v>HYPERLINK is not implemented. linkLocation=#'山海经原文总库'!A3, friendlyName=↩ 返回目录</x:v>
      </x:c>
      <x:c r="I137" s="460"/>
      <x:c r="J137" s="437"/>
      <x:c r="K137" s="437" t="str">
        <x:v>待同名检索｜待建档</x:v>
      </x:c>
    </x:row>
    <x:row r="138" ht="64.5" customHeight="1">
      <x:c r="A138" s="24" t="str">
        <x:v>SHJ-02-019</x:v>
      </x:c>
      <x:c r="B138" s="24" t="str">
        <x:v>卷二 《西山經》</x:v>
      </x:c>
      <x:c r="C138" s="25" t="str">
        <x:v>凡西經之首，自錢來之山至於騩山，凡十九山，二千九百五十七里。華山冢也，其祠之禮：太牢。羭山神也，祠之用燭，齋百日以百犧，瘞用百瑜，湯其酒百樽，嬰以百珪百璧。其餘十七山之屬，皆毛牷用一羊祠之。燭者百草之未灰，白席採等純之。</x:v>
      </x:c>
      <x:c r="D138" s="24" t="str">
        <x:v>錢來之山至於騩山</x:v>
      </x:c>
      <x:c r="E138" s="24" t="str">
        <x:v>山</x:v>
      </x:c>
      <x:c r="F138" s="12"/>
      <x:c r="G138" s="26" t="str">
        <x:v>标点与分段参考《山海经校注》；正文对读：https://ctext.org/shan-hai-jing/xi-shan-jing/zh</x:v>
      </x:c>
      <x:c r="H138" s="27" t="e">
        <x:f>HYPERLINK("#'山海经原文总库'!A3","↩ 返回目录")</x:f>
        <x:v>HYPERLINK is not implemented. linkLocation=#'山海经原文总库'!A3, friendlyName=↩ 返回目录</x:v>
      </x:c>
      <x:c r="I138" s="460"/>
      <x:c r="J138" s="437"/>
      <x:c r="K138" s="437" t="str">
        <x:v>待同名检索｜待建档</x:v>
      </x:c>
    </x:row>
    <x:row r="139" ht="48" customHeight="1">
      <x:c r="A139" s="24" t="str">
        <x:v>SHJ-02-020</x:v>
      </x:c>
      <x:c r="B139" s="24" t="str">
        <x:v>卷二 《西山經》</x:v>
      </x:c>
      <x:c r="C139" s="25" t="str">
        <x:v>西次二經之首，曰鈐山，其上多銅，其下多玉，其木多杻橿。</x:v>
      </x:c>
      <x:c r="D139" s="24" t="str">
        <x:v>鈐山</x:v>
      </x:c>
      <x:c r="E139" s="24" t="str">
        <x:v>山</x:v>
      </x:c>
      <x:c r="F139" s="12"/>
      <x:c r="G139" s="26" t="str">
        <x:v>标点与分段参考《山海经校注》；正文对读：https://ctext.org/shan-hai-jing/xi-shan-jing/zh</x:v>
      </x:c>
      <x:c r="H139" s="27" t="e">
        <x:f>HYPERLINK("#'山海经原文总库'!A3","↩ 返回目录")</x:f>
        <x:v>HYPERLINK is not implemented. linkLocation=#'山海经原文总库'!A3, friendlyName=↩ 返回目录</x:v>
      </x:c>
      <x:c r="I139" s="460"/>
      <x:c r="J139" s="437"/>
      <x:c r="K139" s="437" t="str">
        <x:v>待同名检索｜待建档</x:v>
      </x:c>
    </x:row>
    <x:row r="140" ht="48" customHeight="1">
      <x:c r="A140" s="24" t="str">
        <x:v>SHJ-02-021</x:v>
      </x:c>
      <x:c r="B140" s="24" t="str">
        <x:v>卷二 《西山經》</x:v>
      </x:c>
      <x:c r="C140" s="25" t="str">
        <x:v>西二百里，曰泰冒之山，其陽多金，其陰多鐵。浴水出焉，東流注於河，其中多藻玉，多白蛇。</x:v>
      </x:c>
      <x:c r="D140" s="24" t="str">
        <x:v>泰冒之山</x:v>
      </x:c>
      <x:c r="E140" s="24" t="str">
        <x:v>山</x:v>
      </x:c>
      <x:c r="F140" s="12"/>
      <x:c r="G140" s="26" t="str">
        <x:v>标点与分段参考《山海经校注》；正文对读：https://ctext.org/shan-hai-jing/xi-shan-jing/zh</x:v>
      </x:c>
      <x:c r="H140" s="27" t="e">
        <x:f>HYPERLINK("#'山海经原文总库'!A3","↩ 返回目录")</x:f>
        <x:v>HYPERLINK is not implemented. linkLocation=#'山海经原文总库'!A3, friendlyName=↩ 返回目录</x:v>
      </x:c>
      <x:c r="I140" s="460"/>
      <x:c r="J140" s="437"/>
      <x:c r="K140" s="437" t="str">
        <x:v>待同名检索｜待建档</x:v>
      </x:c>
    </x:row>
    <x:row r="141" ht="22.5" customHeight="1">
      <x:c r="A141" s="24"/>
      <x:c r="B141" s="24"/>
      <x:c r="C141" s="25"/>
      <x:c r="D141" s="24" t="str">
        <x:v>浴水</x:v>
      </x:c>
      <x:c r="E141" s="24" t="str">
        <x:v>水系</x:v>
      </x:c>
      <x:c r="F141" s="12"/>
      <x:c r="G141" s="26"/>
      <x:c r="H141" s="27" t="e">
        <x:f>HYPERLINK("#'山海经原文总库'!A3","↩ 返回目录")</x:f>
        <x:v>HYPERLINK is not implemented. linkLocation=#'山海经原文总库'!A3, friendlyName=↩ 返回目录</x:v>
      </x:c>
      <x:c r="I141" s="460"/>
      <x:c r="J141" s="437"/>
      <x:c r="K141" s="437" t="str">
        <x:v>待同名检索｜待建档</x:v>
      </x:c>
    </x:row>
    <x:row r="142" ht="22.5" customHeight="1">
      <x:c r="A142" s="24"/>
      <x:c r="B142" s="24"/>
      <x:c r="C142" s="25"/>
      <x:c r="D142" s="24" t="str">
        <x:v>河</x:v>
      </x:c>
      <x:c r="E142" s="24" t="str">
        <x:v>地理名稱</x:v>
      </x:c>
      <x:c r="F142" s="12"/>
      <x:c r="G142" s="26"/>
      <x:c r="H142" s="27" t="e">
        <x:f>HYPERLINK("#'山海经原文总库'!A3","↩ 返回目录")</x:f>
        <x:v>HYPERLINK is not implemented. linkLocation=#'山海经原文总库'!A3, friendlyName=↩ 返回目录</x:v>
      </x:c>
      <x:c r="I142" s="437"/>
      <x:c r="J142" s="437"/>
      <x:c r="K142" s="437" t="str">
        <x:v>待同名检索｜待建档</x:v>
      </x:c>
    </x:row>
    <x:row r="143" ht="48" customHeight="1">
      <x:c r="A143" s="24" t="str">
        <x:v>SHJ-02-022</x:v>
      </x:c>
      <x:c r="B143" s="24" t="str">
        <x:v>卷二 《西山經》</x:v>
      </x:c>
      <x:c r="C143" s="25" t="str">
        <x:v>又西一百七十里，曰數歷之山，其上多黃金，其下多銀，其木多杻橿，其鳥多鸚。楚水出焉，而南流注於渭，其中多白珠。</x:v>
      </x:c>
      <x:c r="D143" s="24" t="str">
        <x:v>數歷之山</x:v>
      </x:c>
      <x:c r="E143" s="24" t="str">
        <x:v>山</x:v>
      </x:c>
      <x:c r="F143" s="12"/>
      <x:c r="G143" s="26" t="str">
        <x:v>标点与分段参考《山海经校注》；正文对读：https://ctext.org/shan-hai-jing/xi-shan-jing/zh</x:v>
      </x:c>
      <x:c r="H143" s="27" t="e">
        <x:f>HYPERLINK("#'山海经原文总库'!A3","↩ 返回目录")</x:f>
        <x:v>HYPERLINK is not implemented. linkLocation=#'山海经原文总库'!A3, friendlyName=↩ 返回目录</x:v>
      </x:c>
      <x:c r="I143" s="437"/>
      <x:c r="J143" s="437"/>
      <x:c r="K143" s="437" t="str">
        <x:v>待同名检索｜待建档</x:v>
      </x:c>
    </x:row>
    <x:row r="144" ht="22.5" customHeight="1">
      <x:c r="A144" s="24"/>
      <x:c r="B144" s="24"/>
      <x:c r="C144" s="25"/>
      <x:c r="D144" s="24" t="str">
        <x:v>楚水</x:v>
      </x:c>
      <x:c r="E144" s="24" t="str">
        <x:v>水系</x:v>
      </x:c>
      <x:c r="F144" s="12"/>
      <x:c r="G144" s="26"/>
      <x:c r="H144" s="27" t="e">
        <x:f>HYPERLINK("#'山海经原文总库'!A3","↩ 返回目录")</x:f>
        <x:v>HYPERLINK is not implemented. linkLocation=#'山海经原文总库'!A3, friendlyName=↩ 返回目录</x:v>
      </x:c>
      <x:c r="I144" s="437"/>
      <x:c r="J144" s="437"/>
      <x:c r="K144" s="437" t="str">
        <x:v>待同名检索｜待建档</x:v>
      </x:c>
    </x:row>
    <x:row r="145" ht="48" customHeight="1">
      <x:c r="A145" s="24" t="str">
        <x:v>SHJ-02-023-1</x:v>
      </x:c>
      <x:c r="B145" s="24" t="str">
        <x:v>卷二 《西山經》</x:v>
      </x:c>
      <x:c r="C145" s="25" t="str">
        <x:v>又西北五十里高山，其上多銀，其下多青碧、雄黃，其木多棕，其草多竹。涇水出焉，而東流注於渭，其中多磬石、青碧。</x:v>
      </x:c>
      <x:c r="D145" s="24" t="str">
        <x:v>高山</x:v>
      </x:c>
      <x:c r="E145" s="24" t="str">
        <x:v>山</x:v>
      </x:c>
      <x:c r="F145" s="12"/>
      <x:c r="G145" s="26" t="str">
        <x:v>标点与分段参考《山海经校注》；正文对读：https://ctext.org/shan-hai-jing/xi-shan-jing/zh</x:v>
      </x:c>
      <x:c r="H145" s="27" t="e">
        <x:f>HYPERLINK("#'山海经原文总库'!A3","↩ 返回目录")</x:f>
        <x:v>HYPERLINK is not implemented. linkLocation=#'山海经原文总库'!A3, friendlyName=↩ 返回目录</x:v>
      </x:c>
      <x:c r="I145" s="437"/>
      <x:c r="J145" s="437"/>
      <x:c r="K145" s="437" t="str">
        <x:v>待同名检索｜待建档</x:v>
      </x:c>
    </x:row>
    <x:row r="146" ht="22.5" customHeight="1">
      <x:c r="A146" s="24"/>
      <x:c r="B146" s="24"/>
      <x:c r="C146" s="25"/>
      <x:c r="D146" s="24" t="str">
        <x:v>涇水</x:v>
      </x:c>
      <x:c r="E146" s="24" t="str">
        <x:v>水系</x:v>
      </x:c>
      <x:c r="F146" s="12"/>
      <x:c r="G146" s="26"/>
      <x:c r="H146" s="27" t="e">
        <x:f>HYPERLINK("#'山海经原文总库'!A3","↩ 返回目录")</x:f>
        <x:v>HYPERLINK is not implemented. linkLocation=#'山海经原文总库'!A3, friendlyName=↩ 返回目录</x:v>
      </x:c>
      <x:c r="I146" s="437"/>
      <x:c r="J146" s="437"/>
      <x:c r="K146" s="437" t="str">
        <x:v>待同名检索｜待建档</x:v>
      </x:c>
    </x:row>
    <x:row r="147" ht="48" customHeight="1">
      <x:c r="A147" s="24" t="str">
        <x:v>SHJ-02-023-2</x:v>
      </x:c>
      <x:c r="B147" s="24" t="str">
        <x:v>卷二 《西山經》</x:v>
      </x:c>
      <x:c r="C147" s="25" t="str">
        <x:v>西南三百里，曰女床之山，其陽多赤銅，其陰多石涅，其獸多虎豹犀兕。有鳥焉，其狀如翟而五採文，名曰鸞鳥，見則天下安寧。</x:v>
      </x:c>
      <x:c r="D147" s="24" t="str">
        <x:v>女床之山</x:v>
      </x:c>
      <x:c r="E147" s="24" t="str">
        <x:v>山</x:v>
      </x:c>
      <x:c r="F147" s="12"/>
      <x:c r="G147" s="26" t="str">
        <x:v>标点与分段参考《山海经校注》；正文对读：https://ctext.org/shan-hai-jing/xi-shan-jing/zh</x:v>
      </x:c>
      <x:c r="H147" s="27" t="e">
        <x:f>HYPERLINK("#'山海经原文总库'!A3","↩ 返回目录")</x:f>
        <x:v>HYPERLINK is not implemented. linkLocation=#'山海经原文总库'!A3, friendlyName=↩ 返回目录</x:v>
      </x:c>
      <x:c r="I147" s="437"/>
      <x:c r="J147" s="437"/>
      <x:c r="K147" s="437" t="str">
        <x:v>待同名检索｜待建档</x:v>
      </x:c>
    </x:row>
    <x:row r="148" ht="48" customHeight="1">
      <x:c r="A148" s="24" t="str">
        <x:v>SHJ-02-024</x:v>
      </x:c>
      <x:c r="B148" s="24" t="str">
        <x:v>卷二 《西山經》</x:v>
      </x:c>
      <x:c r="C148" s="25" t="str">
        <x:v>又西二百里，曰龍首之山，其陽多黃金，其陰多鐵。苕水出焉，東南流注於涇水，其中多美玉。</x:v>
      </x:c>
      <x:c r="D148" s="24" t="str">
        <x:v>龍首之山</x:v>
      </x:c>
      <x:c r="E148" s="24" t="str">
        <x:v>山</x:v>
      </x:c>
      <x:c r="F148" s="12"/>
      <x:c r="G148" s="26" t="str">
        <x:v>标点与分段参考《山海经校注》；正文对读：https://ctext.org/shan-hai-jing/xi-shan-jing/zh</x:v>
      </x:c>
      <x:c r="H148" s="27" t="e">
        <x:f>HYPERLINK("#'山海经原文总库'!A3","↩ 返回目录")</x:f>
        <x:v>HYPERLINK is not implemented. linkLocation=#'山海经原文总库'!A3, friendlyName=↩ 返回目录</x:v>
      </x:c>
      <x:c r="I148" s="437"/>
      <x:c r="J148" s="437"/>
      <x:c r="K148" s="437" t="str">
        <x:v>待同名检索｜待建档</x:v>
      </x:c>
    </x:row>
    <x:row r="149" ht="22.5" customHeight="1">
      <x:c r="A149" s="24"/>
      <x:c r="B149" s="24"/>
      <x:c r="C149" s="25"/>
      <x:c r="D149" s="24" t="str">
        <x:v>苕水</x:v>
      </x:c>
      <x:c r="E149" s="24" t="str">
        <x:v>水系</x:v>
      </x:c>
      <x:c r="F149" s="12"/>
      <x:c r="G149" s="26"/>
      <x:c r="H149" s="27" t="e">
        <x:f>HYPERLINK("#'山海经原文总库'!A3","↩ 返回目录")</x:f>
        <x:v>HYPERLINK is not implemented. linkLocation=#'山海经原文总库'!A3, friendlyName=↩ 返回目录</x:v>
      </x:c>
      <x:c r="I149" s="437"/>
      <x:c r="J149" s="437"/>
      <x:c r="K149" s="437" t="str">
        <x:v>待同名检索｜待建档</x:v>
      </x:c>
    </x:row>
    <x:row r="150" ht="22.5" customHeight="1">
      <x:c r="A150" s="24"/>
      <x:c r="B150" s="24"/>
      <x:c r="C150" s="25"/>
      <x:c r="D150" s="24" t="str">
        <x:v>涇水</x:v>
      </x:c>
      <x:c r="E150" s="24" t="str">
        <x:v>水系</x:v>
      </x:c>
      <x:c r="F150" s="12"/>
      <x:c r="G150" s="26"/>
      <x:c r="H150" s="27" t="e">
        <x:f>HYPERLINK("#'山海经原文总库'!A3","↩ 返回目录")</x:f>
        <x:v>HYPERLINK is not implemented. linkLocation=#'山海经原文总库'!A3, friendlyName=↩ 返回目录</x:v>
      </x:c>
      <x:c r="I150" s="437"/>
      <x:c r="J150" s="437"/>
      <x:c r="K150" s="437" t="str">
        <x:v>待同名检索｜待建档</x:v>
      </x:c>
    </x:row>
    <x:row r="151" ht="48" customHeight="1">
      <x:c r="A151" s="24" t="str">
        <x:v>SHJ-02-025-1</x:v>
      </x:c>
      <x:c r="B151" s="24" t="str">
        <x:v>卷二 《西山經》</x:v>
      </x:c>
      <x:c r="C151" s="25" t="str">
        <x:v>又西二百里，曰鹿台之山，其上多白玉，其下多銀，其獸多（牛乍）牛、羬羊、白豪。有鳥焉，其狀如雄雞而人面，名曰鳧徯，其鳴自叫也，見則有兵。</x:v>
      </x:c>
      <x:c r="D151" s="24" t="str">
        <x:v>鹿台之山</x:v>
      </x:c>
      <x:c r="E151" s="24" t="str">
        <x:v>山</x:v>
      </x:c>
      <x:c r="F151" s="12"/>
      <x:c r="G151" s="26" t="str">
        <x:v>标点与分段参考《山海经校注》；正文对读：https://ctext.org/shan-hai-jing/xi-shan-jing/zh</x:v>
      </x:c>
      <x:c r="H151" s="27" t="e">
        <x:f>HYPERLINK("#'山海经原文总库'!A3","↩ 返回目录")</x:f>
        <x:v>HYPERLINK is not implemented. linkLocation=#'山海经原文总库'!A3, friendlyName=↩ 返回目录</x:v>
      </x:c>
      <x:c r="I151" s="437"/>
      <x:c r="J151" s="437"/>
      <x:c r="K151" s="437" t="str">
        <x:v>待同名检索｜待建档</x:v>
      </x:c>
    </x:row>
    <x:row r="152" ht="22.5" customHeight="1">
      <x:c r="A152" s="24"/>
      <x:c r="B152" s="24"/>
      <x:c r="C152" s="25"/>
      <x:c r="D152" s="24" t="str">
        <x:v>鹿台</x:v>
      </x:c>
      <x:c r="E152" s="24" t="str">
        <x:v>聚落／區域</x:v>
      </x:c>
      <x:c r="F152" s="12"/>
      <x:c r="G152" s="26"/>
      <x:c r="H152" s="27" t="e">
        <x:f>HYPERLINK("#'山海经原文总库'!A3","↩ 返回目录")</x:f>
        <x:v>HYPERLINK is not implemented. linkLocation=#'山海经原文总库'!A3, friendlyName=↩ 返回目录</x:v>
      </x:c>
      <x:c r="I152" s="437"/>
      <x:c r="J152" s="437"/>
      <x:c r="K152" s="437" t="str">
        <x:v>待同名检索｜待建档</x:v>
      </x:c>
    </x:row>
    <x:row r="153" ht="22.5" customHeight="1">
      <x:c r="A153" s="24"/>
      <x:c r="B153" s="24"/>
      <x:c r="C153" s="25"/>
      <x:c r="D153" s="24" t="str">
        <x:v>鹿臺之山</x:v>
      </x:c>
      <x:c r="E153" s="24" t="str">
        <x:v>山</x:v>
      </x:c>
      <x:c r="F153" s="12"/>
      <x:c r="G153" s="26"/>
      <x:c r="H153" s="27" t="e">
        <x:f>HYPERLINK("#'山海经原文总库'!A3","↩ 返回目录")</x:f>
        <x:v>HYPERLINK is not implemented. linkLocation=#'山海经原文总库'!A3, friendlyName=↩ 返回目录</x:v>
      </x:c>
      <x:c r="I153" s="437"/>
      <x:c r="J153" s="437"/>
      <x:c r="K153" s="437" t="str">
        <x:v>待同名检索｜待建档</x:v>
      </x:c>
    </x:row>
    <x:row r="154" ht="22.5" customHeight="1">
      <x:c r="A154" s="24"/>
      <x:c r="B154" s="24"/>
      <x:c r="C154" s="25"/>
      <x:c r="D154" s="24" t="str">
        <x:v>鳥危之山</x:v>
      </x:c>
      <x:c r="E154" s="24" t="str">
        <x:v>山</x:v>
      </x:c>
      <x:c r="F154" s="12"/>
      <x:c r="G154" s="26"/>
      <x:c r="H154" s="27" t="e">
        <x:f>HYPERLINK("#'山海经原文总库'!A3","↩ 返回目录")</x:f>
        <x:v>HYPERLINK is not implemented. linkLocation=#'山海经原文总库'!A3, friendlyName=↩ 返回目录</x:v>
      </x:c>
      <x:c r="I154" s="437"/>
      <x:c r="J154" s="437"/>
      <x:c r="K154" s="437" t="str">
        <x:v>待同名检索｜待建档</x:v>
      </x:c>
    </x:row>
    <x:row r="155" ht="22.5" customHeight="1">
      <x:c r="A155" s="24"/>
      <x:c r="B155" s="24"/>
      <x:c r="C155" s="25"/>
      <x:c r="D155" s="24" t="str">
        <x:v>鳥危之水</x:v>
      </x:c>
      <x:c r="E155" s="24" t="str">
        <x:v>水系</x:v>
      </x:c>
      <x:c r="F155" s="12"/>
      <x:c r="G155" s="26"/>
      <x:c r="H155" s="27" t="e">
        <x:f>HYPERLINK("#'山海经原文总库'!A3","↩ 返回目录")</x:f>
        <x:v>HYPERLINK is not implemented. linkLocation=#'山海经原文总库'!A3, friendlyName=↩ 返回目录</x:v>
      </x:c>
      <x:c r="I155" s="437"/>
      <x:c r="J155" s="437"/>
      <x:c r="K155" s="437" t="str">
        <x:v>待同名检索｜待建档</x:v>
      </x:c>
    </x:row>
    <x:row r="156" ht="48" customHeight="1">
      <x:c r="A156" s="24" t="str">
        <x:v>SHJ-02-025-2</x:v>
      </x:c>
      <x:c r="B156" s="24" t="str">
        <x:v>卷二 《西山經》</x:v>
      </x:c>
      <x:c r="C156" s="25" t="str">
        <x:v>西南二百里，曰鳥危之山，其陽多磬石，其陰多檀楮，其中多女床。鳥危之水出焉，西流注於赤水，其中多丹粟。</x:v>
      </x:c>
      <x:c r="D156" s="24" t="str">
        <x:v>鳥危之山</x:v>
      </x:c>
      <x:c r="E156" s="24" t="str">
        <x:v>山</x:v>
      </x:c>
      <x:c r="F156" s="12"/>
      <x:c r="G156" s="26" t="str">
        <x:v>标点与分段参考《山海经校注》；正文对读：https://ctext.org/shan-hai-jing/xi-shan-jing/zh</x:v>
      </x:c>
      <x:c r="H156" s="27" t="e">
        <x:f>HYPERLINK("#'山海经原文总库'!A3","↩ 返回目录")</x:f>
        <x:v>HYPERLINK is not implemented. linkLocation=#'山海经原文总库'!A3, friendlyName=↩ 返回目录</x:v>
      </x:c>
      <x:c r="I156" s="437"/>
      <x:c r="J156" s="437"/>
      <x:c r="K156" s="437" t="str">
        <x:v>待同名检索｜待建档</x:v>
      </x:c>
    </x:row>
    <x:row r="157" ht="22.5" customHeight="1">
      <x:c r="A157" s="24"/>
      <x:c r="B157" s="24"/>
      <x:c r="C157" s="25"/>
      <x:c r="D157" s="24" t="str">
        <x:v>鳥危之水</x:v>
      </x:c>
      <x:c r="E157" s="24" t="str">
        <x:v>水系</x:v>
      </x:c>
      <x:c r="F157" s="12"/>
      <x:c r="G157" s="26"/>
      <x:c r="H157" s="27" t="e">
        <x:f>HYPERLINK("#'山海经原文总库'!A3","↩ 返回目录")</x:f>
        <x:v>HYPERLINK is not implemented. linkLocation=#'山海经原文总库'!A3, friendlyName=↩ 返回目录</x:v>
      </x:c>
      <x:c r="I157" s="437"/>
      <x:c r="J157" s="437"/>
      <x:c r="K157" s="437" t="str">
        <x:v>待同名检索｜待建档</x:v>
      </x:c>
    </x:row>
    <x:row r="158" ht="22.5" customHeight="1">
      <x:c r="A158" s="24"/>
      <x:c r="B158" s="24"/>
      <x:c r="C158" s="25"/>
      <x:c r="D158" s="24" t="str">
        <x:v>赤水</x:v>
      </x:c>
      <x:c r="E158" s="24" t="str">
        <x:v>水系</x:v>
      </x:c>
      <x:c r="F158" s="12"/>
      <x:c r="G158" s="26"/>
      <x:c r="H158" s="27" t="e">
        <x:f>HYPERLINK("#'山海经原文总库'!A3","↩ 返回目录")</x:f>
        <x:v>HYPERLINK is not implemented. linkLocation=#'山海经原文总库'!A3, friendlyName=↩ 返回目录</x:v>
      </x:c>
      <x:c r="I158" s="437"/>
      <x:c r="J158" s="437"/>
      <x:c r="K158" s="437" t="str">
        <x:v>待同名检索｜待建档</x:v>
      </x:c>
    </x:row>
    <x:row r="159" ht="48" customHeight="1">
      <x:c r="A159" s="24" t="str">
        <x:v>SHJ-02-026</x:v>
      </x:c>
      <x:c r="B159" s="24" t="str">
        <x:v>卷二 《西山經》</x:v>
      </x:c>
      <x:c r="C159" s="25" t="str">
        <x:v>又西四百里，曰小次之山，其上多白玉，其下多赤銅。有獸焉，其狀如猿，而白首赤足，名曰朱厭，見則大兵。</x:v>
      </x:c>
      <x:c r="D159" s="24" t="str">
        <x:v>小次之山</x:v>
      </x:c>
      <x:c r="E159" s="24" t="str">
        <x:v>山</x:v>
      </x:c>
      <x:c r="F159" s="12"/>
      <x:c r="G159" s="26" t="str">
        <x:v>标点与分段参考《山海经校注》；正文对读：https://ctext.org/shan-hai-jing/xi-shan-jing/zh</x:v>
      </x:c>
      <x:c r="H159" s="27" t="e">
        <x:f>HYPERLINK("#'山海经原文总库'!A3","↩ 返回目录")</x:f>
        <x:v>HYPERLINK is not implemented. linkLocation=#'山海经原文总库'!A3, friendlyName=↩ 返回目录</x:v>
      </x:c>
      <x:c r="I159" s="437"/>
      <x:c r="J159" s="437"/>
      <x:c r="K159" s="437" t="str">
        <x:v>待同名检索｜待建档</x:v>
      </x:c>
    </x:row>
    <x:row r="160" ht="48" customHeight="1">
      <x:c r="A160" s="24" t="str">
        <x:v>SHJ-02-027</x:v>
      </x:c>
      <x:c r="B160" s="24" t="str">
        <x:v>卷二 《西山經》</x:v>
      </x:c>
      <x:c r="C160" s="25" t="str">
        <x:v>又西三百里，曰大次之山，其陽多堊，其陰多碧，其獸多（牛乍）牛、¤羊。</x:v>
      </x:c>
      <x:c r="D160" s="24" t="str">
        <x:v>大次之山</x:v>
      </x:c>
      <x:c r="E160" s="24" t="str">
        <x:v>山</x:v>
      </x:c>
      <x:c r="F160" s="12"/>
      <x:c r="G160" s="26" t="str">
        <x:v>标点与分段参考《山海经校注》；正文对读：https://ctext.org/shan-hai-jing/xi-shan-jing/zh</x:v>
      </x:c>
      <x:c r="H160" s="27" t="e">
        <x:f>HYPERLINK("#'山海经原文总库'!A3","↩ 返回目录")</x:f>
        <x:v>HYPERLINK is not implemented. linkLocation=#'山海经原文总库'!A3, friendlyName=↩ 返回目录</x:v>
      </x:c>
      <x:c r="I160" s="437"/>
      <x:c r="J160" s="437"/>
      <x:c r="K160" s="437" t="str">
        <x:v>待同名检索｜待建档</x:v>
      </x:c>
    </x:row>
    <x:row r="161" ht="48" customHeight="1">
      <x:c r="A161" s="24" t="str">
        <x:v>SHJ-02-028</x:v>
      </x:c>
      <x:c r="B161" s="24" t="str">
        <x:v>卷二 《西山經》</x:v>
      </x:c>
      <x:c r="C161" s="25" t="str">
        <x:v>又西四百里，曰熏吳之山，無草木，多金玉。</x:v>
      </x:c>
      <x:c r="D161" s="24" t="str">
        <x:v>熏吳之山</x:v>
      </x:c>
      <x:c r="E161" s="24" t="str">
        <x:v>山</x:v>
      </x:c>
      <x:c r="F161" s="12"/>
      <x:c r="G161" s="26" t="str">
        <x:v>标点与分段参考《山海经校注》；正文对读：https://ctext.org/shan-hai-jing/xi-shan-jing/zh</x:v>
      </x:c>
      <x:c r="H161" s="27" t="e">
        <x:f>HYPERLINK("#'山海经原文总库'!A3","↩ 返回目录")</x:f>
        <x:v>HYPERLINK is not implemented. linkLocation=#'山海经原文总库'!A3, friendlyName=↩ 返回目录</x:v>
      </x:c>
      <x:c r="I161" s="437"/>
      <x:c r="J161" s="437"/>
      <x:c r="K161" s="437" t="str">
        <x:v>待同名检索｜待建档</x:v>
      </x:c>
    </x:row>
    <x:row r="162" ht="48" customHeight="1">
      <x:c r="A162" s="24" t="str">
        <x:v>SHJ-02-029</x:v>
      </x:c>
      <x:c r="B162" s="24" t="str">
        <x:v>卷二 《西山經》</x:v>
      </x:c>
      <x:c r="C162" s="25" t="str">
        <x:v>又西四百里，曰厎陽之山，其木多稷、柟、豫章，其獸多犀、兕、虎、（犬勺）、（牛乍）牛。</x:v>
      </x:c>
      <x:c r="D162" s="24" t="str">
        <x:v>厎陽之山</x:v>
      </x:c>
      <x:c r="E162" s="24" t="str">
        <x:v>山</x:v>
      </x:c>
      <x:c r="F162" s="12"/>
      <x:c r="G162" s="26" t="str">
        <x:v>标点与分段参考《山海经校注》；正文对读：https://ctext.org/shan-hai-jing/xi-shan-jing/zh</x:v>
      </x:c>
      <x:c r="H162" s="27" t="e">
        <x:f>HYPERLINK("#'山海经原文总库'!A3","↩ 返回目录")</x:f>
        <x:v>HYPERLINK is not implemented. linkLocation=#'山海经原文总库'!A3, friendlyName=↩ 返回目录</x:v>
      </x:c>
      <x:c r="I162" s="437"/>
      <x:c r="J162" s="437"/>
      <x:c r="K162" s="437" t="str">
        <x:v>待同名检索｜待建档</x:v>
      </x:c>
    </x:row>
    <x:row r="163" ht="22.5" customHeight="1">
      <x:c r="A163" s="24"/>
      <x:c r="B163" s="24"/>
      <x:c r="C163" s="25"/>
      <x:c r="D163" s="24" t="str">
        <x:v>底陽之山</x:v>
      </x:c>
      <x:c r="E163" s="24" t="str">
        <x:v>山</x:v>
      </x:c>
      <x:c r="F163" s="12"/>
      <x:c r="G163" s="26"/>
      <x:c r="H163" s="27" t="e">
        <x:f>HYPERLINK("#'山海经原文总库'!A3","↩ 返回目录")</x:f>
        <x:v>HYPERLINK is not implemented. linkLocation=#'山海经原文总库'!A3, friendlyName=↩ 返回目录</x:v>
      </x:c>
      <x:c r="I163" s="437"/>
      <x:c r="J163" s="437"/>
      <x:c r="K163" s="437" t="str">
        <x:v>待同名检索｜待建档</x:v>
      </x:c>
    </x:row>
    <x:row r="164" ht="48" customHeight="1">
      <x:c r="A164" s="24" t="str">
        <x:v>SHJ-02-030</x:v>
      </x:c>
      <x:c r="B164" s="24" t="str">
        <x:v>卷二 《西山經》</x:v>
      </x:c>
      <x:c r="C164" s="25" t="str">
        <x:v>又西二百五十里，曰眾獸之山，其上多（王雩）琈之玉，其下多檀楮，多黃金，其獸多犀兕。</x:v>
      </x:c>
      <x:c r="D164" s="24" t="str">
        <x:v>眾獸之山</x:v>
      </x:c>
      <x:c r="E164" s="24" t="str">
        <x:v>山</x:v>
      </x:c>
      <x:c r="F164" s="12"/>
      <x:c r="G164" s="26" t="str">
        <x:v>标点与分段参考《山海经校注》；正文对读：https://ctext.org/shan-hai-jing/xi-shan-jing/zh</x:v>
      </x:c>
      <x:c r="H164" s="27" t="e">
        <x:f>HYPERLINK("#'山海经原文总库'!A3","↩ 返回目录")</x:f>
        <x:v>HYPERLINK is not implemented. linkLocation=#'山海经原文总库'!A3, friendlyName=↩ 返回目录</x:v>
      </x:c>
      <x:c r="I164" s="437"/>
      <x:c r="J164" s="437"/>
      <x:c r="K164" s="437" t="str">
        <x:v>待同名检索｜待建档</x:v>
      </x:c>
    </x:row>
    <x:row r="165" ht="22.5" customHeight="1">
      <x:c r="A165" s="24"/>
      <x:c r="B165" s="24"/>
      <x:c r="C165" s="25"/>
      <x:c r="D165" s="24" t="str">
        <x:v>衆獸之山</x:v>
      </x:c>
      <x:c r="E165" s="24" t="str">
        <x:v>山</x:v>
      </x:c>
      <x:c r="F165" s="12"/>
      <x:c r="G165" s="26"/>
      <x:c r="H165" s="27" t="e">
        <x:f>HYPERLINK("#'山海经原文总库'!A3","↩ 返回目录")</x:f>
        <x:v>HYPERLINK is not implemented. linkLocation=#'山海经原文总库'!A3, friendlyName=↩ 返回目录</x:v>
      </x:c>
      <x:c r="I165" s="437"/>
      <x:c r="J165" s="437"/>
      <x:c r="K165" s="437" t="str">
        <x:v>待同名检索｜待建档</x:v>
      </x:c>
    </x:row>
    <x:row r="166" ht="48" customHeight="1">
      <x:c r="A166" s="24" t="str">
        <x:v>SHJ-02-031</x:v>
      </x:c>
      <x:c r="B166" s="24" t="str">
        <x:v>卷二 《西山經》</x:v>
      </x:c>
      <x:c r="C166" s="25" t="str">
        <x:v>又西五百里，曰皇人之山，其上多金玉，其下多青雄黃。皇水出焉，西流注於赤水，其中多丹粟。</x:v>
      </x:c>
      <x:c r="D166" s="24" t="str">
        <x:v>皇人之山</x:v>
      </x:c>
      <x:c r="E166" s="24" t="str">
        <x:v>山</x:v>
      </x:c>
      <x:c r="F166" s="12"/>
      <x:c r="G166" s="26" t="str">
        <x:v>标点与分段参考《山海经校注》；正文对读：https://ctext.org/shan-hai-jing/xi-shan-jing/zh</x:v>
      </x:c>
      <x:c r="H166" s="27" t="e">
        <x:f>HYPERLINK("#'山海经原文总库'!A3","↩ 返回目录")</x:f>
        <x:v>HYPERLINK is not implemented. linkLocation=#'山海经原文总库'!A3, friendlyName=↩ 返回目录</x:v>
      </x:c>
      <x:c r="I166" s="437"/>
      <x:c r="J166" s="437"/>
      <x:c r="K166" s="437" t="str">
        <x:v>待同名检索｜待建档</x:v>
      </x:c>
    </x:row>
    <x:row r="167" ht="22.5" customHeight="1">
      <x:c r="A167" s="24"/>
      <x:c r="B167" s="24"/>
      <x:c r="C167" s="25"/>
      <x:c r="D167" s="24" t="str">
        <x:v>皇水</x:v>
      </x:c>
      <x:c r="E167" s="24" t="str">
        <x:v>水系</x:v>
      </x:c>
      <x:c r="F167" s="12"/>
      <x:c r="G167" s="26"/>
      <x:c r="H167" s="27" t="e">
        <x:f>HYPERLINK("#'山海经原文总库'!A3","↩ 返回目录")</x:f>
        <x:v>HYPERLINK is not implemented. linkLocation=#'山海经原文总库'!A3, friendlyName=↩ 返回目录</x:v>
      </x:c>
      <x:c r="I167" s="437"/>
      <x:c r="J167" s="437"/>
      <x:c r="K167" s="437" t="str">
        <x:v>待同名检索｜待建档</x:v>
      </x:c>
    </x:row>
    <x:row r="168" ht="22.5" customHeight="1">
      <x:c r="A168" s="24"/>
      <x:c r="B168" s="24"/>
      <x:c r="C168" s="25"/>
      <x:c r="D168" s="24" t="str">
        <x:v>赤水</x:v>
      </x:c>
      <x:c r="E168" s="24" t="str">
        <x:v>水系</x:v>
      </x:c>
      <x:c r="F168" s="12"/>
      <x:c r="G168" s="26"/>
      <x:c r="H168" s="27" t="e">
        <x:f>HYPERLINK("#'山海经原文总库'!A3","↩ 返回目录")</x:f>
        <x:v>HYPERLINK is not implemented. linkLocation=#'山海经原文总库'!A3, friendlyName=↩ 返回目录</x:v>
      </x:c>
      <x:c r="I168" s="437"/>
      <x:c r="J168" s="437"/>
      <x:c r="K168" s="437" t="str">
        <x:v>待同名检索｜待建档</x:v>
      </x:c>
    </x:row>
    <x:row r="169" ht="48" customHeight="1">
      <x:c r="A169" s="24" t="str">
        <x:v>SHJ-02-032</x:v>
      </x:c>
      <x:c r="B169" s="24" t="str">
        <x:v>卷二 《西山經》</x:v>
      </x:c>
      <x:c r="C169" s="25" t="str">
        <x:v>又西三百里，曰中皇之山，其上多黃金，其下多蕙、棠。</x:v>
      </x:c>
      <x:c r="D169" s="24" t="str">
        <x:v>中皇之山</x:v>
      </x:c>
      <x:c r="E169" s="24" t="str">
        <x:v>山</x:v>
      </x:c>
      <x:c r="F169" s="12"/>
      <x:c r="G169" s="26" t="str">
        <x:v>标点与分段参考《山海经校注》；正文对读：https://ctext.org/shan-hai-jing/xi-shan-jing/zh</x:v>
      </x:c>
      <x:c r="H169" s="27" t="e">
        <x:f>HYPERLINK("#'山海经原文总库'!A3","↩ 返回目录")</x:f>
        <x:v>HYPERLINK is not implemented. linkLocation=#'山海经原文总库'!A3, friendlyName=↩ 返回目录</x:v>
      </x:c>
      <x:c r="I169" s="437"/>
      <x:c r="J169" s="437"/>
      <x:c r="K169" s="437" t="str">
        <x:v>待同名检索｜待建档</x:v>
      </x:c>
    </x:row>
    <x:row r="170" ht="48" customHeight="1">
      <x:c r="A170" s="24" t="str">
        <x:v>SHJ-02-033</x:v>
      </x:c>
      <x:c r="B170" s="24" t="str">
        <x:v>卷二 《西山經》</x:v>
      </x:c>
      <x:c r="C170" s="25" t="str">
        <x:v>又西三百五十里，曰西皇之山，其陽多金，其陰多鐵，其獸多麋鹿、（牛乍）牛。</x:v>
      </x:c>
      <x:c r="D170" s="24" t="str">
        <x:v>皇之山</x:v>
      </x:c>
      <x:c r="E170" s="24" t="str">
        <x:v>山</x:v>
      </x:c>
      <x:c r="F170" s="12"/>
      <x:c r="G170" s="26" t="str">
        <x:v>标点与分段参考《山海经校注》；正文对读：https://ctext.org/shan-hai-jing/xi-shan-jing/zh</x:v>
      </x:c>
      <x:c r="H170" s="27" t="e">
        <x:f>HYPERLINK("#'山海经原文总库'!A3","↩ 返回目录")</x:f>
        <x:v>HYPERLINK is not implemented. linkLocation=#'山海经原文总库'!A3, friendlyName=↩ 返回目录</x:v>
      </x:c>
      <x:c r="I170" s="437"/>
      <x:c r="J170" s="437"/>
      <x:c r="K170" s="437" t="str">
        <x:v>待同名检索｜待建档</x:v>
      </x:c>
    </x:row>
    <x:row r="171" ht="48" customHeight="1">
      <x:c r="A171" s="24" t="str">
        <x:v>SHJ-02-034</x:v>
      </x:c>
      <x:c r="B171" s="24" t="str">
        <x:v>卷二 《西山經》</x:v>
      </x:c>
      <x:c r="C171" s="25" t="str">
        <x:v>又西三百五十里，曰萊山，其木多檀楮，其鳥多羅羅，是食人。</x:v>
      </x:c>
      <x:c r="D171" s="24" t="str">
        <x:v>萊山</x:v>
      </x:c>
      <x:c r="E171" s="24" t="str">
        <x:v>山</x:v>
      </x:c>
      <x:c r="F171" s="12"/>
      <x:c r="G171" s="26" t="str">
        <x:v>标点与分段参考《山海经校注》；正文对读：https://ctext.org/shan-hai-jing/xi-shan-jing/zh</x:v>
      </x:c>
      <x:c r="H171" s="27" t="e">
        <x:f>HYPERLINK("#'山海经原文总库'!A3","↩ 返回目录")</x:f>
        <x:v>HYPERLINK is not implemented. linkLocation=#'山海经原文总库'!A3, friendlyName=↩ 返回目录</x:v>
      </x:c>
      <x:c r="I171" s="437"/>
      <x:c r="J171" s="437"/>
      <x:c r="K171" s="437" t="str">
        <x:v>待同名检索｜待建档</x:v>
      </x:c>
    </x:row>
    <x:row r="172" ht="64.5" customHeight="1">
      <x:c r="A172" s="24" t="str">
        <x:v>SHJ-02-035</x:v>
      </x:c>
      <x:c r="B172" s="24" t="str">
        <x:v>卷二 《西山經》</x:v>
      </x:c>
      <x:c r="C172" s="25" t="str">
        <x:v>凡西次二經之首，自鈐山至於萊山，凡十七山，四千一百四十里。其十神者，皆人面而馬身。其七神皆人面牛身，四足而一臂，操杖以行：是為飛獸之神；其祠之，毛用少牢，白菅為席。其十輩神者，其祠之，毛一雄雞，鈐而不糈；毛採。</x:v>
      </x:c>
      <x:c r="D172" s="24" t="str">
        <x:v>鈐山至於萊山</x:v>
      </x:c>
      <x:c r="E172" s="24" t="str">
        <x:v>山</x:v>
      </x:c>
      <x:c r="F172" s="12"/>
      <x:c r="G172" s="26" t="str">
        <x:v>标点与分段参考《山海经校注》；正文对读：https://ctext.org/shan-hai-jing/xi-shan-jing/zh</x:v>
      </x:c>
      <x:c r="H172" s="27" t="e">
        <x:f>HYPERLINK("#'山海经原文总库'!A3","↩ 返回目录")</x:f>
        <x:v>HYPERLINK is not implemented. linkLocation=#'山海经原文总库'!A3, friendlyName=↩ 返回目录</x:v>
      </x:c>
      <x:c r="I172" s="437"/>
      <x:c r="J172" s="437"/>
      <x:c r="K172" s="437" t="str">
        <x:v>待同名检索｜待建档</x:v>
      </x:c>
    </x:row>
    <x:row r="173" ht="64.5" customHeight="1">
      <x:c r="A173" s="24" t="str">
        <x:v>SHJ-02-036-1</x:v>
      </x:c>
      <x:c r="B173" s="24" t="str">
        <x:v>卷二 《西山經》</x:v>
      </x:c>
      <x:c r="C173" s="25" t="str">
        <x:v>西次三經之首，曰崇吾之山，在河之南，北望冢遂，南望瑤（去王）之澤，西望帝之搏獸之丘，東望（蟲焉）淵。有木焉，員葉而白柎，赤華而黑理，其實如枳，食之宜子孫。有獸焉，其狀如禺而文臂，豹虎而善投，名曰舉父。有鳥焉，其狀如鳧，而一翼一目，相得乃飛，名曰蠻蠻，見則天下大水。</x:v>
      </x:c>
      <x:c r="D173" s="24" t="str">
        <x:v>崇吾之山</x:v>
      </x:c>
      <x:c r="E173" s="24" t="str">
        <x:v>山</x:v>
      </x:c>
      <x:c r="F173" s="12"/>
      <x:c r="G173" s="26" t="str">
        <x:v>标点与分段参考《山海经校注》；正文对读：https://ctext.org/shan-hai-jing/xi-shan-jing/zh</x:v>
      </x:c>
      <x:c r="H173" s="27" t="e">
        <x:f>HYPERLINK("#'山海经原文总库'!A3","↩ 返回目录")</x:f>
        <x:v>HYPERLINK is not implemented. linkLocation=#'山海经原文总库'!A3, friendlyName=↩ 返回目录</x:v>
      </x:c>
      <x:c r="I173" s="437"/>
      <x:c r="J173" s="437"/>
      <x:c r="K173" s="437" t="str">
        <x:v>待同名检索｜待建档</x:v>
      </x:c>
    </x:row>
    <x:row r="174" ht="22.5" customHeight="1">
      <x:c r="A174" s="24"/>
      <x:c r="B174" s="24"/>
      <x:c r="C174" s="25"/>
      <x:c r="D174" s="24" t="str">
        <x:v>之澤</x:v>
      </x:c>
      <x:c r="E174" s="24" t="str">
        <x:v>澤／淵</x:v>
      </x:c>
      <x:c r="F174" s="12"/>
      <x:c r="G174" s="26"/>
      <x:c r="H174" s="27" t="e">
        <x:f>HYPERLINK("#'山海经原文总库'!A3","↩ 返回目录")</x:f>
        <x:v>HYPERLINK is not implemented. linkLocation=#'山海经原文总库'!A3, friendlyName=↩ 返回目录</x:v>
      </x:c>
      <x:c r="I174" s="437"/>
      <x:c r="J174" s="437"/>
      <x:c r="K174" s="437" t="str">
        <x:v>待同名检索｜待建档</x:v>
      </x:c>
    </x:row>
    <x:row r="175" ht="22.5" customHeight="1">
      <x:c r="A175" s="24"/>
      <x:c r="B175" s="24"/>
      <x:c r="C175" s="25"/>
      <x:c r="D175" s="24" t="str">
        <x:v>冢遂</x:v>
      </x:c>
      <x:c r="E175" s="24" t="str">
        <x:v>地理名稱</x:v>
      </x:c>
      <x:c r="F175" s="12"/>
      <x:c r="G175" s="26"/>
      <x:c r="H175" s="27" t="e">
        <x:f>HYPERLINK("#'山海经原文总库'!A3","↩ 返回目录")</x:f>
        <x:v>HYPERLINK is not implemented. linkLocation=#'山海经原文总库'!A3, friendlyName=↩ 返回目录</x:v>
      </x:c>
      <x:c r="I175" s="437"/>
      <x:c r="J175" s="437"/>
      <x:c r="K175" s="437" t="str">
        <x:v>待同名检索｜待建档</x:v>
      </x:c>
    </x:row>
    <x:row r="176" ht="22.5" customHeight="1">
      <x:c r="A176" s="24"/>
      <x:c r="B176" s="24"/>
      <x:c r="C176" s="25"/>
      <x:c r="D176" s="24" t="str">
        <x:v>帝之搏獸之丘</x:v>
      </x:c>
      <x:c r="E176" s="24" t="str">
        <x:v>地理名稱</x:v>
      </x:c>
      <x:c r="F176" s="12"/>
      <x:c r="G176" s="26"/>
      <x:c r="H176" s="27" t="e">
        <x:f>HYPERLINK("#'山海经原文总库'!A3","↩ 返回目录")</x:f>
        <x:v>HYPERLINK is not implemented. linkLocation=#'山海经原文总库'!A3, friendlyName=↩ 返回目录</x:v>
      </x:c>
      <x:c r="I176" s="437"/>
      <x:c r="J176" s="437"/>
      <x:c r="K176" s="437" t="str">
        <x:v>待同名检索｜待建档</x:v>
      </x:c>
    </x:row>
    <x:row r="177" ht="22.5" customHeight="1">
      <x:c r="A177" s="24"/>
      <x:c r="B177" s="24"/>
      <x:c r="C177" s="25"/>
      <x:c r="D177" s="24" t="str">
        <x:v>獸之丘東望䗡淵</x:v>
      </x:c>
      <x:c r="E177" s="24" t="str">
        <x:v>澤／淵</x:v>
      </x:c>
      <x:c r="F177" s="12"/>
      <x:c r="G177" s="26"/>
      <x:c r="H177" s="27" t="e">
        <x:f>HYPERLINK("#'山海经原文总库'!A3","↩ 返回目录")</x:f>
        <x:v>HYPERLINK is not implemented. linkLocation=#'山海经原文总库'!A3, friendlyName=↩ 返回目录</x:v>
      </x:c>
      <x:c r="I177" s="437"/>
      <x:c r="J177" s="437"/>
      <x:c r="K177" s="437" t="str">
        <x:v>待同名检索｜待建档</x:v>
      </x:c>
    </x:row>
    <x:row r="178" ht="22.5" customHeight="1">
      <x:c r="A178" s="24"/>
      <x:c r="B178" s="24"/>
      <x:c r="C178" s="25"/>
      <x:c r="D178" s="24" t="str">
        <x:v>泚水</x:v>
      </x:c>
      <x:c r="E178" s="24" t="str">
        <x:v>水系</x:v>
      </x:c>
      <x:c r="F178" s="12"/>
      <x:c r="G178" s="26"/>
      <x:c r="H178" s="27" t="e">
        <x:f>HYPERLINK("#'山海经原文总库'!A3","↩ 返回目录")</x:f>
        <x:v>HYPERLINK is not implemented. linkLocation=#'山海经原文总库'!A3, friendlyName=↩ 返回目录</x:v>
      </x:c>
      <x:c r="I178" s="437"/>
      <x:c r="J178" s="437"/>
      <x:c r="K178" s="437" t="str">
        <x:v>待同名检索｜待建档</x:v>
      </x:c>
    </x:row>
    <x:row r="179" ht="22.5" customHeight="1">
      <x:c r="A179" s="24"/>
      <x:c r="B179" s="24"/>
      <x:c r="C179" s="25"/>
      <x:c r="D179" s="24" t="str">
        <x:v>長沙之山</x:v>
      </x:c>
      <x:c r="E179" s="24" t="str">
        <x:v>山</x:v>
      </x:c>
      <x:c r="F179" s="12"/>
      <x:c r="G179" s="26"/>
      <x:c r="H179" s="27" t="e">
        <x:f>HYPERLINK("#'山海经原文总库'!A3","↩ 返回目录")</x:f>
        <x:v>HYPERLINK is not implemented. linkLocation=#'山海经原文总库'!A3, friendlyName=↩ 返回目录</x:v>
      </x:c>
      <x:c r="I179" s="437"/>
      <x:c r="J179" s="437"/>
      <x:c r="K179" s="437" t="str">
        <x:v>待同名检索｜待建档</x:v>
      </x:c>
    </x:row>
    <x:row r="180" ht="22.5" customHeight="1">
      <x:c r="A180" s="24"/>
      <x:c r="B180" s="24"/>
      <x:c r="C180" s="25"/>
      <x:c r="D180" s="24" t="str">
        <x:v>峚山</x:v>
      </x:c>
      <x:c r="E180" s="24" t="str">
        <x:v>山</x:v>
      </x:c>
      <x:c r="F180" s="12"/>
      <x:c r="G180" s="26"/>
      <x:c r="H180" s="27" t="e">
        <x:f>HYPERLINK("#'山海经原文总库'!A3","↩ 返回目录")</x:f>
        <x:v>HYPERLINK is not implemented. linkLocation=#'山海经原文总库'!A3, friendlyName=↩ 返回目录</x:v>
      </x:c>
      <x:c r="I180" s="437"/>
      <x:c r="J180" s="437"/>
      <x:c r="K180" s="437" t="str">
        <x:v>待同名检索｜待建档</x:v>
      </x:c>
    </x:row>
    <x:row r="181" ht="48" customHeight="1">
      <x:c r="A181" s="24" t="str">
        <x:v>SHJ-02-036-2</x:v>
      </x:c>
      <x:c r="B181" s="24" t="str">
        <x:v>卷二 《西山經》</x:v>
      </x:c>
      <x:c r="C181" s="25" t="str">
        <x:v>西北三百里，曰長沙之山。泚水出焉，北流注於泑水，無草木，多青雄黃。</x:v>
      </x:c>
      <x:c r="D181" s="24" t="str">
        <x:v>長沙之山</x:v>
      </x:c>
      <x:c r="E181" s="24" t="str">
        <x:v>山</x:v>
      </x:c>
      <x:c r="F181" s="12"/>
      <x:c r="G181" s="26" t="str">
        <x:v>标点与分段参考《山海经校注》；正文对读：https://ctext.org/shan-hai-jing/xi-shan-jing/zh</x:v>
      </x:c>
      <x:c r="H181" s="27" t="e">
        <x:f>HYPERLINK("#'山海经原文总库'!A3","↩ 返回目录")</x:f>
        <x:v>HYPERLINK is not implemented. linkLocation=#'山海经原文总库'!A3, friendlyName=↩ 返回目录</x:v>
      </x:c>
      <x:c r="I181" s="437"/>
      <x:c r="J181" s="437"/>
      <x:c r="K181" s="437" t="str">
        <x:v>待同名检索｜待建档</x:v>
      </x:c>
    </x:row>
    <x:row r="182" ht="22.5" customHeight="1">
      <x:c r="A182" s="24"/>
      <x:c r="B182" s="24"/>
      <x:c r="C182" s="25"/>
      <x:c r="D182" s="24" t="str">
        <x:v>泚水</x:v>
      </x:c>
      <x:c r="E182" s="24" t="str">
        <x:v>水系</x:v>
      </x:c>
      <x:c r="F182" s="12"/>
      <x:c r="G182" s="26"/>
      <x:c r="H182" s="27" t="e">
        <x:f>HYPERLINK("#'山海经原文总库'!A3","↩ 返回目录")</x:f>
        <x:v>HYPERLINK is not implemented. linkLocation=#'山海经原文总库'!A3, friendlyName=↩ 返回目录</x:v>
      </x:c>
      <x:c r="I182" s="437"/>
      <x:c r="J182" s="437"/>
      <x:c r="K182" s="437" t="str">
        <x:v>待同名检索｜待建档</x:v>
      </x:c>
    </x:row>
    <x:row r="183" ht="22.5" customHeight="1">
      <x:c r="A183" s="24"/>
      <x:c r="B183" s="24"/>
      <x:c r="C183" s="25"/>
      <x:c r="D183" s="24" t="str">
        <x:v>泑水</x:v>
      </x:c>
      <x:c r="E183" s="24" t="str">
        <x:v>水系</x:v>
      </x:c>
      <x:c r="F183" s="12"/>
      <x:c r="G183" s="26"/>
      <x:c r="H183" s="27" t="e">
        <x:f>HYPERLINK("#'山海经原文总库'!A3","↩ 返回目录")</x:f>
        <x:v>HYPERLINK is not implemented. linkLocation=#'山海经原文总库'!A3, friendlyName=↩ 返回目录</x:v>
      </x:c>
      <x:c r="I183" s="437"/>
      <x:c r="J183" s="437"/>
      <x:c r="K183" s="437" t="str">
        <x:v>待同名检索｜待建档</x:v>
      </x:c>
    </x:row>
    <x:row r="184" ht="48" customHeight="1">
      <x:c r="A184" s="24" t="str">
        <x:v>SHJ-02-036-3</x:v>
      </x:c>
      <x:c r="B184" s="24" t="str">
        <x:v>卷二 《西山經》</x:v>
      </x:c>
      <x:c r="C184" s="25" t="str">
        <x:v>又西北三百七十里，曰不周之山。北望諸毗之山，臨彼岳崇之山，東望泑澤，河水所潛也，其原渾渾泡泡。爰有嘉果，其實如桃，其葉如棗，黃華而赤柎，食之不勞。</x:v>
      </x:c>
      <x:c r="D184" s="24" t="str">
        <x:v>不周之山</x:v>
      </x:c>
      <x:c r="E184" s="24" t="str">
        <x:v>山</x:v>
      </x:c>
      <x:c r="F184" s="12"/>
      <x:c r="G184" s="26" t="str">
        <x:v>标点与分段参考《山海经校注》；正文对读：https://ctext.org/shan-hai-jing/xi-shan-jing/zh</x:v>
      </x:c>
      <x:c r="H184" s="27" t="e">
        <x:f>HYPERLINK("#'山海经原文总库'!A3","↩ 返回目录")</x:f>
        <x:v>HYPERLINK is not implemented. linkLocation=#'山海经原文总库'!A3, friendlyName=↩ 返回目录</x:v>
      </x:c>
      <x:c r="I184" s="437"/>
      <x:c r="J184" s="437"/>
      <x:c r="K184" s="437" t="str">
        <x:v>待同名检索｜待建档</x:v>
      </x:c>
    </x:row>
    <x:row r="185" ht="22.5" customHeight="1">
      <x:c r="A185" s="24"/>
      <x:c r="B185" s="24"/>
      <x:c r="C185" s="25"/>
      <x:c r="D185" s="24" t="str">
        <x:v>泑澤</x:v>
      </x:c>
      <x:c r="E185" s="24" t="str">
        <x:v>澤／淵</x:v>
      </x:c>
      <x:c r="F185" s="12"/>
      <x:c r="G185" s="26"/>
      <x:c r="H185" s="27" t="e">
        <x:f>HYPERLINK("#'山海经原文总库'!A3","↩ 返回目录")</x:f>
        <x:v>HYPERLINK is not implemented. linkLocation=#'山海经原文总库'!A3, friendlyName=↩ 返回目录</x:v>
      </x:c>
      <x:c r="I185" s="437"/>
      <x:c r="J185" s="437"/>
      <x:c r="K185" s="437" t="str">
        <x:v>待同名检索｜待建档</x:v>
      </x:c>
    </x:row>
    <x:row r="186" ht="22.5" customHeight="1">
      <x:c r="A186" s="24"/>
      <x:c r="B186" s="24"/>
      <x:c r="C186" s="25"/>
      <x:c r="D186" s="24" t="str">
        <x:v>諸毗之山</x:v>
      </x:c>
      <x:c r="E186" s="24" t="str">
        <x:v>地理名稱</x:v>
      </x:c>
      <x:c r="F186" s="12"/>
      <x:c r="G186" s="26"/>
      <x:c r="H186" s="27" t="e">
        <x:f>HYPERLINK("#'山海经原文总库'!A3","↩ 返回目录")</x:f>
        <x:v>HYPERLINK is not implemented. linkLocation=#'山海经原文总库'!A3, friendlyName=↩ 返回目录</x:v>
      </x:c>
      <x:c r="I186" s="437"/>
      <x:c r="J186" s="437"/>
      <x:c r="K186" s="437" t="str">
        <x:v>待同名检索｜待建档</x:v>
      </x:c>
    </x:row>
    <x:row r="187" ht="82.5" customHeight="1">
      <x:c r="A187" s="24" t="str">
        <x:v>SHJ-02-037-1</x:v>
      </x:c>
      <x:c r="B187" s="24" t="str">
        <x:v>卷二 《西山經》</x:v>
      </x:c>
      <x:c r="C187" s="25" t="str">
        <x:v>又西北四百二十里，曰峚山，其上多丹木，員葉而赤莖，黃華而赤實，其味如飴，食之不飢。丹水出焉，西流注於稷澤，其中多白玉，是有玉膏，其原沸沸湯湯，黃帝是食是饗。是生玄玉。玉膏所出，以灌丹木。丹木五歲，五色乃清，五味乃馨。黃帝乃取峚山之玉榮，而投之鍾山之陽。瑾瑜之玉為良，堅粟精密，濁澤有而光。五色發作，以和柔剛。天地鬼神，是食是饗；君子服之，以御不祥。自峚山至於鍾山，四百六十里，其閒盡澤也。是多奇鳥、怪獸、奇魚，皆異物焉。</x:v>
      </x:c>
      <x:c r="D187" s="24" t="str">
        <x:v>峚山</x:v>
      </x:c>
      <x:c r="E187" s="24" t="str">
        <x:v>山</x:v>
      </x:c>
      <x:c r="F187" s="12"/>
      <x:c r="G187" s="26" t="str">
        <x:v>标点与分段参考《山海经校注》；正文对读：https://ctext.org/shan-hai-jing/xi-shan-jing/zh</x:v>
      </x:c>
      <x:c r="H187" s="27" t="e">
        <x:f>HYPERLINK("#'山海经原文总库'!A3","↩ 返回目录")</x:f>
        <x:v>HYPERLINK is not implemented. linkLocation=#'山海经原文总库'!A3, friendlyName=↩ 返回目录</x:v>
      </x:c>
      <x:c r="I187" s="437"/>
      <x:c r="J187" s="437"/>
      <x:c r="K187" s="437" t="str">
        <x:v>待同名检索｜待建档</x:v>
      </x:c>
    </x:row>
    <x:row r="188" ht="22.5" customHeight="1">
      <x:c r="A188" s="24"/>
      <x:c r="B188" s="24"/>
      <x:c r="C188" s="25"/>
      <x:c r="D188" s="24" t="str">
        <x:v>峚山至於鍾山</x:v>
      </x:c>
      <x:c r="E188" s="24" t="str">
        <x:v>山</x:v>
      </x:c>
      <x:c r="F188" s="12"/>
      <x:c r="G188" s="26"/>
      <x:c r="H188" s="27" t="e">
        <x:f>HYPERLINK("#'山海经原文总库'!A3","↩ 返回目录")</x:f>
        <x:v>HYPERLINK is not implemented. linkLocation=#'山海经原文总库'!A3, friendlyName=↩ 返回目录</x:v>
      </x:c>
      <x:c r="I188" s="437"/>
      <x:c r="J188" s="437"/>
      <x:c r="K188" s="437" t="str">
        <x:v>待同名检索｜待建档</x:v>
      </x:c>
    </x:row>
    <x:row r="189" ht="22.5" customHeight="1">
      <x:c r="A189" s="24"/>
      <x:c r="B189" s="24"/>
      <x:c r="C189" s="25"/>
      <x:c r="D189" s="24" t="str">
        <x:v>丹水</x:v>
      </x:c>
      <x:c r="E189" s="24" t="str">
        <x:v>水系</x:v>
      </x:c>
      <x:c r="F189" s="12"/>
      <x:c r="G189" s="26"/>
      <x:c r="H189" s="27" t="e">
        <x:f>HYPERLINK("#'山海经原文总库'!A3","↩ 返回目录")</x:f>
        <x:v>HYPERLINK is not implemented. linkLocation=#'山海经原文总库'!A3, friendlyName=↩ 返回目录</x:v>
      </x:c>
      <x:c r="I189" s="437"/>
      <x:c r="J189" s="437"/>
      <x:c r="K189" s="437" t="str">
        <x:v>待同名检索｜待建档</x:v>
      </x:c>
    </x:row>
    <x:row r="190" ht="22.5" customHeight="1">
      <x:c r="A190" s="24"/>
      <x:c r="B190" s="24"/>
      <x:c r="C190" s="25"/>
      <x:c r="D190" s="24" t="str">
        <x:v>稷澤</x:v>
      </x:c>
      <x:c r="E190" s="24" t="str">
        <x:v>水系</x:v>
      </x:c>
      <x:c r="F190" s="12"/>
      <x:c r="G190" s="26"/>
      <x:c r="H190" s="27" t="e">
        <x:f>HYPERLINK("#'山海经原文总库'!A3","↩ 返回目录")</x:f>
        <x:v>HYPERLINK is not implemented. linkLocation=#'山海经原文总库'!A3, friendlyName=↩ 返回目录</x:v>
      </x:c>
      <x:c r="I190" s="437"/>
      <x:c r="J190" s="437"/>
      <x:c r="K190" s="437" t="str">
        <x:v>待同名检索｜待建档</x:v>
      </x:c>
    </x:row>
    <x:row r="191" ht="22.5" customHeight="1">
      <x:c r="A191" s="24"/>
      <x:c r="B191" s="24"/>
      <x:c r="C191" s="25"/>
      <x:c r="D191" s="24" t="str">
        <x:v>濁澤</x:v>
      </x:c>
      <x:c r="E191" s="24" t="str">
        <x:v>澤／淵</x:v>
      </x:c>
      <x:c r="F191" s="12"/>
      <x:c r="G191" s="26"/>
      <x:c r="H191" s="27" t="e">
        <x:f>HYPERLINK("#'山海经原文总库'!A3","↩ 返回目录")</x:f>
        <x:v>HYPERLINK is not implemented. linkLocation=#'山海经原文总库'!A3, friendlyName=↩ 返回目录</x:v>
      </x:c>
      <x:c r="I191" s="437"/>
      <x:c r="J191" s="437"/>
      <x:c r="K191" s="437" t="str">
        <x:v>待同名检索｜待建档</x:v>
      </x:c>
    </x:row>
    <x:row r="192" ht="22.5" customHeight="1">
      <x:c r="A192" s="24"/>
      <x:c r="B192" s="24"/>
      <x:c r="C192" s="25"/>
      <x:c r="D192" s="24" t="str">
        <x:v>鍾山</x:v>
      </x:c>
      <x:c r="E192" s="24" t="str">
        <x:v>山</x:v>
      </x:c>
      <x:c r="F192" s="12"/>
      <x:c r="G192" s="26"/>
      <x:c r="H192" s="27" t="e">
        <x:f>HYPERLINK("#'山海经原文总库'!A3","↩ 返回目录")</x:f>
        <x:v>HYPERLINK is not implemented. linkLocation=#'山海经原文总库'!A3, friendlyName=↩ 返回目录</x:v>
      </x:c>
      <x:c r="I192" s="437"/>
      <x:c r="J192" s="437"/>
      <x:c r="K192" s="437" t="str">
        <x:v>待同名检索｜待建档</x:v>
      </x:c>
    </x:row>
    <x:row r="193" ht="64.5" customHeight="1">
      <x:c r="A193" s="24" t="str">
        <x:v>SHJ-02-037-2</x:v>
      </x:c>
      <x:c r="B193" s="24" t="str">
        <x:v>卷二 《西山經》</x:v>
      </x:c>
      <x:c r="C193" s="25" t="str">
        <x:v>又西北四百二十里，曰鍾山，其子曰鼓，其狀如人面而龍身，是與欽（丕鳥）殺葆江於崑崙之陽，帝乃戮之鍾山之東曰瑤（王改山）崖，欽（丕鳥）化為大鶚，其狀如雕而黑文白首，赤喙而虎爪，其音如晨鵠，見則有大兵；鼓亦化為鵔鳥，其狀如鴟，赤足而直喙，黃文而白首，其音如鵠，見則其邑大旱。</x:v>
      </x:c>
      <x:c r="D193" s="24" t="str">
        <x:v>鍾山</x:v>
      </x:c>
      <x:c r="E193" s="24" t="str">
        <x:v>山</x:v>
      </x:c>
      <x:c r="F193" s="12"/>
      <x:c r="G193" s="26" t="str">
        <x:v>标点与分段参考《山海经校注》；正文对读：https://ctext.org/shan-hai-jing/xi-shan-jing/zh</x:v>
      </x:c>
      <x:c r="H193" s="27" t="e">
        <x:f>HYPERLINK("#'山海经原文总库'!A3","↩ 返回目录")</x:f>
        <x:v>HYPERLINK is not implemented. linkLocation=#'山海经原文总库'!A3, friendlyName=↩ 返回目录</x:v>
      </x:c>
      <x:c r="I193" s="437"/>
      <x:c r="J193" s="437"/>
      <x:c r="K193" s="437" t="str">
        <x:v>待同名检索｜待建档</x:v>
      </x:c>
    </x:row>
    <x:row r="194" ht="48" customHeight="1">
      <x:c r="A194" s="24" t="str">
        <x:v>SHJ-02-038</x:v>
      </x:c>
      <x:c r="B194" s="24" t="str">
        <x:v>卷二 《西山經》</x:v>
      </x:c>
      <x:c r="C194" s="25" t="str">
        <x:v>又西百八十里，曰泰器之山。觀水出焉，西流注於流沙。是多文鰩魚，狀如鯉魚，魚身而鳥翼，蒼文而白首，赤喙，常行西海，游於東海，以夜飛。其音如鸞雞，其味酸甘，食之已狂，見則天下大穰。</x:v>
      </x:c>
      <x:c r="D194" s="24" t="str">
        <x:v>泰器之山</x:v>
      </x:c>
      <x:c r="E194" s="24" t="str">
        <x:v>山</x:v>
      </x:c>
      <x:c r="F194" s="12"/>
      <x:c r="G194" s="26" t="str">
        <x:v>标点与分段参考《山海经校注》；正文对读：https://ctext.org/shan-hai-jing/xi-shan-jing/zh</x:v>
      </x:c>
      <x:c r="H194" s="27" t="e">
        <x:f>HYPERLINK("#'山海经原文总库'!A3","↩ 返回目录")</x:f>
        <x:v>HYPERLINK is not implemented. linkLocation=#'山海经原文总库'!A3, friendlyName=↩ 返回目录</x:v>
      </x:c>
      <x:c r="I194" s="437"/>
      <x:c r="J194" s="437"/>
      <x:c r="K194" s="437" t="str">
        <x:v>待同名检索｜待建档</x:v>
      </x:c>
    </x:row>
    <x:row r="195" ht="22.5" customHeight="1">
      <x:c r="A195" s="24"/>
      <x:c r="B195" s="24"/>
      <x:c r="C195" s="25"/>
      <x:c r="D195" s="24" t="str">
        <x:v>觀水</x:v>
      </x:c>
      <x:c r="E195" s="24" t="str">
        <x:v>水系</x:v>
      </x:c>
      <x:c r="F195" s="12"/>
      <x:c r="G195" s="26"/>
      <x:c r="H195" s="27" t="e">
        <x:f>HYPERLINK("#'山海经原文总库'!A3","↩ 返回目录")</x:f>
        <x:v>HYPERLINK is not implemented. linkLocation=#'山海经原文总库'!A3, friendlyName=↩ 返回目录</x:v>
      </x:c>
      <x:c r="I195" s="437"/>
      <x:c r="J195" s="437"/>
      <x:c r="K195" s="437" t="str">
        <x:v>待同名检索｜待建档</x:v>
      </x:c>
    </x:row>
    <x:row r="196" ht="22.5" customHeight="1">
      <x:c r="A196" s="24"/>
      <x:c r="B196" s="24"/>
      <x:c r="C196" s="25"/>
      <x:c r="D196" s="24" t="str">
        <x:v>流沙</x:v>
      </x:c>
      <x:c r="E196" s="24" t="str">
        <x:v>地理名稱</x:v>
      </x:c>
      <x:c r="F196" s="12"/>
      <x:c r="G196" s="26"/>
      <x:c r="H196" s="27" t="e">
        <x:f>HYPERLINK("#'山海经原文总库'!A3","↩ 返回目录")</x:f>
        <x:v>HYPERLINK is not implemented. linkLocation=#'山海经原文总库'!A3, friendlyName=↩ 返回目录</x:v>
      </x:c>
      <x:c r="I196" s="437"/>
      <x:c r="J196" s="437"/>
      <x:c r="K196" s="437" t="str">
        <x:v>待同名检索｜待建档</x:v>
      </x:c>
    </x:row>
    <x:row r="197" ht="22.5" customHeight="1">
      <x:c r="A197" s="24"/>
      <x:c r="B197" s="24"/>
      <x:c r="C197" s="25"/>
      <x:c r="D197" s="24" t="str">
        <x:v>東海</x:v>
      </x:c>
      <x:c r="E197" s="24" t="str">
        <x:v>海域</x:v>
      </x:c>
      <x:c r="F197" s="12"/>
      <x:c r="G197" s="26"/>
      <x:c r="H197" s="27" t="e">
        <x:f>HYPERLINK("#'山海经原文总库'!A3","↩ 返回目录")</x:f>
        <x:v>HYPERLINK is not implemented. linkLocation=#'山海经原文总库'!A3, friendlyName=↩ 返回目录</x:v>
      </x:c>
      <x:c r="I197" s="437"/>
      <x:c r="J197" s="437"/>
      <x:c r="K197" s="437" t="str">
        <x:v>待同名检索｜待建档</x:v>
      </x:c>
    </x:row>
    <x:row r="198" ht="22.5" customHeight="1">
      <x:c r="A198" s="24"/>
      <x:c r="B198" s="24"/>
      <x:c r="C198" s="25"/>
      <x:c r="D198" s="24" t="str">
        <x:v>西海</x:v>
      </x:c>
      <x:c r="E198" s="24" t="str">
        <x:v>海域</x:v>
      </x:c>
      <x:c r="F198" s="12"/>
      <x:c r="G198" s="26"/>
      <x:c r="H198" s="27" t="e">
        <x:f>HYPERLINK("#'山海经原文总库'!A3","↩ 返回目录")</x:f>
        <x:v>HYPERLINK is not implemented. linkLocation=#'山海经原文总库'!A3, friendlyName=↩ 返回目录</x:v>
      </x:c>
      <x:c r="I198" s="437"/>
      <x:c r="J198" s="437"/>
      <x:c r="K198" s="437" t="str">
        <x:v>待同名检索｜待建档</x:v>
      </x:c>
    </x:row>
    <x:row r="199" ht="48" customHeight="1">
      <x:c r="A199" s="24" t="str">
        <x:v>SHJ-02-039</x:v>
      </x:c>
      <x:c r="B199" s="24" t="str">
        <x:v>卷二 《西山經》</x:v>
      </x:c>
      <x:c r="C199" s="25" t="str">
        <x:v>又西三百二十里，曰槐江之山，丘時。</x:v>
      </x:c>
      <x:c r="D199" s="24" t="str">
        <x:v>槐江之山</x:v>
      </x:c>
      <x:c r="E199" s="24" t="str">
        <x:v>山</x:v>
      </x:c>
      <x:c r="F199" s="12"/>
      <x:c r="G199" s="26" t="str">
        <x:v>标点与分段参考《山海经校注》；正文对读：https://ctext.org/shan-hai-jing/xi-shan-jing/zh</x:v>
      </x:c>
      <x:c r="H199" s="27" t="e">
        <x:f>HYPERLINK("#'山海经原文总库'!A3","↩ 返回目录")</x:f>
        <x:v>HYPERLINK is not implemented. linkLocation=#'山海经原文总库'!A3, friendlyName=↩ 返回目录</x:v>
      </x:c>
      <x:c r="I199" s="437"/>
      <x:c r="J199" s="437"/>
      <x:c r="K199" s="437" t="str">
        <x:v>重复／OCR残段：正文以SHJ-02-040槐江段为准，不参与地图建档</x:v>
      </x:c>
    </x:row>
    <x:row r="200" ht="82.5" customHeight="1">
      <x:c r="A200" s="24" t="str">
        <x:v>SHJ-02-040</x:v>
      </x:c>
      <x:c r="B200" s="24" t="str">
        <x:v>卷二 《西山經》</x:v>
      </x:c>
      <x:c r="C200" s="25" t="str">
        <x:v>又西三百二十里，曰槐江之山。丘時之水出焉，而北流注於泑水。其中多蠃母，其上多青雄黃，多藏琅玕、黃金、玉，其陽多丹粟，其陰多采黃金銀。實惟帝之平圃，神英招司之，其狀馬身而人面，虎文而鳥翼，徇於四海，其音如榴。南望崑崙，其光熊熊，其氣魂魂。西望大澤，后稷所潛也；其中多玉，其陰多榣木之有若。北望諸毗，槐鬼離侖居之，鷹鸇之所宅也。東望恆山四成，有窮鬼居之，各在一搏。爰有淫水，其清洛洛。有天神焉，其狀如牛，而八足二首馬尾，其音如勃皇，見則其邑有兵。</x:v>
      </x:c>
      <x:c r="D200" s="24" t="str">
        <x:v>槐江之山</x:v>
      </x:c>
      <x:c r="E200" s="24" t="str">
        <x:v>山</x:v>
      </x:c>
      <x:c r="F200" s="12" t="e">
        <x:f>HYPERLINK("#'都广核心区总表'!B115","→ 查看条目")</x:f>
        <x:v>HYPERLINK is not implemented. linkLocation=#'都广核心区总表'!B115, friendlyName=→ 查看条目</x:v>
      </x:c>
      <x:c r="G200" s="26" t="str">
        <x:v>标点与分段参考《山海经校注》；正文对读：https://ctext.org/shan-hai-jing/xi-shan-jing/zh</x:v>
      </x:c>
      <x:c r="H200" s="27" t="e">
        <x:f>HYPERLINK("#'山海经原文总库'!A3","↩ 返回目录")</x:f>
        <x:v>HYPERLINK is not implemented. linkLocation=#'山海经原文总库'!A3, friendlyName=↩ 返回目录</x:v>
      </x:c>
      <x:c r="I200" s="437" t="str">
        <x:v>是</x:v>
      </x:c>
      <x:c r="J200" s="437" t="str">
        <x:v>总表第115行｜X=-767.2里，Y=+932.8里（-7.7，+9.3格）｜槐江至昆仑西南400里关系锁定</x:v>
      </x:c>
      <x:c r="K200" s="437" t="str">
        <x:v>已检索｜已建档</x:v>
      </x:c>
    </x:row>
    <x:row r="201" ht="22.5" customHeight="1">
      <x:c r="A201" s="24"/>
      <x:c r="B201" s="24"/>
      <x:c r="C201" s="25"/>
      <x:c r="D201" s="24" t="str">
        <x:v>丘時之水</x:v>
      </x:c>
      <x:c r="E201" s="24" t="str">
        <x:v>水系</x:v>
      </x:c>
      <x:c r="F201" s="12"/>
      <x:c r="G201" s="26"/>
      <x:c r="H201" s="27" t="e">
        <x:f>HYPERLINK("#'山海经原文总库'!A3","↩ 返回目录")</x:f>
        <x:v>HYPERLINK is not implemented. linkLocation=#'山海经原文总库'!A3, friendlyName=↩ 返回目录</x:v>
      </x:c>
      <x:c r="I201" s="437"/>
      <x:c r="J201" s="437"/>
      <x:c r="K201" s="437" t="str">
        <x:v>待同名检索｜待建档</x:v>
      </x:c>
    </x:row>
    <x:row r="202" ht="22.5" customHeight="1">
      <x:c r="A202" s="24"/>
      <x:c r="B202" s="24"/>
      <x:c r="C202" s="25"/>
      <x:c r="D202" s="24" t="str">
        <x:v>泑水</x:v>
      </x:c>
      <x:c r="E202" s="24" t="str">
        <x:v>水系</x:v>
      </x:c>
      <x:c r="F202" s="12"/>
      <x:c r="G202" s="26"/>
      <x:c r="H202" s="27" t="e">
        <x:f>HYPERLINK("#'山海经原文总库'!A3","↩ 返回目录")</x:f>
        <x:v>HYPERLINK is not implemented. linkLocation=#'山海经原文总库'!A3, friendlyName=↩ 返回目录</x:v>
      </x:c>
      <x:c r="I202" s="437"/>
      <x:c r="J202" s="437"/>
      <x:c r="K202" s="437" t="str">
        <x:v>待同名检索｜待建档</x:v>
      </x:c>
    </x:row>
    <x:row r="203" ht="22.5" customHeight="1">
      <x:c r="A203" s="24"/>
      <x:c r="B203" s="24"/>
      <x:c r="C203" s="25"/>
      <x:c r="D203" s="24" t="str">
        <x:v>大澤</x:v>
      </x:c>
      <x:c r="E203" s="24" t="str">
        <x:v>澤／淵</x:v>
      </x:c>
      <x:c r="F203" s="12"/>
      <x:c r="G203" s="26"/>
      <x:c r="H203" s="27" t="e">
        <x:f>HYPERLINK("#'山海经原文总库'!A3","↩ 返回目录")</x:f>
        <x:v>HYPERLINK is not implemented. linkLocation=#'山海经原文总库'!A3, friendlyName=↩ 返回目录</x:v>
      </x:c>
      <x:c r="I203" s="437"/>
      <x:c r="J203" s="437"/>
      <x:c r="K203" s="437" t="str">
        <x:v>待同名检索｜待建档</x:v>
      </x:c>
    </x:row>
    <x:row r="204" ht="22.5" customHeight="1">
      <x:c r="A204" s="24"/>
      <x:c r="B204" s="24"/>
      <x:c r="C204" s="25"/>
      <x:c r="D204" s="24" t="str">
        <x:v>崑崙</x:v>
      </x:c>
      <x:c r="E204" s="24" t="str">
        <x:v>地理名稱</x:v>
      </x:c>
      <x:c r="F204" s="12"/>
      <x:c r="G204" s="26"/>
      <x:c r="H204" s="27" t="e">
        <x:f>HYPERLINK("#'山海经原文总库'!A3","↩ 返回目录")</x:f>
        <x:v>HYPERLINK is not implemented. linkLocation=#'山海经原文总库'!A3, friendlyName=↩ 返回目录</x:v>
      </x:c>
      <x:c r="I204" s="437"/>
      <x:c r="J204" s="437"/>
      <x:c r="K204" s="437" t="str">
        <x:v>待同名检索｜待建档</x:v>
      </x:c>
    </x:row>
    <x:row r="205" ht="22.5" customHeight="1">
      <x:c r="A205" s="24"/>
      <x:c r="B205" s="24"/>
      <x:c r="C205" s="25"/>
      <x:c r="D205" s="24" t="str">
        <x:v>諸毗</x:v>
      </x:c>
      <x:c r="E205" s="24" t="str">
        <x:v>地理名稱</x:v>
      </x:c>
      <x:c r="F205" s="12"/>
      <x:c r="G205" s="26"/>
      <x:c r="H205" s="27" t="e">
        <x:f>HYPERLINK("#'山海经原文总库'!A3","↩ 返回目录")</x:f>
        <x:v>HYPERLINK is not implemented. linkLocation=#'山海经原文总库'!A3, friendlyName=↩ 返回目录</x:v>
      </x:c>
      <x:c r="I205" s="437"/>
      <x:c r="J205" s="437"/>
      <x:c r="K205" s="437" t="str">
        <x:v>待同名检索｜待建档</x:v>
      </x:c>
    </x:row>
    <x:row r="206" ht="22.5" customHeight="1">
      <x:c r="A206" s="24"/>
      <x:c r="B206" s="24"/>
      <x:c r="C206" s="25"/>
      <x:c r="D206" s="24" t="str">
        <x:v>恆山四成</x:v>
      </x:c>
      <x:c r="E206" s="24" t="str">
        <x:v>地理名稱</x:v>
      </x:c>
      <x:c r="F206" s="12"/>
      <x:c r="G206" s="26"/>
      <x:c r="H206" s="27" t="e">
        <x:f>HYPERLINK("#'山海经原文总库'!A3","↩ 返回目录")</x:f>
        <x:v>HYPERLINK is not implemented. linkLocation=#'山海经原文总库'!A3, friendlyName=↩ 返回目录</x:v>
      </x:c>
      <x:c r="I206" s="437"/>
      <x:c r="J206" s="437"/>
      <x:c r="K206" s="437" t="str">
        <x:v>待同名检索｜待建档</x:v>
      </x:c>
    </x:row>
    <x:row r="207" ht="100.5" customHeight="1">
      <x:c r="A207" s="24" t="str">
        <x:v>SHJ-02-041</x:v>
      </x:c>
      <x:c r="B207" s="24" t="str">
        <x:v>卷二 《西山經》</x:v>
      </x:c>
      <x:c r="C207" s="25" t="str">
        <x:v>西南四百里，曰崑崙之丘，是實惟帝之下都，神陸吾司之。其神狀虎身而九尾，人面而虎爪；是神也，司天之九部及帝之囿時。有獸焉，其狀如羊而四角，名曰土螻，是食人。有鳥焉，其狀如蜂，大如鴛鴦，名曰欽原，？鳥獸則死，？木則枯。有鳥焉，其名曰鶉鳥，是司帝之百服。有木焉，其狀如棠，黃華赤實，其味如李而無核，名曰沙棠，可以御水，食之使人不溺。有草焉，名曰（上艹下賓）草，其狀如葵，其味如蔥，食之已勞。河水出焉，而南流東注於無達。赤水出焉，而東南流注於泛天之水。洋水出焉，而西南流注於醜塗之水。黑水出焉，而西流於大杅。是多怪鳥獸。</x:v>
      </x:c>
      <x:c r="D207" s="24" t="str">
        <x:v>崑崙之丘</x:v>
      </x:c>
      <x:c r="E207" s="24" t="str">
        <x:v>丘</x:v>
      </x:c>
      <x:c r="F207" s="12" t="e">
        <x:f>HYPERLINK("#'都广核心区总表'!B105","→ 查看条目")</x:f>
        <x:v>HYPERLINK is not implemented. linkLocation=#'都广核心区总表'!B105, friendlyName=→ 查看条目</x:v>
      </x:c>
      <x:c r="G207" s="26" t="str">
        <x:v>标点与分段参考《山海经校注》；正文对读：https://ctext.org/shan-hai-jing/xi-shan-jing/zh</x:v>
      </x:c>
      <x:c r="H207" s="27" t="e">
        <x:f>HYPERLINK("#'山海经原文总库'!A3","↩ 返回目录")</x:f>
        <x:v>HYPERLINK is not implemented. linkLocation=#'山海经原文总库'!A3, friendlyName=↩ 返回目录</x:v>
      </x:c>
      <x:c r="I207" s="437" t="str">
        <x:v>是</x:v>
      </x:c>
      <x:c r="J207" s="437" t="str">
        <x:v>总表第105行｜X=-1050里，Y=+650里（-10.5，+6.5格）｜西山昆仑层与海内主体同地锁定；管理与分流层独立</x:v>
      </x:c>
      <x:c r="K207" s="437" t="str">
        <x:v>已检索｜已建档</x:v>
      </x:c>
    </x:row>
    <x:row r="208" ht="22.5" customHeight="1">
      <x:c r="A208" s="24"/>
      <x:c r="B208" s="24"/>
      <x:c r="C208" s="25"/>
      <x:c r="D208" s="24" t="str">
        <x:v>河水</x:v>
      </x:c>
      <x:c r="E208" s="24" t="str">
        <x:v>水系</x:v>
      </x:c>
      <x:c r="F208" s="12" t="e">
        <x:f>HYPERLINK("#'都广核心区总表'!B107","→ 查看条目")</x:f>
        <x:v>HYPERLINK is not implemented. linkLocation=#'都广核心区总表'!B107, friendlyName=→ 查看条目</x:v>
      </x:c>
      <x:c r="G208" s="26"/>
      <x:c r="H208" s="27" t="e">
        <x:f>HYPERLINK("#'山海经原文总库'!A3","↩ 返回目录")</x:f>
        <x:v>HYPERLINK is not implemented. linkLocation=#'山海经原文总库'!A3, friendlyName=↩ 返回目录</x:v>
      </x:c>
      <x:c r="I208" s="437" t="str">
        <x:v>是</x:v>
      </x:c>
      <x:c r="J208" s="437" t="str">
        <x:v>总表第107行｜X=-1050里，Y=+550里（-10.5，+5.5格）｜西山经河水南流东注层已建</x:v>
      </x:c>
      <x:c r="K208" s="437" t="str">
        <x:v>已检索｜已建档</x:v>
      </x:c>
    </x:row>
    <x:row r="209" ht="22.5" customHeight="1">
      <x:c r="A209" s="24"/>
      <x:c r="B209" s="24"/>
      <x:c r="C209" s="25"/>
      <x:c r="D209" s="24" t="str">
        <x:v>赤水</x:v>
      </x:c>
      <x:c r="E209" s="24" t="str">
        <x:v>水系</x:v>
      </x:c>
      <x:c r="F209" s="12" t="e">
        <x:f>HYPERLINK("#'都广核心区总表'!B109","→ 查看条目")</x:f>
        <x:v>HYPERLINK is not implemented. linkLocation=#'都广核心区总表'!B109, friendlyName=→ 查看条目</x:v>
      </x:c>
      <x:c r="G209" s="26"/>
      <x:c r="H209" s="27" t="e">
        <x:f>HYPERLINK("#'山海经原文总库'!A3","↩ 返回目录")</x:f>
        <x:v>HYPERLINK is not implemented. linkLocation=#'山海经原文总库'!A3, friendlyName=↩ 返回目录</x:v>
      </x:c>
      <x:c r="I209" s="437" t="str">
        <x:v>是</x:v>
      </x:c>
      <x:c r="J209" s="437" t="str">
        <x:v>总表第109行｜X=-950里，Y=+550里（-9.5，+5.5格）｜西山经赤水东南注氾天水层已建</x:v>
      </x:c>
      <x:c r="K209" s="437" t="str">
        <x:v>已检索｜已建档</x:v>
      </x:c>
    </x:row>
    <x:row r="210" ht="22.5" customHeight="1">
      <x:c r="A210" s="24"/>
      <x:c r="B210" s="24"/>
      <x:c r="C210" s="25"/>
      <x:c r="D210" s="24" t="str">
        <x:v>洋水</x:v>
      </x:c>
      <x:c r="E210" s="24" t="str">
        <x:v>水系</x:v>
      </x:c>
      <x:c r="F210" s="12" t="e">
        <x:f>HYPERLINK("#'都广核心区总表'!B111","→ 查看条目")</x:f>
        <x:v>HYPERLINK is not implemented. linkLocation=#'都广核心区总表'!B111, friendlyName=→ 查看条目</x:v>
      </x:c>
      <x:c r="G210" s="26"/>
      <x:c r="H210" s="27" t="e">
        <x:f>HYPERLINK("#'山海经原文总库'!A3","↩ 返回目录")</x:f>
        <x:v>HYPERLINK is not implemented. linkLocation=#'山海经原文总库'!A3, friendlyName=↩ 返回目录</x:v>
      </x:c>
      <x:c r="I210" s="437" t="str">
        <x:v>是</x:v>
      </x:c>
      <x:c r="J210" s="437" t="str">
        <x:v>总表第111行｜X=-1150里，Y=+550里（-11.5，+5.5格）｜西山经洋水西南注丑涂层已建</x:v>
      </x:c>
      <x:c r="K210" s="437" t="str">
        <x:v>已检索｜已建档</x:v>
      </x:c>
    </x:row>
    <x:row r="211" ht="22.5" customHeight="1">
      <x:c r="A211" s="24"/>
      <x:c r="B211" s="24"/>
      <x:c r="C211" s="25"/>
      <x:c r="D211" s="24" t="str">
        <x:v>黑水</x:v>
      </x:c>
      <x:c r="E211" s="24" t="str">
        <x:v>水系</x:v>
      </x:c>
      <x:c r="F211" s="12" t="e">
        <x:f>HYPERLINK("#'都广核心区总表'!B113","→ 查看条目")</x:f>
        <x:v>HYPERLINK is not implemented. linkLocation=#'都广核心区总表'!B113, friendlyName=→ 查看条目</x:v>
      </x:c>
      <x:c r="G211" s="26"/>
      <x:c r="H211" s="27" t="e">
        <x:f>HYPERLINK("#'山海经原文总库'!A3","↩ 返回目录")</x:f>
        <x:v>HYPERLINK is not implemented. linkLocation=#'山海经原文总库'!A3, friendlyName=↩ 返回目录</x:v>
      </x:c>
      <x:c r="I211" s="437" t="str">
        <x:v>是</x:v>
      </x:c>
      <x:c r="J211" s="437" t="str">
        <x:v>总表第113行｜X=-1150里，Y=+650里（-11.5，+6.5格）｜西山经黑水西流大杅层已建</x:v>
      </x:c>
      <x:c r="K211" s="437" t="str">
        <x:v>已检索｜已建档</x:v>
      </x:c>
    </x:row>
    <x:row r="212" ht="22.5" customHeight="1">
      <x:c r="A212" s="24"/>
      <x:c r="B212" s="24"/>
      <x:c r="C212" s="25"/>
      <x:c r="D212" s="24" t="str">
        <x:v>泛天之水</x:v>
      </x:c>
      <x:c r="E212" s="24" t="str">
        <x:v>水系</x:v>
      </x:c>
      <x:c r="F212" s="12" t="e">
        <x:f>HYPERLINK("#'都广核心区总表'!B110","→ 查看条目")</x:f>
        <x:v>HYPERLINK is not implemented. linkLocation=#'都广核心区总表'!B110, friendlyName=→ 查看条目</x:v>
      </x:c>
      <x:c r="G212" s="26"/>
      <x:c r="H212" s="27" t="e">
        <x:f>HYPERLINK("#'山海经原文总库'!A3","↩ 返回目录")</x:f>
        <x:v>HYPERLINK is not implemented. linkLocation=#'山海经原文总库'!A3, friendlyName=↩ 返回目录</x:v>
      </x:c>
      <x:c r="I212" s="437" t="str">
        <x:v>是</x:v>
      </x:c>
      <x:c r="J212" s="437" t="str">
        <x:v>总表第110行｜X=-850里，Y=+450里（-8.5，+4.5格）｜赤水注氾天之水关系锁定</x:v>
      </x:c>
      <x:c r="K212" s="437" t="str">
        <x:v>已检索｜已建档</x:v>
      </x:c>
    </x:row>
    <x:row r="213" ht="22.5" customHeight="1">
      <x:c r="A213" s="24"/>
      <x:c r="B213" s="24"/>
      <x:c r="C213" s="25"/>
      <x:c r="D213" s="24" t="str">
        <x:v>醜塗之水</x:v>
      </x:c>
      <x:c r="E213" s="24" t="str">
        <x:v>水系</x:v>
      </x:c>
      <x:c r="F213" s="12" t="e">
        <x:f>HYPERLINK("#'都广核心区总表'!B112","→ 查看条目")</x:f>
        <x:v>HYPERLINK is not implemented. linkLocation=#'都广核心区总表'!B112, friendlyName=→ 查看条目</x:v>
      </x:c>
      <x:c r="G213" s="26"/>
      <x:c r="H213" s="27" t="e">
        <x:f>HYPERLINK("#'山海经原文总库'!A3","↩ 返回目录")</x:f>
        <x:v>HYPERLINK is not implemented. linkLocation=#'山海经原文总库'!A3, friendlyName=↩ 返回目录</x:v>
      </x:c>
      <x:c r="I213" s="437" t="str">
        <x:v>是</x:v>
      </x:c>
      <x:c r="J213" s="437" t="str">
        <x:v>总表第112行｜X=-1250里，Y=+450里（-12.5，+4.5格）｜洋水注丑涂之水关系锁定</x:v>
      </x:c>
      <x:c r="K213" s="437" t="str">
        <x:v>已检索｜已建档</x:v>
      </x:c>
    </x:row>
    <x:row r="214" ht="22.5" customHeight="1">
      <x:c r="A214" s="24"/>
      <x:c r="B214" s="24"/>
      <x:c r="C214" s="25"/>
      <x:c r="D214" s="24" t="str">
        <x:v>是實惟帝之下都</x:v>
      </x:c>
      <x:c r="E214" s="24" t="str">
        <x:v>聚落／區域</x:v>
      </x:c>
      <x:c r="F214" s="12" t="e">
        <x:f>HYPERLINK("#'都广核心区总表'!B105","→ 查看条目")</x:f>
        <x:v>HYPERLINK is not implemented. linkLocation=#'都广核心区总表'!B105, friendlyName=→ 查看条目</x:v>
      </x:c>
      <x:c r="G214" s="26"/>
      <x:c r="H214" s="27" t="e">
        <x:f>HYPERLINK("#'山海经原文总库'!A3","↩ 返回目录")</x:f>
        <x:v>HYPERLINK is not implemented. linkLocation=#'山海经原文总库'!A3, friendlyName=↩ 返回目录</x:v>
      </x:c>
      <x:c r="I214" s="437" t="str">
        <x:v>是</x:v>
      </x:c>
      <x:c r="J214" s="437" t="str">
        <x:v>总表第105行｜X=-1050里，Y=+650里（-10.5，+6.5格）｜帝之下都与昆仑主体同地锁定</x:v>
      </x:c>
      <x:c r="K214" s="437" t="str">
        <x:v>已检索｜已建档</x:v>
      </x:c>
    </x:row>
    <x:row r="215" ht="48" customHeight="1">
      <x:c r="A215" s="24" t="str">
        <x:v>SHJ-02-042</x:v>
      </x:c>
      <x:c r="B215" s="24" t="str">
        <x:v>卷二 《西山經》</x:v>
      </x:c>
      <x:c r="C215" s="25" t="str">
        <x:v>味如葱。食之已勞可水出焉，而南流東，注于無達赤水出焉，而東南流，注于氾天之水洋水出焉，而西南流，注于醜塗之水黑水出焉，而西流于大杅是多怪鳥獸。</x:v>
      </x:c>
      <x:c r="D215" s="24" t="str">
        <x:v>食之已勞可水</x:v>
      </x:c>
      <x:c r="E215" s="24" t="str">
        <x:v>水系</x:v>
      </x:c>
      <x:c r="F215" s="12"/>
      <x:c r="G215" s="26" t="str">
        <x:v>标点与分段参考《山海经校注》；正文对读：https://ctext.org/shan-hai-jing/xi-shan-jing/zh</x:v>
      </x:c>
      <x:c r="H215" s="27" t="e">
        <x:f>HYPERLINK("#'山海经原文总库'!A3","↩ 返回目录")</x:f>
        <x:v>HYPERLINK is not implemented. linkLocation=#'山海经原文总库'!A3, friendlyName=↩ 返回目录</x:v>
      </x:c>
      <x:c r="I215" s="437"/>
      <x:c r="J215" s="437"/>
      <x:c r="K215" s="437" t="str">
        <x:v>重复／OCR拼接残段：内容已由SHJ-02-041昆仑段完整收录，不参与地图建档</x:v>
      </x:c>
    </x:row>
    <x:row r="216" ht="22.5" customHeight="1">
      <x:c r="A216" s="24"/>
      <x:c r="B216" s="24"/>
      <x:c r="C216" s="25"/>
      <x:c r="D216" s="24" t="str">
        <x:v>氾天之水洋水</x:v>
      </x:c>
      <x:c r="E216" s="24" t="str">
        <x:v>水系</x:v>
      </x:c>
      <x:c r="F216" s="12"/>
      <x:c r="G216" s="26"/>
      <x:c r="H216" s="27" t="e">
        <x:f>HYPERLINK("#'山海经原文总库'!A3","↩ 返回目录")</x:f>
        <x:v>HYPERLINK is not implemented. linkLocation=#'山海经原文总库'!A3, friendlyName=↩ 返回目录</x:v>
      </x:c>
      <x:c r="I216" s="437"/>
      <x:c r="J216" s="437"/>
      <x:c r="K216" s="437" t="str">
        <x:v>重复／OCR拼接残段：内容已由SHJ-02-041昆仑段完整收录，不参与地图建档</x:v>
      </x:c>
    </x:row>
    <x:row r="217" ht="22.5" customHeight="1">
      <x:c r="A217" s="24"/>
      <x:c r="B217" s="24"/>
      <x:c r="C217" s="25"/>
      <x:c r="D217" s="24" t="str">
        <x:v>醜塗之水黑水</x:v>
      </x:c>
      <x:c r="E217" s="24" t="str">
        <x:v>水系</x:v>
      </x:c>
      <x:c r="F217" s="12"/>
      <x:c r="G217" s="26"/>
      <x:c r="H217" s="27" t="e">
        <x:f>HYPERLINK("#'山海经原文总库'!A3","↩ 返回目录")</x:f>
        <x:v>HYPERLINK is not implemented. linkLocation=#'山海经原文总库'!A3, friendlyName=↩ 返回目录</x:v>
      </x:c>
      <x:c r="I217" s="437"/>
      <x:c r="J217" s="437"/>
      <x:c r="K217" s="437" t="str">
        <x:v>重复／OCR拼接残段：内容已由SHJ-02-041昆仑段完整收录，不参与地图建档</x:v>
      </x:c>
    </x:row>
    <x:row r="218" ht="22.5" customHeight="1">
      <x:c r="A218" s="24"/>
      <x:c r="B218" s="24"/>
      <x:c r="C218" s="25"/>
      <x:c r="D218" s="24" t="str">
        <x:v>氾天之水洋水出焉</x:v>
      </x:c>
      <x:c r="E218" s="24" t="str">
        <x:v>地理名稱</x:v>
      </x:c>
      <x:c r="F218" s="12"/>
      <x:c r="G218" s="26"/>
      <x:c r="H218" s="27" t="e">
        <x:f>HYPERLINK("#'山海经原文总库'!A3","↩ 返回目录")</x:f>
        <x:v>HYPERLINK is not implemented. linkLocation=#'山海经原文总库'!A3, friendlyName=↩ 返回目录</x:v>
      </x:c>
      <x:c r="I218" s="437"/>
      <x:c r="J218" s="437"/>
      <x:c r="K218" s="437" t="str">
        <x:v>重复／OCR拼接残段：内容已由SHJ-02-041昆仑段完整收录，不参与地图建档</x:v>
      </x:c>
    </x:row>
    <x:row r="219" ht="22.5" customHeight="1">
      <x:c r="A219" s="24"/>
      <x:c r="B219" s="24"/>
      <x:c r="C219" s="25"/>
      <x:c r="D219" s="24" t="str">
        <x:v>醜塗之水黑水出焉</x:v>
      </x:c>
      <x:c r="E219" s="24" t="str">
        <x:v>地理名稱</x:v>
      </x:c>
      <x:c r="F219" s="12"/>
      <x:c r="G219" s="26"/>
      <x:c r="H219" s="27" t="e">
        <x:f>HYPERLINK("#'山海经原文总库'!A3","↩ 返回目录")</x:f>
        <x:v>HYPERLINK is not implemented. linkLocation=#'山海经原文总库'!A3, friendlyName=↩ 返回目录</x:v>
      </x:c>
      <x:c r="I219" s="437"/>
      <x:c r="J219" s="437"/>
      <x:c r="K219" s="437" t="str">
        <x:v>重复／OCR拼接残段：内容已由SHJ-02-041昆仑段完整收录，不参与地图建档</x:v>
      </x:c>
    </x:row>
    <x:row r="220" ht="22.5" customHeight="1">
      <x:c r="A220" s="24"/>
      <x:c r="B220" s="24"/>
      <x:c r="C220" s="25"/>
      <x:c r="D220" s="24" t="str">
        <x:v>可水</x:v>
      </x:c>
      <x:c r="E220" s="24" t="str">
        <x:v>水系</x:v>
      </x:c>
      <x:c r="F220" s="12"/>
      <x:c r="G220" s="26"/>
      <x:c r="H220" s="27" t="e">
        <x:f>HYPERLINK("#'山海经原文总库'!A3","↩ 返回目录")</x:f>
        <x:v>HYPERLINK is not implemented. linkLocation=#'山海经原文总库'!A3, friendlyName=↩ 返回目录</x:v>
      </x:c>
      <x:c r="I220" s="437"/>
      <x:c r="J220" s="437"/>
      <x:c r="K220" s="437" t="str">
        <x:v>重复／OCR拼接残段：内容已由SHJ-02-041昆仑段完整收录，不参与地图建档</x:v>
      </x:c>
    </x:row>
    <x:row r="221" ht="22.5" customHeight="1">
      <x:c r="A221" s="24"/>
      <x:c r="B221" s="24"/>
      <x:c r="C221" s="25"/>
      <x:c r="D221" s="24" t="str">
        <x:v>赤水</x:v>
      </x:c>
      <x:c r="E221" s="24" t="str">
        <x:v>水系</x:v>
      </x:c>
      <x:c r="F221" s="12"/>
      <x:c r="G221" s="26"/>
      <x:c r="H221" s="27" t="e">
        <x:f>HYPERLINK("#'山海经原文总库'!A3","↩ 返回目录")</x:f>
        <x:v>HYPERLINK is not implemented. linkLocation=#'山海经原文总库'!A3, friendlyName=↩ 返回目录</x:v>
      </x:c>
      <x:c r="I221" s="437"/>
      <x:c r="J221" s="437"/>
      <x:c r="K221" s="437" t="str">
        <x:v>重复／OCR拼接残段：内容已由SHJ-02-041昆仑段完整收录，不参与地图建档</x:v>
      </x:c>
    </x:row>
    <x:row r="222" ht="22.5" customHeight="1">
      <x:c r="A222" s="24"/>
      <x:c r="B222" s="24"/>
      <x:c r="C222" s="25"/>
      <x:c r="D222" s="24" t="str">
        <x:v>洋水</x:v>
      </x:c>
      <x:c r="E222" s="24" t="str">
        <x:v>水系</x:v>
      </x:c>
      <x:c r="F222" s="12"/>
      <x:c r="G222" s="26"/>
      <x:c r="H222" s="27" t="e">
        <x:f>HYPERLINK("#'山海经原文总库'!A3","↩ 返回目录")</x:f>
        <x:v>HYPERLINK is not implemented. linkLocation=#'山海经原文总库'!A3, friendlyName=↩ 返回目录</x:v>
      </x:c>
      <x:c r="I222" s="437"/>
      <x:c r="J222" s="437"/>
      <x:c r="K222" s="437" t="str">
        <x:v>重复／OCR拼接残段：内容已由SHJ-02-041昆仑段完整收录，不参与地图建档</x:v>
      </x:c>
    </x:row>
    <x:row r="223" ht="22.5" customHeight="1">
      <x:c r="A223" s="24"/>
      <x:c r="B223" s="24"/>
      <x:c r="C223" s="25"/>
      <x:c r="D223" s="24" t="str">
        <x:v>黑水</x:v>
      </x:c>
      <x:c r="E223" s="24" t="str">
        <x:v>水系</x:v>
      </x:c>
      <x:c r="F223" s="12"/>
      <x:c r="G223" s="26"/>
      <x:c r="H223" s="27" t="e">
        <x:f>HYPERLINK("#'山海经原文总库'!A3","↩ 返回目录")</x:f>
        <x:v>HYPERLINK is not implemented. linkLocation=#'山海经原文总库'!A3, friendlyName=↩ 返回目录</x:v>
      </x:c>
      <x:c r="I223" s="437"/>
      <x:c r="J223" s="437"/>
      <x:c r="K223" s="437" t="str">
        <x:v>重复／OCR拼接残段：内容已由SHJ-02-041昆仑段完整收录，不参与地图建档</x:v>
      </x:c>
    </x:row>
    <x:row r="224" ht="48" customHeight="1">
      <x:c r="A224" s="24" t="str">
        <x:v>SHJ-02-043-1</x:v>
      </x:c>
      <x:c r="B224" s="24" t="str">
        <x:v>卷二 《西山經》</x:v>
      </x:c>
      <x:c r="C224" s="25" t="str">
        <x:v>又西三百七十里，曰樂游之山。桃水出焉，西流注於稷澤，是多白玉。其中多？魚，其狀如蛇而四足，是食魚。</x:v>
      </x:c>
      <x:c r="D224" s="24" t="str">
        <x:v>樂游之山</x:v>
      </x:c>
      <x:c r="E224" s="24" t="str">
        <x:v>山</x:v>
      </x:c>
      <x:c r="F224" s="12" t="e">
        <x:f>HYPERLINK("#'都广核心区总表'!B116","→ 查看条目")</x:f>
        <x:v>HYPERLINK is not implemented. linkLocation=#'都广核心区总表'!B116, friendlyName=→ 查看条目</x:v>
      </x:c>
      <x:c r="G224" s="26" t="str">
        <x:v>标点与分段参考《山海经校注》；正文对读：https://ctext.org/shan-hai-jing/xi-shan-jing/zh</x:v>
      </x:c>
      <x:c r="H224" s="27" t="e">
        <x:f>HYPERLINK("#'山海经原文总库'!A3","↩ 返回目录")</x:f>
        <x:v>HYPERLINK is not implemented. linkLocation=#'山海经原文总库'!A3, friendlyName=↩ 返回目录</x:v>
      </x:c>
      <x:c r="I224" s="437" t="str">
        <x:v>是</x:v>
      </x:c>
      <x:c r="J224" s="437" t="str">
        <x:v>总表第116行｜X=-1420里，Y=+650里（-14.2，+6.5格）｜昆仑以西370里坐标锁定</x:v>
      </x:c>
      <x:c r="K224" s="437" t="str">
        <x:v>已检索｜已建档</x:v>
      </x:c>
    </x:row>
    <x:row r="225" ht="22.5" customHeight="1">
      <x:c r="A225" s="24"/>
      <x:c r="B225" s="24"/>
      <x:c r="C225" s="25"/>
      <x:c r="D225" s="24" t="str">
        <x:v>桃水</x:v>
      </x:c>
      <x:c r="E225" s="24" t="str">
        <x:v>水系</x:v>
      </x:c>
      <x:c r="F225" s="12"/>
      <x:c r="G225" s="26"/>
      <x:c r="H225" s="27" t="e">
        <x:f>HYPERLINK("#'山海经原文总库'!A3","↩ 返回目录")</x:f>
        <x:v>HYPERLINK is not implemented. linkLocation=#'山海经原文总库'!A3, friendlyName=↩ 返回目录</x:v>
      </x:c>
      <x:c r="I225" s="437"/>
      <x:c r="J225" s="437"/>
      <x:c r="K225" s="437" t="str">
        <x:v>待同名检索｜待建档</x:v>
      </x:c>
    </x:row>
    <x:row r="226" ht="22.5" customHeight="1">
      <x:c r="A226" s="24"/>
      <x:c r="B226" s="24"/>
      <x:c r="C226" s="25"/>
      <x:c r="D226" s="24" t="str">
        <x:v>稷澤</x:v>
      </x:c>
      <x:c r="E226" s="24" t="str">
        <x:v>水系</x:v>
      </x:c>
      <x:c r="F226" s="12"/>
      <x:c r="G226" s="26"/>
      <x:c r="H226" s="27" t="e">
        <x:f>HYPERLINK("#'山海经原文总库'!A3","↩ 返回目录")</x:f>
        <x:v>HYPERLINK is not implemented. linkLocation=#'山海经原文总库'!A3, friendlyName=↩ 返回目录</x:v>
      </x:c>
      <x:c r="I226" s="437"/>
      <x:c r="J226" s="437"/>
      <x:c r="K226" s="437" t="str">
        <x:v>待同名检索｜待建档</x:v>
      </x:c>
    </x:row>
    <x:row r="227" ht="22.5" customHeight="1">
      <x:c r="A227" s="24"/>
      <x:c r="B227" s="24"/>
      <x:c r="C227" s="25"/>
      <x:c r="D227" s="24" t="str">
        <x:v>流沙</x:v>
      </x:c>
      <x:c r="E227" s="24" t="str">
        <x:v>區域</x:v>
      </x:c>
      <x:c r="F227" s="12" t="e">
        <x:f>HYPERLINK("#'都广核心区总表'!B117","→ 查看条目")</x:f>
        <x:v>HYPERLINK is not implemented. linkLocation=#'都广核心区总表'!B117, friendlyName=→ 查看条目</x:v>
      </x:c>
      <x:c r="G227" s="26"/>
      <x:c r="H227" s="27" t="e">
        <x:f>HYPERLINK("#'山海经原文总库'!A3","↩ 返回目录")</x:f>
        <x:v>HYPERLINK is not implemented. linkLocation=#'山海经原文总库'!A3, friendlyName=↩ 返回目录</x:v>
      </x:c>
      <x:c r="I227" s="437" t="str">
        <x:v>是</x:v>
      </x:c>
      <x:c r="J227" s="437" t="str">
        <x:v>总表第117行｜X=-1820里，Y=+650里（-18.2，+6.5格）｜乐游后西水行400里流沙代表段锁定</x:v>
      </x:c>
      <x:c r="K227" s="437" t="str">
        <x:v>已检索｜已建档</x:v>
      </x:c>
    </x:row>
    <x:row r="228" ht="48" customHeight="1">
      <x:c r="A228" s="24" t="str">
        <x:v>SHJ-02-043-2</x:v>
      </x:c>
      <x:c r="B228" s="24" t="str">
        <x:v>卷二 《西山經》</x:v>
      </x:c>
      <x:c r="C228" s="25" t="str">
        <x:v>西水行四百里，曰流沙，二百里至於蠃母之山，神長乘司之，是天之九德也。其神狀如人而（犬勺）尾。其上多玉，其下多青石而無水。</x:v>
      </x:c>
      <x:c r="D228" s="24" t="str">
        <x:v>蠃母之山</x:v>
      </x:c>
      <x:c r="E228" s="24" t="str">
        <x:v>山</x:v>
      </x:c>
      <x:c r="F228" s="12" t="e">
        <x:f>HYPERLINK("#'都广核心区总表'!B118","→ 查看条目")</x:f>
        <x:v>HYPERLINK is not implemented. linkLocation=#'都广核心区总表'!B118, friendlyName=→ 查看条目</x:v>
      </x:c>
      <x:c r="G228" s="26" t="str">
        <x:v>标点与分段参考《山海经校注》；正文对读：https://ctext.org/shan-hai-jing/xi-shan-jing/zh</x:v>
      </x:c>
      <x:c r="H228" s="27" t="e">
        <x:f>HYPERLINK("#'山海经原文总库'!A3","↩ 返回目录")</x:f>
        <x:v>HYPERLINK is not implemented. linkLocation=#'山海经原文总库'!A3, friendlyName=↩ 返回目录</x:v>
      </x:c>
      <x:c r="I228" s="437" t="str">
        <x:v>是</x:v>
      </x:c>
      <x:c r="J228" s="437" t="str">
        <x:v>总表第118行｜X=-2020里，Y=+650里（-20.2，+6.5格）｜流沙后二百里蠃母坐标锁定</x:v>
      </x:c>
      <x:c r="K228" s="437" t="str">
        <x:v>已检索｜已建档</x:v>
      </x:c>
    </x:row>
    <x:row r="229" ht="22.5" customHeight="1">
      <x:c r="A229" s="24"/>
      <x:c r="B229" s="24"/>
      <x:c r="C229" s="25"/>
      <x:c r="D229" s="24" t="str">
        <x:v>流沙</x:v>
      </x:c>
      <x:c r="E229" s="24" t="str">
        <x:v>區域</x:v>
      </x:c>
      <x:c r="F229" s="12"/>
      <x:c r="G229" s="26"/>
      <x:c r="H229" s="27" t="e">
        <x:f>HYPERLINK("#'山海经原文总库'!A3","↩ 返回目录")</x:f>
        <x:v>HYPERLINK is not implemented. linkLocation=#'山海经原文总库'!A3, friendlyName=↩ 返回目录</x:v>
      </x:c>
      <x:c r="I229" s="437"/>
      <x:c r="J229" s="437"/>
      <x:c r="K229" s="437" t="str">
        <x:v>待同名检索｜待建档</x:v>
      </x:c>
    </x:row>
    <x:row r="230" ht="64.5" customHeight="1">
      <x:c r="A230" s="24" t="str">
        <x:v>SHJ-02-044</x:v>
      </x:c>
      <x:c r="B230" s="24" t="str">
        <x:v>卷二 《西山經》</x:v>
      </x:c>
      <x:c r="C230" s="25" t="str">
        <x:v>又西三百五十里，曰玉山，是西王母所居也。西王母其狀如人，豹尾虎齒而善嘯，蓬發戴勝，是司天之厲及五殘。有獸焉，其狀如犬而豹文，其角如牛，其名曰狡，其音如吠犬，見則其國大穰。有鳥焉，其狀如翟而赤，名曰勝遇，是食魚，其音如錄，見則其國大水。</x:v>
      </x:c>
      <x:c r="D230" s="24" t="str">
        <x:v>玉山</x:v>
      </x:c>
      <x:c r="E230" s="24" t="str">
        <x:v>山</x:v>
      </x:c>
      <x:c r="F230" s="12" t="e">
        <x:f>HYPERLINK("#'都广核心区总表'!B119","→ 查看条目")</x:f>
        <x:v>HYPERLINK is not implemented. linkLocation=#'都广核心区总表'!B119, friendlyName=→ 查看条目</x:v>
      </x:c>
      <x:c r="G230" s="26" t="str">
        <x:v>标点与分段参考《山海经校注》；正文对读：https://ctext.org/shan-hai-jing/xi-shan-jing/zh</x:v>
      </x:c>
      <x:c r="H230" s="27" t="e">
        <x:f>HYPERLINK("#'山海经原文总库'!A3","↩ 返回目录")</x:f>
        <x:v>HYPERLINK is not implemented. linkLocation=#'山海经原文总库'!A3, friendlyName=↩ 返回目录</x:v>
      </x:c>
      <x:c r="I230" s="437" t="str">
        <x:v>是</x:v>
      </x:c>
      <x:c r="J230" s="437" t="str">
        <x:v>总表第119行｜X=-2370里，Y=+650里（-23.7，+6.5格）｜玉山及西王母居所坐标锁定</x:v>
      </x:c>
      <x:c r="K230" s="437" t="str">
        <x:v>已检索｜已建档</x:v>
      </x:c>
    </x:row>
    <x:row r="231" ht="48" customHeight="1">
      <x:c r="A231" s="24" t="str">
        <x:v>SHJ-02-045</x:v>
      </x:c>
      <x:c r="B231" s="24" t="str">
        <x:v>卷二 《西山經》</x:v>
      </x:c>
      <x:c r="C231" s="25" t="str">
        <x:v>又西四百八十里，曰軒轅之丘，無草木。洵水出焉，南流注於黑水，其中多丹粟，多青雄黃。</x:v>
      </x:c>
      <x:c r="D231" s="24" t="str">
        <x:v>軒轅之丘</x:v>
      </x:c>
      <x:c r="E231" s="24" t="str">
        <x:v>丘</x:v>
      </x:c>
      <x:c r="F231" s="12" t="e">
        <x:f>HYPERLINK("#'都广核心区总表'!B121","→ 查看条目")</x:f>
        <x:v>HYPERLINK is not implemented. linkLocation=#'都广核心区总表'!B121, friendlyName=→ 查看条目</x:v>
      </x:c>
      <x:c r="G231" s="26" t="str">
        <x:v>标点与分段参考《山海经校注》；正文对读：https://ctext.org/shan-hai-jing/xi-shan-jing/zh</x:v>
      </x:c>
      <x:c r="H231" s="27" t="e">
        <x:f>HYPERLINK("#'山海经原文总库'!A3","↩ 返回目录")</x:f>
        <x:v>HYPERLINK is not implemented. linkLocation=#'山海经原文总库'!A3, friendlyName=↩ 返回目录</x:v>
      </x:c>
      <x:c r="I231" s="437" t="str">
        <x:v>是</x:v>
      </x:c>
      <x:c r="J231" s="437" t="str">
        <x:v>总表第121行｜X=-2850里，Y=+650里（-28.5，+6.5格）｜玉山以西480里坐标锁定</x:v>
      </x:c>
      <x:c r="K231" s="437" t="str">
        <x:v>已检索｜已建档</x:v>
      </x:c>
    </x:row>
    <x:row r="232" ht="22.5" customHeight="1">
      <x:c r="A232" s="24"/>
      <x:c r="B232" s="24"/>
      <x:c r="C232" s="25"/>
      <x:c r="D232" s="24" t="str">
        <x:v>洵水</x:v>
      </x:c>
      <x:c r="E232" s="24" t="str">
        <x:v>水系</x:v>
      </x:c>
      <x:c r="F232" s="12"/>
      <x:c r="G232" s="26"/>
      <x:c r="H232" s="27" t="e">
        <x:f>HYPERLINK("#'山海经原文总库'!A3","↩ 返回目录")</x:f>
        <x:v>HYPERLINK is not implemented. linkLocation=#'山海经原文总库'!A3, friendlyName=↩ 返回目录</x:v>
      </x:c>
      <x:c r="I232" s="437"/>
      <x:c r="J232" s="437"/>
      <x:c r="K232" s="437" t="str">
        <x:v>待同名检索｜待建档</x:v>
      </x:c>
    </x:row>
    <x:row r="233" ht="22.5" customHeight="1">
      <x:c r="A233" s="24"/>
      <x:c r="B233" s="24"/>
      <x:c r="C233" s="25"/>
      <x:c r="D233" s="24" t="str">
        <x:v>黑水</x:v>
      </x:c>
      <x:c r="E233" s="24" t="str">
        <x:v>水系</x:v>
      </x:c>
      <x:c r="F233" s="12"/>
      <x:c r="G233" s="26"/>
      <x:c r="H233" s="27" t="e">
        <x:f>HYPERLINK("#'山海经原文总库'!A3","↩ 返回目录")</x:f>
        <x:v>HYPERLINK is not implemented. linkLocation=#'山海经原文总库'!A3, friendlyName=↩ 返回目录</x:v>
      </x:c>
      <x:c r="I233" s="437"/>
      <x:c r="J233" s="437"/>
      <x:c r="K233" s="437" t="str">
        <x:v>待同名检索｜待建档</x:v>
      </x:c>
    </x:row>
    <x:row r="234" ht="48" customHeight="1">
      <x:c r="A234" s="24" t="str">
        <x:v>SHJ-02-046</x:v>
      </x:c>
      <x:c r="B234" s="24" t="str">
        <x:v>卷二 《西山經》</x:v>
      </x:c>
      <x:c r="C234" s="25" t="str">
        <x:v>又西三百里，曰積石之山，其下有石門，河水冒以西流。是山也，萬物無不有焉。</x:v>
      </x:c>
      <x:c r="D234" s="24" t="str">
        <x:v>積石之山</x:v>
      </x:c>
      <x:c r="E234" s="24" t="str">
        <x:v>山</x:v>
      </x:c>
      <x:c r="F234" s="12" t="e">
        <x:f>HYPERLINK("#'都广核心区总表'!B122","→ 查看条目")</x:f>
        <x:v>HYPERLINK is not implemented. linkLocation=#'都广核心区总表'!B122, friendlyName=→ 查看条目</x:v>
      </x:c>
      <x:c r="G234" s="26" t="str">
        <x:v>标点与分段参考《山海经校注》；正文对读：https://ctext.org/shan-hai-jing/xi-shan-jing/zh</x:v>
      </x:c>
      <x:c r="H234" s="27" t="e">
        <x:f>HYPERLINK("#'山海经原文总库'!A3","↩ 返回目录")</x:f>
        <x:v>HYPERLINK is not implemented. linkLocation=#'山海经原文总库'!A3, friendlyName=↩ 返回目录</x:v>
      </x:c>
      <x:c r="I234" s="437" t="str">
        <x:v>是</x:v>
      </x:c>
      <x:c r="J234" s="437" t="str">
        <x:v>总表第122行｜X=-3150里，Y=+650里（-31.5，+6.5格）｜轩辕丘以西300里坐标锁定；与禹所积石未合并</x:v>
      </x:c>
      <x:c r="K234" s="437" t="str">
        <x:v>已检索｜已建档</x:v>
      </x:c>
    </x:row>
    <x:row r="235" ht="48" customHeight="1">
      <x:c r="A235" s="24" t="str">
        <x:v>SHJ-02-047</x:v>
      </x:c>
      <x:c r="B235" s="24" t="str">
        <x:v>卷二 《西山經》</x:v>
      </x:c>
      <x:c r="C235" s="25" t="str">
        <x:v>又西二百里，曰長留之山，其神白帝少昊居之。其獸皆文尾，其鳥皆文首。是多文玉石。實惟員神磈氏之宮。是神也，主司反景。</x:v>
      </x:c>
      <x:c r="D235" s="24" t="str">
        <x:v>長留之山</x:v>
      </x:c>
      <x:c r="E235" s="24" t="str">
        <x:v>山</x:v>
      </x:c>
      <x:c r="F235" s="12" t="e">
        <x:f>HYPERLINK("#'都广核心区总表'!B123","→ 查看条目")</x:f>
        <x:v>HYPERLINK is not implemented. linkLocation=#'都广核心区总表'!B123, friendlyName=→ 查看条目</x:v>
      </x:c>
      <x:c r="G235" s="26" t="str">
        <x:v>标点与分段参考《山海经校注》；正文对读：https://ctext.org/shan-hai-jing/xi-shan-jing/zh</x:v>
      </x:c>
      <x:c r="H235" s="27" t="e">
        <x:f>HYPERLINK("#'山海经原文总库'!A3","↩ 返回目录")</x:f>
        <x:v>HYPERLINK is not implemented. linkLocation=#'山海经原文总库'!A3, friendlyName=↩ 返回目录</x:v>
      </x:c>
      <x:c r="I235" s="437" t="str">
        <x:v>是</x:v>
      </x:c>
      <x:c r="J235" s="437" t="str">
        <x:v>总表第123行｜X=-3350里，Y=+650里（-33.5，+6.5格）｜积石以西200里坐标锁定</x:v>
      </x:c>
      <x:c r="K235" s="437" t="str">
        <x:v>已检索｜已建档</x:v>
      </x:c>
    </x:row>
    <x:row r="236" ht="64.5" customHeight="1">
      <x:c r="A236" s="24" t="str">
        <x:v>SHJ-02-048</x:v>
      </x:c>
      <x:c r="B236" s="24" t="str">
        <x:v>卷二 《西山經》</x:v>
      </x:c>
      <x:c r="C236" s="25" t="str">
        <x:v>又西二百八十里，曰章莪之山，無草木，多瑤碧。所為甚怪。有獸焉，其狀如赤豹，五尾一角，其音如擊石，其名如猙。有鳥焉，其狀如鶴，一足，赤文青質而白喙，名曰畢方，其鳴自叫也，見則其邑有訛火。</x:v>
      </x:c>
      <x:c r="D236" s="24" t="str">
        <x:v>章莪之山</x:v>
      </x:c>
      <x:c r="E236" s="24" t="str">
        <x:v>山</x:v>
      </x:c>
      <x:c r="F236" s="12" t="e">
        <x:f>HYPERLINK("#'都广核心区总表'!B124","→ 查看条目")</x:f>
        <x:v>HYPERLINK is not implemented. linkLocation=#'都广核心区总表'!B124, friendlyName=→ 查看条目</x:v>
      </x:c>
      <x:c r="G236" s="26" t="str">
        <x:v>标点与分段参考《山海经校注》；正文对读：https://ctext.org/shan-hai-jing/xi-shan-jing/zh</x:v>
      </x:c>
      <x:c r="H236" s="27" t="e">
        <x:f>HYPERLINK("#'山海经原文总库'!A3","↩ 返回目录")</x:f>
        <x:v>HYPERLINK is not implemented. linkLocation=#'山海经原文总库'!A3, friendlyName=↩ 返回目录</x:v>
      </x:c>
      <x:c r="I236" s="437" t="str">
        <x:v>是</x:v>
      </x:c>
      <x:c r="J236" s="437" t="str">
        <x:v>总表第124行｜X=-3630里，Y=+650里（-36.3，+6.5格）｜长留以西280里坐标锁定</x:v>
      </x:c>
      <x:c r="K236" s="437" t="str">
        <x:v>已检索｜已建档</x:v>
      </x:c>
    </x:row>
    <x:row r="237" ht="48" customHeight="1">
      <x:c r="A237" s="24" t="str">
        <x:v>SHJ-02-049</x:v>
      </x:c>
      <x:c r="B237" s="24" t="str">
        <x:v>卷二 《西山經》</x:v>
      </x:c>
      <x:c r="C237" s="25" t="str">
        <x:v>又西三百里，曰陰山。濁浴之水出焉，而南流注於蕃澤，其中多文貝。有獸焉，其狀如狸而白首，名曰天狗，其音如榴榴，可以御凶。</x:v>
      </x:c>
      <x:c r="D237" s="24" t="str">
        <x:v>陰山</x:v>
      </x:c>
      <x:c r="E237" s="24" t="str">
        <x:v>山</x:v>
      </x:c>
      <x:c r="F237" s="12" t="e">
        <x:f>HYPERLINK("#'都广核心区总表'!B125","→ 查看条目")</x:f>
        <x:v>HYPERLINK is not implemented. linkLocation=#'都广核心区总表'!B125, friendlyName=→ 查看条目</x:v>
      </x:c>
      <x:c r="G237" s="26" t="str">
        <x:v>标点与分段参考《山海经校注》；正文对读：https://ctext.org/shan-hai-jing/xi-shan-jing/zh</x:v>
      </x:c>
      <x:c r="H237" s="27" t="e">
        <x:f>HYPERLINK("#'山海经原文总库'!A3","↩ 返回目录")</x:f>
        <x:v>HYPERLINK is not implemented. linkLocation=#'山海经原文总库'!A3, friendlyName=↩ 返回目录</x:v>
      </x:c>
      <x:c r="I237" s="437" t="str">
        <x:v>是</x:v>
      </x:c>
      <x:c r="J237" s="437" t="str">
        <x:v>总表第125行｜X=-3930里，Y=+650里（-39.3，+6.5格）｜章莪以西300里坐标锁定</x:v>
      </x:c>
      <x:c r="K237" s="437" t="str">
        <x:v>已检索｜已建档</x:v>
      </x:c>
    </x:row>
    <x:row r="238" ht="22.5" customHeight="1">
      <x:c r="A238" s="24"/>
      <x:c r="B238" s="24"/>
      <x:c r="C238" s="25"/>
      <x:c r="D238" s="24" t="str">
        <x:v>濁浴之水</x:v>
      </x:c>
      <x:c r="E238" s="24" t="str">
        <x:v>水系</x:v>
      </x:c>
      <x:c r="F238" s="12"/>
      <x:c r="G238" s="26"/>
      <x:c r="H238" s="27" t="e">
        <x:f>HYPERLINK("#'山海经原文总库'!A3","↩ 返回目录")</x:f>
        <x:v>HYPERLINK is not implemented. linkLocation=#'山海经原文总库'!A3, friendlyName=↩ 返回目录</x:v>
      </x:c>
      <x:c r="I238" s="437"/>
      <x:c r="J238" s="437"/>
      <x:c r="K238" s="437" t="str">
        <x:v>待同名检索｜待建档</x:v>
      </x:c>
    </x:row>
    <x:row r="239" ht="22.5" customHeight="1">
      <x:c r="A239" s="24"/>
      <x:c r="B239" s="24"/>
      <x:c r="C239" s="25"/>
      <x:c r="D239" s="24" t="str">
        <x:v>蕃澤</x:v>
      </x:c>
      <x:c r="E239" s="24" t="str">
        <x:v>水系</x:v>
      </x:c>
      <x:c r="F239" s="12"/>
      <x:c r="G239" s="26"/>
      <x:c r="H239" s="27" t="e">
        <x:f>HYPERLINK("#'山海经原文总库'!A3","↩ 返回目录")</x:f>
        <x:v>HYPERLINK is not implemented. linkLocation=#'山海经原文总库'!A3, friendlyName=↩ 返回目录</x:v>
      </x:c>
      <x:c r="I239" s="437"/>
      <x:c r="J239" s="437"/>
      <x:c r="K239" s="437" t="str">
        <x:v>待同名检索｜待建档</x:v>
      </x:c>
    </x:row>
    <x:row r="240" ht="48" customHeight="1">
      <x:c r="A240" s="24" t="str">
        <x:v>SHJ-02-050</x:v>
      </x:c>
      <x:c r="B240" s="24" t="str">
        <x:v>卷二 《西山經》</x:v>
      </x:c>
      <x:c r="C240" s="25" t="str">
        <x:v>又西二百里，曰符愓之山，其上多棕柟，下多金玉，神江疑居之。是山也，多怪雨，風雲之所出也。</x:v>
      </x:c>
      <x:c r="D240" s="24" t="str">
        <x:v>符愓之山</x:v>
      </x:c>
      <x:c r="E240" s="24" t="str">
        <x:v>山</x:v>
      </x:c>
      <x:c r="F240" s="12" t="e">
        <x:f>HYPERLINK("#'都广核心区总表'!B126","→ 查看条目")</x:f>
        <x:v>HYPERLINK is not implemented. linkLocation=#'都广核心区总表'!B126, friendlyName=→ 查看条目</x:v>
      </x:c>
      <x:c r="G240" s="26" t="str">
        <x:v>标点与分段参考《山海经校注》；正文对读：https://ctext.org/shan-hai-jing/xi-shan-jing/zh</x:v>
      </x:c>
      <x:c r="H240" s="27" t="e">
        <x:f>HYPERLINK("#'山海经原文总库'!A3","↩ 返回目录")</x:f>
        <x:v>HYPERLINK is not implemented. linkLocation=#'山海经原文总库'!A3, friendlyName=↩ 返回目录</x:v>
      </x:c>
      <x:c r="I240" s="437" t="str">
        <x:v>是</x:v>
      </x:c>
      <x:c r="J240" s="437" t="str">
        <x:v>总表第126行｜X=-4130里，Y=+650里（-41.3，+6.5格）｜阴山以西200里坐标锁定</x:v>
      </x:c>
      <x:c r="K240" s="437" t="str">
        <x:v>已检索｜已建档</x:v>
      </x:c>
    </x:row>
    <x:row r="241" ht="48" customHeight="1">
      <x:c r="A241" s="24" t="str">
        <x:v>SHJ-02-051</x:v>
      </x:c>
      <x:c r="B241" s="24" t="str">
        <x:v>卷二 《西山經》</x:v>
      </x:c>
      <x:c r="C241" s="25" t="str">
        <x:v>又西二百二十里，曰三危之山，三青鳥居之。是山也，廣員百里。其上有獸焉，其狀如牛，白身四角，其豪如披蓑，其名曰傲（彳因），是食人。有鳥焉，一首而三身，其狀如（樂鳥），其名曰鴟。</x:v>
      </x:c>
      <x:c r="D241" s="24" t="str">
        <x:v>三危之山</x:v>
      </x:c>
      <x:c r="E241" s="24" t="str">
        <x:v>山</x:v>
      </x:c>
      <x:c r="F241" s="12" t="e">
        <x:f>HYPERLINK("#'都广核心区总表'!B127","→ 查看条目")</x:f>
        <x:v>HYPERLINK is not implemented. linkLocation=#'都广核心区总表'!B127, friendlyName=→ 查看条目</x:v>
      </x:c>
      <x:c r="G241" s="26" t="str">
        <x:v>标点与分段参考《山海经校注》；正文对读：https://ctext.org/shan-hai-jing/xi-shan-jing/zh</x:v>
      </x:c>
      <x:c r="H241" s="27" t="e">
        <x:f>HYPERLINK("#'山海经原文总库'!A3","↩ 返回目录")</x:f>
        <x:v>HYPERLINK is not implemented. linkLocation=#'山海经原文总库'!A3, friendlyName=↩ 返回目录</x:v>
      </x:c>
      <x:c r="I241" s="437" t="str">
        <x:v>是</x:v>
      </x:c>
      <x:c r="J241" s="437" t="str">
        <x:v>总表第127行｜X=-4350里，Y=+650里（-43.5，+6.5格）｜符惕以西220里及百里山域锁定</x:v>
      </x:c>
      <x:c r="K241" s="437" t="str">
        <x:v>已检索｜已建档</x:v>
      </x:c>
    </x:row>
    <x:row r="242" ht="48" customHeight="1">
      <x:c r="A242" s="24" t="str">
        <x:v>SHJ-02-052</x:v>
      </x:c>
      <x:c r="B242" s="24" t="str">
        <x:v>卷二 《西山經》</x:v>
      </x:c>
      <x:c r="C242" s="25" t="str">
        <x:v>又西一百九十里，曰騩山，其上多玉而無石。神耆童居之，其音常如鐘磬。其下多積蛇。</x:v>
      </x:c>
      <x:c r="D242" s="24" t="str">
        <x:v>騩山</x:v>
      </x:c>
      <x:c r="E242" s="24" t="str">
        <x:v>山</x:v>
      </x:c>
      <x:c r="F242" s="12"/>
      <x:c r="G242" s="26" t="str">
        <x:v>标点与分段参考《山海经校注》；正文对读：https://ctext.org/shan-hai-jing/xi-shan-jing/zh</x:v>
      </x:c>
      <x:c r="H242" s="27" t="e">
        <x:f>HYPERLINK("#'山海经原文总库'!A3","↩ 返回目录")</x:f>
        <x:v>HYPERLINK is not implemented. linkLocation=#'山海经原文总库'!A3, friendlyName=↩ 返回目录</x:v>
      </x:c>
      <x:c r="I242" s="437"/>
      <x:c r="J242" s="437"/>
      <x:c r="K242" s="437" t="str">
        <x:v>待同名检索｜待建档</x:v>
      </x:c>
    </x:row>
    <x:row r="243" ht="48" customHeight="1">
      <x:c r="A243" s="24" t="str">
        <x:v>SHJ-02-053</x:v>
      </x:c>
      <x:c r="B243" s="24" t="str">
        <x:v>卷二 《西山經》</x:v>
      </x:c>
      <x:c r="C243" s="25" t="str">
        <x:v>又西三百五十里，曰天山，多金玉，有青雄黃。英水出焉，而西南流注於湯谷。有神焉，其狀如黃囊，赤如丹火，六足四翼，渾敦無面目，是識歌舞，實為帝江也。</x:v>
      </x:c>
      <x:c r="D243" s="24" t="str">
        <x:v>天山</x:v>
      </x:c>
      <x:c r="E243" s="24" t="str">
        <x:v>山</x:v>
      </x:c>
      <x:c r="F243" s="12"/>
      <x:c r="G243" s="26" t="str">
        <x:v>标点与分段参考《山海经校注》；正文对读：https://ctext.org/shan-hai-jing/xi-shan-jing/zh</x:v>
      </x:c>
      <x:c r="H243" s="27" t="e">
        <x:f>HYPERLINK("#'山海经原文总库'!A3","↩ 返回目录")</x:f>
        <x:v>HYPERLINK is not implemented. linkLocation=#'山海经原文总库'!A3, friendlyName=↩ 返回目录</x:v>
      </x:c>
      <x:c r="I243" s="437"/>
      <x:c r="J243" s="437"/>
      <x:c r="K243" s="437" t="str">
        <x:v>待同名检索｜待建档</x:v>
      </x:c>
    </x:row>
    <x:row r="244" ht="22.5" customHeight="1">
      <x:c r="A244" s="24"/>
      <x:c r="B244" s="24"/>
      <x:c r="C244" s="25"/>
      <x:c r="D244" s="24" t="str">
        <x:v>英水</x:v>
      </x:c>
      <x:c r="E244" s="24" t="str">
        <x:v>水系</x:v>
      </x:c>
      <x:c r="F244" s="12"/>
      <x:c r="G244" s="26"/>
      <x:c r="H244" s="27" t="e">
        <x:f>HYPERLINK("#'山海经原文总库'!A3","↩ 返回目录")</x:f>
        <x:v>HYPERLINK is not implemented. linkLocation=#'山海经原文总库'!A3, friendlyName=↩ 返回目录</x:v>
      </x:c>
      <x:c r="I244" s="437"/>
      <x:c r="J244" s="437"/>
      <x:c r="K244" s="437" t="str">
        <x:v>待同名检索｜待建档</x:v>
      </x:c>
    </x:row>
    <x:row r="245" ht="22.5" customHeight="1">
      <x:c r="A245" s="24"/>
      <x:c r="B245" s="24"/>
      <x:c r="C245" s="25"/>
      <x:c r="D245" s="24" t="str">
        <x:v>而西南流注於湯谷</x:v>
      </x:c>
      <x:c r="E245" s="24" t="str">
        <x:v>區域</x:v>
      </x:c>
      <x:c r="F245" s="12"/>
      <x:c r="G245" s="26"/>
      <x:c r="H245" s="27" t="e">
        <x:f>HYPERLINK("#'山海经原文总库'!A3","↩ 返回目录")</x:f>
        <x:v>HYPERLINK is not implemented. linkLocation=#'山海经原文总库'!A3, friendlyName=↩ 返回目录</x:v>
      </x:c>
      <x:c r="I245" s="437"/>
      <x:c r="J245" s="437"/>
      <x:c r="K245" s="437" t="str">
        <x:v>待同名检索｜待建档</x:v>
      </x:c>
    </x:row>
    <x:row r="246" ht="22.5" customHeight="1">
      <x:c r="A246" s="24"/>
      <x:c r="B246" s="24"/>
      <x:c r="C246" s="25"/>
      <x:c r="D246" s="24" t="str">
        <x:v>湯谷</x:v>
      </x:c>
      <x:c r="E246" s="24" t="str">
        <x:v>地理名稱</x:v>
      </x:c>
      <x:c r="F246" s="12"/>
      <x:c r="G246" s="26"/>
      <x:c r="H246" s="27" t="e">
        <x:f>HYPERLINK("#'山海经原文总库'!A3","↩ 返回目录")</x:f>
        <x:v>HYPERLINK is not implemented. linkLocation=#'山海经原文总库'!A3, friendlyName=↩ 返回目录</x:v>
      </x:c>
      <x:c r="I246" s="437"/>
      <x:c r="J246" s="437"/>
      <x:c r="K246" s="437" t="str">
        <x:v>待同名检索｜待建档</x:v>
      </x:c>
    </x:row>
    <x:row r="247" ht="48" customHeight="1">
      <x:c r="A247" s="24" t="str">
        <x:v>SHJ-02-054-1</x:v>
      </x:c>
      <x:c r="B247" s="24" t="str">
        <x:v>卷二 《西山經》</x:v>
      </x:c>
      <x:c r="C247" s="25" t="str">
        <x:v>又西二百九十里，曰泑山，神蓐收居之。其上多嬰短之玉，其陽多瑾瑜之玉，其陰多青雄黃。是山也，西望日之所入，其氣員，神紅光之所司也。</x:v>
      </x:c>
      <x:c r="D247" s="24" t="str">
        <x:v>泑山</x:v>
      </x:c>
      <x:c r="E247" s="24" t="str">
        <x:v>山</x:v>
      </x:c>
      <x:c r="F247" s="12"/>
      <x:c r="G247" s="26" t="str">
        <x:v>标点与分段参考《山海经校注》；正文对读：https://ctext.org/shan-hai-jing/xi-shan-jing/zh</x:v>
      </x:c>
      <x:c r="H247" s="27" t="e">
        <x:f>HYPERLINK("#'山海经原文总库'!A3","↩ 返回目录")</x:f>
        <x:v>HYPERLINK is not implemented. linkLocation=#'山海经原文总库'!A3, friendlyName=↩ 返回目录</x:v>
      </x:c>
      <x:c r="I247" s="437"/>
      <x:c r="J247" s="437"/>
      <x:c r="K247" s="437" t="str">
        <x:v>待同名检索｜待建档</x:v>
      </x:c>
    </x:row>
    <x:row r="248" ht="22.5" customHeight="1">
      <x:c r="A248" s="24"/>
      <x:c r="B248" s="24"/>
      <x:c r="C248" s="25"/>
      <x:c r="D248" s="24" t="str">
        <x:v>日之所入</x:v>
      </x:c>
      <x:c r="E248" s="24" t="str">
        <x:v>地理名稱</x:v>
      </x:c>
      <x:c r="F248" s="12"/>
      <x:c r="G248" s="26"/>
      <x:c r="H248" s="27" t="e">
        <x:f>HYPERLINK("#'山海经原文总库'!A3","↩ 返回目录")</x:f>
        <x:v>HYPERLINK is not implemented. linkLocation=#'山海经原文总库'!A3, friendlyName=↩ 返回目录</x:v>
      </x:c>
      <x:c r="I248" s="437"/>
      <x:c r="J248" s="437"/>
      <x:c r="K248" s="437" t="str">
        <x:v>待同名检索｜待建档</x:v>
      </x:c>
    </x:row>
    <x:row r="249" ht="64.5" customHeight="1">
      <x:c r="A249" s="24" t="str">
        <x:v>SHJ-02-054-2</x:v>
      </x:c>
      <x:c r="B249" s="24" t="str">
        <x:v>卷二 《西山經》</x:v>
      </x:c>
      <x:c r="C249" s="25" t="str">
        <x:v>西水行百里，至於翼望之山，無草木，多金玉。有獸焉，其狀如狸，一目而三尾，名曰讙，其音如奪（寸改木）百聲，是可以御凶，服之已癉。有鳥焉，其狀如烏，三首六尾而善笑，名曰鵸，服之使人不厭，又可以御凶。</x:v>
      </x:c>
      <x:c r="D249" s="24" t="str">
        <x:v>翼望之山</x:v>
      </x:c>
      <x:c r="E249" s="24" t="str">
        <x:v>山</x:v>
      </x:c>
      <x:c r="F249" s="12"/>
      <x:c r="G249" s="26" t="str">
        <x:v>标点与分段参考《山海经校注》；正文对读：https://ctext.org/shan-hai-jing/xi-shan-jing/zh</x:v>
      </x:c>
      <x:c r="H249" s="27" t="e">
        <x:f>HYPERLINK("#'山海经原文总库'!A3","↩ 返回目录")</x:f>
        <x:v>HYPERLINK is not implemented. linkLocation=#'山海经原文总库'!A3, friendlyName=↩ 返回目录</x:v>
      </x:c>
      <x:c r="I249" s="437"/>
      <x:c r="J249" s="437"/>
      <x:c r="K249" s="437" t="str">
        <x:v>待同名检索｜待建档</x:v>
      </x:c>
    </x:row>
    <x:row r="250" ht="48" customHeight="1">
      <x:c r="A250" s="24" t="str">
        <x:v>SHJ-02-055</x:v>
      </x:c>
      <x:c r="B250" s="24" t="str">
        <x:v>卷二 《西山經》</x:v>
      </x:c>
      <x:c r="C250" s="25" t="str">
        <x:v>凡西次三經之首，崇吾之山至於翼望之山，凡二十三山，六千七百四十四里。其神狀皆羊身人面。其祠之禮，用一吉玉瘞，糈用稷米。</x:v>
      </x:c>
      <x:c r="D250" s="24" t="str">
        <x:v>翼望之山</x:v>
      </x:c>
      <x:c r="E250" s="24" t="str">
        <x:v>山</x:v>
      </x:c>
      <x:c r="F250" s="12"/>
      <x:c r="G250" s="26" t="str">
        <x:v>标点与分段参考《山海经校注》；正文对读：https://ctext.org/shan-hai-jing/xi-shan-jing/zh</x:v>
      </x:c>
      <x:c r="H250" s="27" t="e">
        <x:f>HYPERLINK("#'山海经原文总库'!A3","↩ 返回目录")</x:f>
        <x:v>HYPERLINK is not implemented. linkLocation=#'山海经原文总库'!A3, friendlyName=↩ 返回目录</x:v>
      </x:c>
      <x:c r="I250" s="437"/>
      <x:c r="J250" s="437"/>
      <x:c r="K250" s="437" t="str">
        <x:v>待同名检索｜待建档</x:v>
      </x:c>
    </x:row>
    <x:row r="251" ht="48" customHeight="1">
      <x:c r="A251" s="24" t="str">
        <x:v>SHJ-02-056</x:v>
      </x:c>
      <x:c r="B251" s="24" t="str">
        <x:v>卷二 《西山經》</x:v>
      </x:c>
      <x:c r="C251" s="25" t="str">
        <x:v>凡二十三山六千七百四十四里其神狀皆羊身人面其祠之禮用一吉玉瘞糈用稷米。</x:v>
      </x:c>
      <x:c r="D251" s="24"/>
      <x:c r="E251" s="24"/>
      <x:c r="F251" s="12"/>
      <x:c r="G251" s="26" t="str">
        <x:v>标点与分段参考《山海经校注》；正文对读：https://ctext.org/shan-hai-jing/xi-shan-jing/zh</x:v>
      </x:c>
      <x:c r="H251" s="27" t="e">
        <x:f>HYPERLINK("#'山海经原文总库'!A3","↩ 返回目录")</x:f>
        <x:v>HYPERLINK is not implemented. linkLocation=#'山海经原文总库'!A3, friendlyName=↩ 返回目录</x:v>
      </x:c>
      <x:c r="I251" s="437"/>
      <x:c r="J251" s="437"/>
      <x:c r="K251" s="437" t="str">
        <x:v>经文已收录｜非地点行</x:v>
      </x:c>
    </x:row>
    <x:row r="252" ht="48" customHeight="1">
      <x:c r="A252" s="24" t="str">
        <x:v>SHJ-02-057</x:v>
      </x:c>
      <x:c r="B252" s="24" t="str">
        <x:v>卷二 《西山經》</x:v>
      </x:c>
      <x:c r="C252" s="25" t="str">
        <x:v>西次四經之首曰陰山，上多谷，無石，其草多茆、蕃。陰水出焉，西流注於洛。</x:v>
      </x:c>
      <x:c r="D252" s="24" t="str">
        <x:v>陰山</x:v>
      </x:c>
      <x:c r="E252" s="24" t="str">
        <x:v>山</x:v>
      </x:c>
      <x:c r="F252" s="12"/>
      <x:c r="G252" s="26" t="str">
        <x:v>标点与分段参考《山海经校注》；正文对读：https://ctext.org/shan-hai-jing/xi-shan-jing/zh</x:v>
      </x:c>
      <x:c r="H252" s="27" t="e">
        <x:f>HYPERLINK("#'山海经原文总库'!A3","↩ 返回目录")</x:f>
        <x:v>HYPERLINK is not implemented. linkLocation=#'山海经原文总库'!A3, friendlyName=↩ 返回目录</x:v>
      </x:c>
      <x:c r="I252" s="437"/>
      <x:c r="J252" s="437"/>
      <x:c r="K252" s="437" t="str">
        <x:v>待同名检索｜待建档</x:v>
      </x:c>
    </x:row>
    <x:row r="253" ht="22.5" customHeight="1">
      <x:c r="A253" s="24"/>
      <x:c r="B253" s="24"/>
      <x:c r="C253" s="25"/>
      <x:c r="D253" s="24" t="str">
        <x:v>陰水</x:v>
      </x:c>
      <x:c r="E253" s="24" t="str">
        <x:v>水系</x:v>
      </x:c>
      <x:c r="F253" s="12"/>
      <x:c r="G253" s="26"/>
      <x:c r="H253" s="27" t="e">
        <x:f>HYPERLINK("#'山海经原文总库'!A3","↩ 返回目录")</x:f>
        <x:v>HYPERLINK is not implemented. linkLocation=#'山海经原文总库'!A3, friendlyName=↩ 返回目录</x:v>
      </x:c>
      <x:c r="I253" s="437"/>
      <x:c r="J253" s="437"/>
      <x:c r="K253" s="437" t="str">
        <x:v>待同名检索｜待建档</x:v>
      </x:c>
    </x:row>
    <x:row r="254" ht="22.5" customHeight="1">
      <x:c r="A254" s="24"/>
      <x:c r="B254" s="24"/>
      <x:c r="C254" s="25"/>
      <x:c r="D254" s="24" t="str">
        <x:v>上多谷</x:v>
      </x:c>
      <x:c r="E254" s="24" t="str">
        <x:v>區域</x:v>
      </x:c>
      <x:c r="F254" s="12"/>
      <x:c r="G254" s="26"/>
      <x:c r="H254" s="27" t="e">
        <x:f>HYPERLINK("#'山海经原文总库'!A3","↩ 返回目录")</x:f>
        <x:v>HYPERLINK is not implemented. linkLocation=#'山海经原文总库'!A3, friendlyName=↩ 返回目录</x:v>
      </x:c>
      <x:c r="I254" s="437"/>
      <x:c r="J254" s="437"/>
      <x:c r="K254" s="437" t="str">
        <x:v>待同名检索｜待建档</x:v>
      </x:c>
    </x:row>
    <x:row r="255" ht="48" customHeight="1">
      <x:c r="A255" s="24" t="str">
        <x:v>SHJ-02-058</x:v>
      </x:c>
      <x:c r="B255" s="24" t="str">
        <x:v>卷二 《西山經》</x:v>
      </x:c>
      <x:c r="C255" s="25" t="str">
        <x:v>北五十里，曰勞山，多茈草。弱水出焉，而西流注於洛。</x:v>
      </x:c>
      <x:c r="D255" s="24" t="str">
        <x:v>勞山</x:v>
      </x:c>
      <x:c r="E255" s="24" t="str">
        <x:v>山</x:v>
      </x:c>
      <x:c r="F255" s="12"/>
      <x:c r="G255" s="26" t="str">
        <x:v>标点与分段参考《山海经校注》；正文对读：https://ctext.org/shan-hai-jing/xi-shan-jing/zh</x:v>
      </x:c>
      <x:c r="H255" s="27" t="e">
        <x:f>HYPERLINK("#'山海经原文总库'!A3","↩ 返回目录")</x:f>
        <x:v>HYPERLINK is not implemented. linkLocation=#'山海经原文总库'!A3, friendlyName=↩ 返回目录</x:v>
      </x:c>
      <x:c r="I255" s="437"/>
      <x:c r="J255" s="437"/>
      <x:c r="K255" s="437" t="str">
        <x:v>待同名检索｜待建档</x:v>
      </x:c>
    </x:row>
    <x:row r="256" ht="22.5" customHeight="1">
      <x:c r="A256" s="24"/>
      <x:c r="B256" s="24"/>
      <x:c r="C256" s="25"/>
      <x:c r="D256" s="24" t="str">
        <x:v>弱水</x:v>
      </x:c>
      <x:c r="E256" s="24" t="str">
        <x:v>水系</x:v>
      </x:c>
      <x:c r="F256" s="12"/>
      <x:c r="G256" s="26"/>
      <x:c r="H256" s="27" t="e">
        <x:f>HYPERLINK("#'山海经原文总库'!A3","↩ 返回目录")</x:f>
        <x:v>HYPERLINK is not implemented. linkLocation=#'山海经原文总库'!A3, friendlyName=↩ 返回目录</x:v>
      </x:c>
      <x:c r="I256" s="437"/>
      <x:c r="J256" s="437"/>
      <x:c r="K256" s="437" t="str">
        <x:v>待同名检索｜待建档</x:v>
      </x:c>
    </x:row>
    <x:row r="257" ht="48" customHeight="1">
      <x:c r="A257" s="24" t="str">
        <x:v>SHJ-02-059</x:v>
      </x:c>
      <x:c r="B257" s="24" t="str">
        <x:v>卷二 《西山經》</x:v>
      </x:c>
      <x:c r="C257" s="25" t="str">
        <x:v>西五十里，曰罷父之山。洱水出焉，而西南流注於洛，其中多茈、碧。</x:v>
      </x:c>
      <x:c r="D257" s="24" t="str">
        <x:v>罷父之山</x:v>
      </x:c>
      <x:c r="E257" s="24" t="str">
        <x:v>山</x:v>
      </x:c>
      <x:c r="F257" s="12"/>
      <x:c r="G257" s="26" t="str">
        <x:v>标点与分段参考《山海经校注》；正文对读：https://ctext.org/shan-hai-jing/xi-shan-jing/zh</x:v>
      </x:c>
      <x:c r="H257" s="27" t="e">
        <x:f>HYPERLINK("#'山海经原文总库'!A3","↩ 返回目录")</x:f>
        <x:v>HYPERLINK is not implemented. linkLocation=#'山海经原文总库'!A3, friendlyName=↩ 返回目录</x:v>
      </x:c>
      <x:c r="I257" s="437"/>
      <x:c r="J257" s="437"/>
      <x:c r="K257" s="437" t="str">
        <x:v>待同名检索｜待建档</x:v>
      </x:c>
    </x:row>
    <x:row r="258" ht="22.5" customHeight="1">
      <x:c r="A258" s="24"/>
      <x:c r="B258" s="24"/>
      <x:c r="C258" s="25"/>
      <x:c r="D258" s="24" t="str">
        <x:v>洱水</x:v>
      </x:c>
      <x:c r="E258" s="24" t="str">
        <x:v>水系</x:v>
      </x:c>
      <x:c r="F258" s="12"/>
      <x:c r="G258" s="26"/>
      <x:c r="H258" s="27" t="e">
        <x:f>HYPERLINK("#'山海经原文总库'!A3","↩ 返回目录")</x:f>
        <x:v>HYPERLINK is not implemented. linkLocation=#'山海经原文总库'!A3, friendlyName=↩ 返回目录</x:v>
      </x:c>
      <x:c r="I258" s="437"/>
      <x:c r="J258" s="437"/>
      <x:c r="K258" s="437" t="str">
        <x:v>待同名检索｜待建档</x:v>
      </x:c>
    </x:row>
    <x:row r="259" ht="48" customHeight="1">
      <x:c r="A259" s="24" t="str">
        <x:v>SHJ-02-060</x:v>
      </x:c>
      <x:c r="B259" s="24" t="str">
        <x:v>卷二 《西山經》</x:v>
      </x:c>
      <x:c r="C259" s="25" t="str">
        <x:v>北百七十里，曰申山，其上多谷柞，其下多杻橿，其陽多金玉。區水出焉，而東流注於河。</x:v>
      </x:c>
      <x:c r="D259" s="24" t="str">
        <x:v>申山</x:v>
      </x:c>
      <x:c r="E259" s="24" t="str">
        <x:v>山</x:v>
      </x:c>
      <x:c r="F259" s="12"/>
      <x:c r="G259" s="26" t="str">
        <x:v>标点与分段参考《山海经校注》；正文对读：https://ctext.org/shan-hai-jing/xi-shan-jing/zh</x:v>
      </x:c>
      <x:c r="H259" s="27" t="e">
        <x:f>HYPERLINK("#'山海经原文总库'!A3","↩ 返回目录")</x:f>
        <x:v>HYPERLINK is not implemented. linkLocation=#'山海经原文总库'!A3, friendlyName=↩ 返回目录</x:v>
      </x:c>
      <x:c r="I259" s="437"/>
      <x:c r="J259" s="437"/>
      <x:c r="K259" s="437" t="str">
        <x:v>待同名检索｜待建档</x:v>
      </x:c>
    </x:row>
    <x:row r="260" ht="22.5" customHeight="1">
      <x:c r="A260" s="24"/>
      <x:c r="B260" s="24"/>
      <x:c r="C260" s="25"/>
      <x:c r="D260" s="24" t="str">
        <x:v>區水</x:v>
      </x:c>
      <x:c r="E260" s="24" t="str">
        <x:v>水系</x:v>
      </x:c>
      <x:c r="F260" s="12"/>
      <x:c r="G260" s="26"/>
      <x:c r="H260" s="27" t="e">
        <x:f>HYPERLINK("#'山海经原文总库'!A3","↩ 返回目录")</x:f>
        <x:v>HYPERLINK is not implemented. linkLocation=#'山海经原文总库'!A3, friendlyName=↩ 返回目录</x:v>
      </x:c>
      <x:c r="I260" s="437"/>
      <x:c r="J260" s="437"/>
      <x:c r="K260" s="437" t="str">
        <x:v>待同名检索｜待建档</x:v>
      </x:c>
    </x:row>
    <x:row r="261" ht="22.5" customHeight="1">
      <x:c r="A261" s="24"/>
      <x:c r="B261" s="24"/>
      <x:c r="C261" s="25"/>
      <x:c r="D261" s="24" t="str">
        <x:v>河</x:v>
      </x:c>
      <x:c r="E261" s="24" t="str">
        <x:v>地理名稱</x:v>
      </x:c>
      <x:c r="F261" s="12"/>
      <x:c r="G261" s="26"/>
      <x:c r="H261" s="27" t="e">
        <x:f>HYPERLINK("#'山海经原文总库'!A3","↩ 返回目录")</x:f>
        <x:v>HYPERLINK is not implemented. linkLocation=#'山海经原文总库'!A3, friendlyName=↩ 返回目录</x:v>
      </x:c>
      <x:c r="I261" s="437"/>
      <x:c r="J261" s="437"/>
      <x:c r="K261" s="437" t="str">
        <x:v>待同名检索｜待建档</x:v>
      </x:c>
    </x:row>
    <x:row r="262" ht="48" customHeight="1">
      <x:c r="A262" s="24" t="str">
        <x:v>SHJ-02-061</x:v>
      </x:c>
      <x:c r="B262" s="24" t="str">
        <x:v>卷二 《西山經》</x:v>
      </x:c>
      <x:c r="C262" s="25" t="str">
        <x:v>北二百里，曰鳥山，其上多桑，其下多楮，其陰多鐵，其陽多玉。辱水出焉，而東流注於河。</x:v>
      </x:c>
      <x:c r="D262" s="24" t="str">
        <x:v>鳥山</x:v>
      </x:c>
      <x:c r="E262" s="24" t="str">
        <x:v>山</x:v>
      </x:c>
      <x:c r="F262" s="12"/>
      <x:c r="G262" s="26" t="str">
        <x:v>标点与分段参考《山海经校注》；正文对读：https://ctext.org/shan-hai-jing/xi-shan-jing/zh</x:v>
      </x:c>
      <x:c r="H262" s="27" t="e">
        <x:f>HYPERLINK("#'山海经原文总库'!A3","↩ 返回目录")</x:f>
        <x:v>HYPERLINK is not implemented. linkLocation=#'山海经原文总库'!A3, friendlyName=↩ 返回目录</x:v>
      </x:c>
      <x:c r="I262" s="437"/>
      <x:c r="J262" s="437"/>
      <x:c r="K262" s="437" t="str">
        <x:v>待同名检索｜待建档</x:v>
      </x:c>
    </x:row>
    <x:row r="263" ht="22.5" customHeight="1">
      <x:c r="A263" s="24"/>
      <x:c r="B263" s="24"/>
      <x:c r="C263" s="25"/>
      <x:c r="D263" s="24" t="str">
        <x:v>辱水</x:v>
      </x:c>
      <x:c r="E263" s="24" t="str">
        <x:v>水系</x:v>
      </x:c>
      <x:c r="F263" s="12"/>
      <x:c r="G263" s="26"/>
      <x:c r="H263" s="27" t="e">
        <x:f>HYPERLINK("#'山海经原文总库'!A3","↩ 返回目录")</x:f>
        <x:v>HYPERLINK is not implemented. linkLocation=#'山海经原文总库'!A3, friendlyName=↩ 返回目录</x:v>
      </x:c>
      <x:c r="I263" s="437"/>
      <x:c r="J263" s="437"/>
      <x:c r="K263" s="437" t="str">
        <x:v>待同名检索｜待建档</x:v>
      </x:c>
    </x:row>
    <x:row r="264" ht="22.5" customHeight="1">
      <x:c r="A264" s="24"/>
      <x:c r="B264" s="24"/>
      <x:c r="C264" s="25"/>
      <x:c r="D264" s="24" t="str">
        <x:v>河</x:v>
      </x:c>
      <x:c r="E264" s="24" t="str">
        <x:v>地理名稱</x:v>
      </x:c>
      <x:c r="F264" s="12"/>
      <x:c r="G264" s="26"/>
      <x:c r="H264" s="27" t="e">
        <x:f>HYPERLINK("#'山海经原文总库'!A3","↩ 返回目录")</x:f>
        <x:v>HYPERLINK is not implemented. linkLocation=#'山海经原文总库'!A3, friendlyName=↩ 返回目录</x:v>
      </x:c>
      <x:c r="I264" s="437"/>
      <x:c r="J264" s="437"/>
      <x:c r="K264" s="437" t="str">
        <x:v>待同名检索｜待建档</x:v>
      </x:c>
    </x:row>
    <x:row r="265" ht="48" customHeight="1">
      <x:c r="A265" s="24" t="str">
        <x:v>SHJ-02-062</x:v>
      </x:c>
      <x:c r="B265" s="24" t="str">
        <x:v>卷二 《西山經》</x:v>
      </x:c>
      <x:c r="C265" s="25" t="str">
        <x:v>又北二十里，曰上申之山，上無草木，而多硌石，下多榛楛，獸多白鹿。其鳥多當扈，其狀如雉，以其髯飛，食之不眴目。湯水出焉，東流注於河。</x:v>
      </x:c>
      <x:c r="D265" s="24" t="str">
        <x:v>上申之山</x:v>
      </x:c>
      <x:c r="E265" s="24" t="str">
        <x:v>山</x:v>
      </x:c>
      <x:c r="F265" s="12"/>
      <x:c r="G265" s="26" t="str">
        <x:v>标点与分段参考《山海经校注》；正文对读：https://ctext.org/shan-hai-jing/xi-shan-jing/zh</x:v>
      </x:c>
      <x:c r="H265" s="27" t="e">
        <x:f>HYPERLINK("#'山海经原文总库'!A3","↩ 返回目录")</x:f>
        <x:v>HYPERLINK is not implemented. linkLocation=#'山海经原文总库'!A3, friendlyName=↩ 返回目录</x:v>
      </x:c>
      <x:c r="I265" s="437"/>
      <x:c r="J265" s="437"/>
      <x:c r="K265" s="437" t="str">
        <x:v>待同名检索｜待建档</x:v>
      </x:c>
    </x:row>
    <x:row r="266" ht="22.5" customHeight="1">
      <x:c r="A266" s="24"/>
      <x:c r="B266" s="24"/>
      <x:c r="C266" s="25"/>
      <x:c r="D266" s="24" t="str">
        <x:v>湯水</x:v>
      </x:c>
      <x:c r="E266" s="24" t="str">
        <x:v>水系</x:v>
      </x:c>
      <x:c r="F266" s="12"/>
      <x:c r="G266" s="26"/>
      <x:c r="H266" s="27" t="e">
        <x:f>HYPERLINK("#'山海经原文总库'!A3","↩ 返回目录")</x:f>
        <x:v>HYPERLINK is not implemented. linkLocation=#'山海经原文总库'!A3, friendlyName=↩ 返回目录</x:v>
      </x:c>
      <x:c r="I266" s="437"/>
      <x:c r="J266" s="437"/>
      <x:c r="K266" s="437" t="str">
        <x:v>待同名检索｜待建档</x:v>
      </x:c>
    </x:row>
    <x:row r="267" ht="22.5" customHeight="1">
      <x:c r="A267" s="24"/>
      <x:c r="B267" s="24"/>
      <x:c r="C267" s="25"/>
      <x:c r="D267" s="24" t="str">
        <x:v>河</x:v>
      </x:c>
      <x:c r="E267" s="24" t="str">
        <x:v>地理名稱</x:v>
      </x:c>
      <x:c r="F267" s="12"/>
      <x:c r="G267" s="26"/>
      <x:c r="H267" s="27" t="e">
        <x:f>HYPERLINK("#'山海经原文总库'!A3","↩ 返回目录")</x:f>
        <x:v>HYPERLINK is not implemented. linkLocation=#'山海经原文总库'!A3, friendlyName=↩ 返回目录</x:v>
      </x:c>
      <x:c r="I267" s="437"/>
      <x:c r="J267" s="437"/>
      <x:c r="K267" s="437" t="str">
        <x:v>待同名检索｜待建档</x:v>
      </x:c>
    </x:row>
    <x:row r="268" ht="48" customHeight="1">
      <x:c r="A268" s="24" t="str">
        <x:v>SHJ-02-063</x:v>
      </x:c>
      <x:c r="B268" s="24" t="str">
        <x:v>卷二 《西山經》</x:v>
      </x:c>
      <x:c r="C268" s="25" t="str">
        <x:v>又北八十里，曰諸次之山，諸次之水出焉，而東流注於河。是山也，多木無草，鳥獸莫居，是多眾蛇。</x:v>
      </x:c>
      <x:c r="D268" s="24" t="str">
        <x:v>諸次之山</x:v>
      </x:c>
      <x:c r="E268" s="24" t="str">
        <x:v>山</x:v>
      </x:c>
      <x:c r="F268" s="12"/>
      <x:c r="G268" s="26" t="str">
        <x:v>标点与分段参考《山海经校注》；正文对读：https://ctext.org/shan-hai-jing/xi-shan-jing/zh</x:v>
      </x:c>
      <x:c r="H268" s="27" t="e">
        <x:f>HYPERLINK("#'山海经原文总库'!A3","↩ 返回目录")</x:f>
        <x:v>HYPERLINK is not implemented. linkLocation=#'山海经原文总库'!A3, friendlyName=↩ 返回目录</x:v>
      </x:c>
      <x:c r="I268" s="437"/>
      <x:c r="J268" s="437"/>
      <x:c r="K268" s="437" t="str">
        <x:v>待同名检索｜待建档</x:v>
      </x:c>
    </x:row>
    <x:row r="269" ht="22.5" customHeight="1">
      <x:c r="A269" s="24"/>
      <x:c r="B269" s="24"/>
      <x:c r="C269" s="25"/>
      <x:c r="D269" s="24" t="str">
        <x:v>諸次之水</x:v>
      </x:c>
      <x:c r="E269" s="24" t="str">
        <x:v>水系</x:v>
      </x:c>
      <x:c r="F269" s="12"/>
      <x:c r="G269" s="26"/>
      <x:c r="H269" s="27" t="e">
        <x:f>HYPERLINK("#'山海经原文总库'!A3","↩ 返回目录")</x:f>
        <x:v>HYPERLINK is not implemented. linkLocation=#'山海经原文总库'!A3, friendlyName=↩ 返回目录</x:v>
      </x:c>
      <x:c r="I269" s="437"/>
      <x:c r="J269" s="437"/>
      <x:c r="K269" s="437" t="str">
        <x:v>待同名检索｜待建档</x:v>
      </x:c>
    </x:row>
    <x:row r="270" ht="22.5" customHeight="1">
      <x:c r="A270" s="24"/>
      <x:c r="B270" s="24"/>
      <x:c r="C270" s="25"/>
      <x:c r="D270" s="24" t="str">
        <x:v>河</x:v>
      </x:c>
      <x:c r="E270" s="24" t="str">
        <x:v>地理名稱</x:v>
      </x:c>
      <x:c r="F270" s="12"/>
      <x:c r="G270" s="26"/>
      <x:c r="H270" s="27" t="e">
        <x:f>HYPERLINK("#'山海经原文总库'!A3","↩ 返回目录")</x:f>
        <x:v>HYPERLINK is not implemented. linkLocation=#'山海经原文总库'!A3, friendlyName=↩ 返回目录</x:v>
      </x:c>
      <x:c r="I270" s="437"/>
      <x:c r="J270" s="437"/>
      <x:c r="K270" s="437" t="str">
        <x:v>待同名检索｜待建档</x:v>
      </x:c>
    </x:row>
    <x:row r="271" ht="48" customHeight="1">
      <x:c r="A271" s="24" t="str">
        <x:v>SHJ-02-064</x:v>
      </x:c>
      <x:c r="B271" s="24" t="str">
        <x:v>卷二 《西山經》</x:v>
      </x:c>
      <x:c r="C271" s="25" t="str">
        <x:v>又北百八十里，曰號山，其木多漆、棕，其草多藥、虈、芎藭。多？石。端水出焉，而東流注於河。</x:v>
      </x:c>
      <x:c r="D271" s="24" t="str">
        <x:v>號山</x:v>
      </x:c>
      <x:c r="E271" s="24" t="str">
        <x:v>山</x:v>
      </x:c>
      <x:c r="F271" s="12"/>
      <x:c r="G271" s="26" t="str">
        <x:v>标点与分段参考《山海经校注》；正文对读：https://ctext.org/shan-hai-jing/xi-shan-jing/zh</x:v>
      </x:c>
      <x:c r="H271" s="27" t="e">
        <x:f>HYPERLINK("#'山海经原文总库'!A3","↩ 返回目录")</x:f>
        <x:v>HYPERLINK is not implemented. linkLocation=#'山海经原文总库'!A3, friendlyName=↩ 返回目录</x:v>
      </x:c>
      <x:c r="I271" s="437"/>
      <x:c r="J271" s="437"/>
      <x:c r="K271" s="437" t="str">
        <x:v>待同名检索｜待建档</x:v>
      </x:c>
    </x:row>
    <x:row r="272" ht="22.5" customHeight="1">
      <x:c r="A272" s="24"/>
      <x:c r="B272" s="24"/>
      <x:c r="C272" s="25"/>
      <x:c r="D272" s="24" t="str">
        <x:v>端水</x:v>
      </x:c>
      <x:c r="E272" s="24" t="str">
        <x:v>水系</x:v>
      </x:c>
      <x:c r="F272" s="12"/>
      <x:c r="G272" s="26"/>
      <x:c r="H272" s="27" t="e">
        <x:f>HYPERLINK("#'山海经原文总库'!A3","↩ 返回目录")</x:f>
        <x:v>HYPERLINK is not implemented. linkLocation=#'山海经原文总库'!A3, friendlyName=↩ 返回目录</x:v>
      </x:c>
      <x:c r="I272" s="437"/>
      <x:c r="J272" s="437"/>
      <x:c r="K272" s="437" t="str">
        <x:v>待同名检索｜待建档</x:v>
      </x:c>
    </x:row>
    <x:row r="273" ht="22.5" customHeight="1">
      <x:c r="A273" s="24"/>
      <x:c r="B273" s="24"/>
      <x:c r="C273" s="25"/>
      <x:c r="D273" s="24" t="str">
        <x:v>河</x:v>
      </x:c>
      <x:c r="E273" s="24" t="str">
        <x:v>地理名稱</x:v>
      </x:c>
      <x:c r="F273" s="12"/>
      <x:c r="G273" s="26"/>
      <x:c r="H273" s="27" t="e">
        <x:f>HYPERLINK("#'山海经原文总库'!A3","↩ 返回目录")</x:f>
        <x:v>HYPERLINK is not implemented. linkLocation=#'山海经原文总库'!A3, friendlyName=↩ 返回目录</x:v>
      </x:c>
      <x:c r="I273" s="437"/>
      <x:c r="J273" s="437"/>
      <x:c r="K273" s="437" t="str">
        <x:v>待同名检索｜待建档</x:v>
      </x:c>
    </x:row>
    <x:row r="274" ht="48" customHeight="1">
      <x:c r="A274" s="24" t="str">
        <x:v>SHJ-02-065</x:v>
      </x:c>
      <x:c r="B274" s="24" t="str">
        <x:v>卷二 《西山經》</x:v>
      </x:c>
      <x:c r="C274" s="25" t="str">
        <x:v>又北二百二十里，曰盂山，其陰多鐵，其陽多銅，其獸多白狼白虎，其鳥多白雉白翟。生水出焉，而東流注於河。</x:v>
      </x:c>
      <x:c r="D274" s="24" t="str">
        <x:v>盂山</x:v>
      </x:c>
      <x:c r="E274" s="24" t="str">
        <x:v>山</x:v>
      </x:c>
      <x:c r="F274" s="12"/>
      <x:c r="G274" s="26" t="str">
        <x:v>标点与分段参考《山海经校注》；正文对读：https://ctext.org/shan-hai-jing/xi-shan-jing/zh</x:v>
      </x:c>
      <x:c r="H274" s="27" t="e">
        <x:f>HYPERLINK("#'山海经原文总库'!A3","↩ 返回目录")</x:f>
        <x:v>HYPERLINK is not implemented. linkLocation=#'山海经原文总库'!A3, friendlyName=↩ 返回目录</x:v>
      </x:c>
      <x:c r="I274" s="437"/>
      <x:c r="J274" s="437"/>
      <x:c r="K274" s="437" t="str">
        <x:v>待同名检索｜待建档</x:v>
      </x:c>
    </x:row>
    <x:row r="275" ht="22.5" customHeight="1">
      <x:c r="A275" s="24"/>
      <x:c r="B275" s="24"/>
      <x:c r="C275" s="25"/>
      <x:c r="D275" s="24" t="str">
        <x:v>生水</x:v>
      </x:c>
      <x:c r="E275" s="24" t="str">
        <x:v>水系</x:v>
      </x:c>
      <x:c r="F275" s="12"/>
      <x:c r="G275" s="26"/>
      <x:c r="H275" s="27" t="e">
        <x:f>HYPERLINK("#'山海经原文总库'!A3","↩ 返回目录")</x:f>
        <x:v>HYPERLINK is not implemented. linkLocation=#'山海经原文总库'!A3, friendlyName=↩ 返回目录</x:v>
      </x:c>
      <x:c r="I275" s="437"/>
      <x:c r="J275" s="437"/>
      <x:c r="K275" s="437" t="str">
        <x:v>待同名检索｜待建档</x:v>
      </x:c>
    </x:row>
    <x:row r="276" ht="22.5" customHeight="1">
      <x:c r="A276" s="24"/>
      <x:c r="B276" s="24"/>
      <x:c r="C276" s="25"/>
      <x:c r="D276" s="24" t="str">
        <x:v>河</x:v>
      </x:c>
      <x:c r="E276" s="24" t="str">
        <x:v>地理名稱</x:v>
      </x:c>
      <x:c r="F276" s="12"/>
      <x:c r="G276" s="26"/>
      <x:c r="H276" s="27" t="e">
        <x:f>HYPERLINK("#'山海经原文总库'!A3","↩ 返回目录")</x:f>
        <x:v>HYPERLINK is not implemented. linkLocation=#'山海经原文总库'!A3, friendlyName=↩ 返回目录</x:v>
      </x:c>
      <x:c r="I276" s="437"/>
      <x:c r="J276" s="437"/>
      <x:c r="K276" s="437" t="str">
        <x:v>待同名检索｜待建档</x:v>
      </x:c>
    </x:row>
    <x:row r="277" ht="48" customHeight="1">
      <x:c r="A277" s="24" t="str">
        <x:v>SHJ-02-066-1</x:v>
      </x:c>
      <x:c r="B277" s="24" t="str">
        <x:v>卷二 《西山經》</x:v>
      </x:c>
      <x:c r="C277" s="25" t="str">
        <x:v>西二百五十里，曰白於之山，上多松柏，下多櫟檀，其獸多（牛乍）牛、羬羊，其鳥多鴞。洛水出於其陽，而東流注於渭；夾水出於其陰，東流注於生水。</x:v>
      </x:c>
      <x:c r="D277" s="24" t="str">
        <x:v>白於之山</x:v>
      </x:c>
      <x:c r="E277" s="24" t="str">
        <x:v>山</x:v>
      </x:c>
      <x:c r="F277" s="12"/>
      <x:c r="G277" s="26" t="str">
        <x:v>标点与分段参考《山海经校注》；正文对读：https://ctext.org/shan-hai-jing/xi-shan-jing/zh</x:v>
      </x:c>
      <x:c r="H277" s="27" t="e">
        <x:f>HYPERLINK("#'山海经原文总库'!A3","↩ 返回目录")</x:f>
        <x:v>HYPERLINK is not implemented. linkLocation=#'山海经原文总库'!A3, friendlyName=↩ 返回目录</x:v>
      </x:c>
      <x:c r="I277" s="437"/>
      <x:c r="J277" s="437"/>
      <x:c r="K277" s="437" t="str">
        <x:v>待同名检索｜待建档</x:v>
      </x:c>
    </x:row>
    <x:row r="278" ht="22.5" customHeight="1">
      <x:c r="A278" s="24"/>
      <x:c r="B278" s="24"/>
      <x:c r="C278" s="25"/>
      <x:c r="D278" s="24" t="str">
        <x:v>洛水</x:v>
      </x:c>
      <x:c r="E278" s="24" t="str">
        <x:v>水系</x:v>
      </x:c>
      <x:c r="F278" s="12"/>
      <x:c r="G278" s="26"/>
      <x:c r="H278" s="27" t="e">
        <x:f>HYPERLINK("#'山海经原文总库'!A3","↩ 返回目录")</x:f>
        <x:v>HYPERLINK is not implemented. linkLocation=#'山海经原文总库'!A3, friendlyName=↩ 返回目录</x:v>
      </x:c>
      <x:c r="I278" s="437"/>
      <x:c r="J278" s="437"/>
      <x:c r="K278" s="437" t="str">
        <x:v>待同名检索｜待建档</x:v>
      </x:c>
    </x:row>
    <x:row r="279" ht="22.5" customHeight="1">
      <x:c r="A279" s="24"/>
      <x:c r="B279" s="24"/>
      <x:c r="C279" s="25"/>
      <x:c r="D279" s="24" t="str">
        <x:v>夾水</x:v>
      </x:c>
      <x:c r="E279" s="24" t="str">
        <x:v>水系</x:v>
      </x:c>
      <x:c r="F279" s="12"/>
      <x:c r="G279" s="26"/>
      <x:c r="H279" s="27" t="e">
        <x:f>HYPERLINK("#'山海经原文总库'!A3","↩ 返回目录")</x:f>
        <x:v>HYPERLINK is not implemented. linkLocation=#'山海经原文总库'!A3, friendlyName=↩ 返回目录</x:v>
      </x:c>
      <x:c r="I279" s="437"/>
      <x:c r="J279" s="437"/>
      <x:c r="K279" s="437" t="str">
        <x:v>待同名检索｜待建档</x:v>
      </x:c>
    </x:row>
    <x:row r="280" ht="22.5" customHeight="1">
      <x:c r="A280" s="24"/>
      <x:c r="B280" s="24"/>
      <x:c r="C280" s="25"/>
      <x:c r="D280" s="24" t="str">
        <x:v>生水</x:v>
      </x:c>
      <x:c r="E280" s="24" t="str">
        <x:v>水系</x:v>
      </x:c>
      <x:c r="F280" s="12"/>
      <x:c r="G280" s="26"/>
      <x:c r="H280" s="27" t="e">
        <x:f>HYPERLINK("#'山海经原文总库'!A3","↩ 返回目录")</x:f>
        <x:v>HYPERLINK is not implemented. linkLocation=#'山海经原文总库'!A3, friendlyName=↩ 返回目录</x:v>
      </x:c>
      <x:c r="I280" s="437"/>
      <x:c r="J280" s="437"/>
      <x:c r="K280" s="437" t="str">
        <x:v>待同名检索｜待建档</x:v>
      </x:c>
    </x:row>
    <x:row r="281" ht="22.5" customHeight="1">
      <x:c r="A281" s="24"/>
      <x:c r="B281" s="24"/>
      <x:c r="C281" s="25"/>
      <x:c r="D281" s="24" t="str">
        <x:v>申首之山</x:v>
      </x:c>
      <x:c r="E281" s="24" t="str">
        <x:v>山</x:v>
      </x:c>
      <x:c r="F281" s="12"/>
      <x:c r="G281" s="26"/>
      <x:c r="H281" s="27" t="e">
        <x:f>HYPERLINK("#'山海经原文总库'!A3","↩ 返回目录")</x:f>
        <x:v>HYPERLINK is not implemented. linkLocation=#'山海经原文总库'!A3, friendlyName=↩ 返回目录</x:v>
      </x:c>
      <x:c r="I281" s="437"/>
      <x:c r="J281" s="437"/>
      <x:c r="K281" s="437" t="str">
        <x:v>待同名检索｜待建档</x:v>
      </x:c>
    </x:row>
    <x:row r="282" ht="22.5" customHeight="1">
      <x:c r="A282" s="24"/>
      <x:c r="B282" s="24"/>
      <x:c r="C282" s="25"/>
      <x:c r="D282" s="24" t="str">
        <x:v>申水</x:v>
      </x:c>
      <x:c r="E282" s="24" t="str">
        <x:v>水系</x:v>
      </x:c>
      <x:c r="F282" s="12"/>
      <x:c r="G282" s="26"/>
      <x:c r="H282" s="27" t="e">
        <x:f>HYPERLINK("#'山海经原文总库'!A3","↩ 返回目录")</x:f>
        <x:v>HYPERLINK is not implemented. linkLocation=#'山海经原文总库'!A3, friendlyName=↩ 返回目录</x:v>
      </x:c>
      <x:c r="I282" s="437"/>
      <x:c r="J282" s="437"/>
      <x:c r="K282" s="437" t="str">
        <x:v>待同名检索｜待建档</x:v>
      </x:c>
    </x:row>
    <x:row r="283" ht="48" customHeight="1">
      <x:c r="A283" s="24" t="str">
        <x:v>SHJ-02-066-2</x:v>
      </x:c>
      <x:c r="B283" s="24" t="str">
        <x:v>卷二 《西山經》</x:v>
      </x:c>
      <x:c r="C283" s="25" t="str">
        <x:v>西北三百里，曰申首之山，無草木，冬夏有雪。申水出於其上，潛於其下，是多白玉。</x:v>
      </x:c>
      <x:c r="D283" s="24" t="str">
        <x:v>申首之山</x:v>
      </x:c>
      <x:c r="E283" s="24" t="str">
        <x:v>山</x:v>
      </x:c>
      <x:c r="F283" s="12"/>
      <x:c r="G283" s="26" t="str">
        <x:v>标点与分段参考《山海经校注》；正文对读：https://ctext.org/shan-hai-jing/xi-shan-jing/zh</x:v>
      </x:c>
      <x:c r="H283" s="27" t="e">
        <x:f>HYPERLINK("#'山海经原文总库'!A3","↩ 返回目录")</x:f>
        <x:v>HYPERLINK is not implemented. linkLocation=#'山海经原文总库'!A3, friendlyName=↩ 返回目录</x:v>
      </x:c>
      <x:c r="I283" s="437"/>
      <x:c r="J283" s="437"/>
      <x:c r="K283" s="437" t="str">
        <x:v>待同名检索｜待建档</x:v>
      </x:c>
    </x:row>
    <x:row r="284" ht="22.5" customHeight="1">
      <x:c r="A284" s="24"/>
      <x:c r="B284" s="24"/>
      <x:c r="C284" s="25"/>
      <x:c r="D284" s="24" t="str">
        <x:v>申水</x:v>
      </x:c>
      <x:c r="E284" s="24" t="str">
        <x:v>水系</x:v>
      </x:c>
      <x:c r="F284" s="12"/>
      <x:c r="G284" s="26"/>
      <x:c r="H284" s="27" t="e">
        <x:f>HYPERLINK("#'山海经原文总库'!A3","↩ 返回目录")</x:f>
        <x:v>HYPERLINK is not implemented. linkLocation=#'山海经原文总库'!A3, friendlyName=↩ 返回目录</x:v>
      </x:c>
      <x:c r="I284" s="437"/>
      <x:c r="J284" s="437"/>
      <x:c r="K284" s="437" t="str">
        <x:v>待同名检索｜待建档</x:v>
      </x:c>
    </x:row>
    <x:row r="285" ht="48" customHeight="1">
      <x:c r="A285" s="24" t="str">
        <x:v>SHJ-02-067</x:v>
      </x:c>
      <x:c r="B285" s="24" t="str">
        <x:v>卷二 《西山經》</x:v>
      </x:c>
      <x:c r="C285" s="25" t="str">
        <x:v>又西五十五里，曰涇谷之山，涇水出焉，東南流注於渭，是多白金白玉。</x:v>
      </x:c>
      <x:c r="D285" s="24" t="str">
        <x:v>涇谷之山</x:v>
      </x:c>
      <x:c r="E285" s="24" t="str">
        <x:v>山</x:v>
      </x:c>
      <x:c r="F285" s="12"/>
      <x:c r="G285" s="26" t="str">
        <x:v>标点与分段参考《山海经校注》；正文对读：https://ctext.org/shan-hai-jing/xi-shan-jing/zh</x:v>
      </x:c>
      <x:c r="H285" s="27" t="e">
        <x:f>HYPERLINK("#'山海经原文总库'!A3","↩ 返回目录")</x:f>
        <x:v>HYPERLINK is not implemented. linkLocation=#'山海经原文总库'!A3, friendlyName=↩ 返回目录</x:v>
      </x:c>
      <x:c r="I285" s="437"/>
      <x:c r="J285" s="437"/>
      <x:c r="K285" s="437" t="str">
        <x:v>待同名检索｜待建档</x:v>
      </x:c>
    </x:row>
    <x:row r="286" ht="22.5" customHeight="1">
      <x:c r="A286" s="24"/>
      <x:c r="B286" s="24"/>
      <x:c r="C286" s="25"/>
      <x:c r="D286" s="24" t="str">
        <x:v>涇水</x:v>
      </x:c>
      <x:c r="E286" s="24" t="str">
        <x:v>水系</x:v>
      </x:c>
      <x:c r="F286" s="12"/>
      <x:c r="G286" s="26"/>
      <x:c r="H286" s="27" t="e">
        <x:f>HYPERLINK("#'山海经原文总库'!A3","↩ 返回目录")</x:f>
        <x:v>HYPERLINK is not implemented. linkLocation=#'山海经原文总库'!A3, friendlyName=↩ 返回目录</x:v>
      </x:c>
      <x:c r="I286" s="437"/>
      <x:c r="J286" s="437"/>
      <x:c r="K286" s="437" t="str">
        <x:v>待同名检索｜待建档</x:v>
      </x:c>
    </x:row>
    <x:row r="287" ht="22.5" customHeight="1">
      <x:c r="A287" s="24"/>
      <x:c r="B287" s="24"/>
      <x:c r="C287" s="25"/>
      <x:c r="D287" s="24" t="str">
        <x:v>涇谷</x:v>
      </x:c>
      <x:c r="E287" s="24" t="str">
        <x:v>區域</x:v>
      </x:c>
      <x:c r="F287" s="12"/>
      <x:c r="G287" s="26"/>
      <x:c r="H287" s="27" t="e">
        <x:f>HYPERLINK("#'山海经原文总库'!A3","↩ 返回目录")</x:f>
        <x:v>HYPERLINK is not implemented. linkLocation=#'山海经原文总库'!A3, friendlyName=↩ 返回目录</x:v>
      </x:c>
      <x:c r="I287" s="437"/>
      <x:c r="J287" s="437"/>
      <x:c r="K287" s="437" t="str">
        <x:v>待同名检索｜待建档</x:v>
      </x:c>
    </x:row>
    <x:row r="288" ht="48" customHeight="1">
      <x:c r="A288" s="24" t="str">
        <x:v>SHJ-02-068</x:v>
      </x:c>
      <x:c r="B288" s="24" t="str">
        <x:v>卷二 《西山經》</x:v>
      </x:c>
      <x:c r="C288" s="25" t="str">
        <x:v>又西百二十里，曰剛山，多柒木，多（王雩）琈之玉。剛水出焉，北流注於渭。是多神（光鬼），其狀人面獸身，一足一手，其音如欽。</x:v>
      </x:c>
      <x:c r="D288" s="24" t="str">
        <x:v>剛山</x:v>
      </x:c>
      <x:c r="E288" s="24" t="str">
        <x:v>山</x:v>
      </x:c>
      <x:c r="F288" s="12"/>
      <x:c r="G288" s="26" t="str">
        <x:v>标点与分段参考《山海经校注》；正文对读：https://ctext.org/shan-hai-jing/xi-shan-jing/zh</x:v>
      </x:c>
      <x:c r="H288" s="27" t="e">
        <x:f>HYPERLINK("#'山海经原文总库'!A3","↩ 返回目录")</x:f>
        <x:v>HYPERLINK is not implemented. linkLocation=#'山海经原文总库'!A3, friendlyName=↩ 返回目录</x:v>
      </x:c>
      <x:c r="I288" s="437"/>
      <x:c r="J288" s="437"/>
      <x:c r="K288" s="437" t="str">
        <x:v>待同名检索｜待建档</x:v>
      </x:c>
    </x:row>
    <x:row r="289" ht="22.5" customHeight="1">
      <x:c r="A289" s="24"/>
      <x:c r="B289" s="24"/>
      <x:c r="C289" s="25"/>
      <x:c r="D289" s="24" t="str">
        <x:v>剛水</x:v>
      </x:c>
      <x:c r="E289" s="24" t="str">
        <x:v>水系</x:v>
      </x:c>
      <x:c r="F289" s="12"/>
      <x:c r="G289" s="26"/>
      <x:c r="H289" s="27" t="e">
        <x:f>HYPERLINK("#'山海经原文总库'!A3","↩ 返回目录")</x:f>
        <x:v>HYPERLINK is not implemented. linkLocation=#'山海经原文总库'!A3, friendlyName=↩ 返回目录</x:v>
      </x:c>
      <x:c r="I289" s="437"/>
      <x:c r="J289" s="437"/>
      <x:c r="K289" s="437" t="str">
        <x:v>待同名检索｜待建档</x:v>
      </x:c>
    </x:row>
    <x:row r="290" ht="48" customHeight="1">
      <x:c r="A290" s="24" t="str">
        <x:v>SHJ-02-069</x:v>
      </x:c>
      <x:c r="B290" s="24" t="str">
        <x:v>卷二 《西山經》</x:v>
      </x:c>
      <x:c r="C290" s="25" t="str">
        <x:v>又西二百里，至剛山之尾，洛水出焉，而北流注於河。其中多蠻蠻，其狀鼠身而鱉首，其音如吠犬。</x:v>
      </x:c>
      <x:c r="D290" s="24" t="str">
        <x:v>至剛山</x:v>
      </x:c>
      <x:c r="E290" s="24" t="str">
        <x:v>山</x:v>
      </x:c>
      <x:c r="F290" s="12"/>
      <x:c r="G290" s="26" t="str">
        <x:v>标点与分段参考《山海经校注》；正文对读：https://ctext.org/shan-hai-jing/xi-shan-jing/zh</x:v>
      </x:c>
      <x:c r="H290" s="27" t="e">
        <x:f>HYPERLINK("#'山海经原文总库'!A3","↩ 返回目录")</x:f>
        <x:v>HYPERLINK is not implemented. linkLocation=#'山海经原文总库'!A3, friendlyName=↩ 返回目录</x:v>
      </x:c>
      <x:c r="I290" s="437"/>
      <x:c r="J290" s="437"/>
      <x:c r="K290" s="437" t="str">
        <x:v>待同名检索｜待建档</x:v>
      </x:c>
    </x:row>
    <x:row r="291" ht="22.5" customHeight="1">
      <x:c r="A291" s="24"/>
      <x:c r="B291" s="24"/>
      <x:c r="C291" s="25"/>
      <x:c r="D291" s="24" t="str">
        <x:v>洛水</x:v>
      </x:c>
      <x:c r="E291" s="24" t="str">
        <x:v>水系</x:v>
      </x:c>
      <x:c r="F291" s="12"/>
      <x:c r="G291" s="26"/>
      <x:c r="H291" s="27" t="e">
        <x:f>HYPERLINK("#'山海经原文总库'!A3","↩ 返回目录")</x:f>
        <x:v>HYPERLINK is not implemented. linkLocation=#'山海经原文总库'!A3, friendlyName=↩ 返回目录</x:v>
      </x:c>
      <x:c r="I291" s="437"/>
      <x:c r="J291" s="437"/>
      <x:c r="K291" s="437" t="str">
        <x:v>待同名检索｜待建档</x:v>
      </x:c>
    </x:row>
    <x:row r="292" ht="22.5" customHeight="1">
      <x:c r="A292" s="24"/>
      <x:c r="B292" s="24"/>
      <x:c r="C292" s="25"/>
      <x:c r="D292" s="24" t="str">
        <x:v>河</x:v>
      </x:c>
      <x:c r="E292" s="24" t="str">
        <x:v>地理名稱</x:v>
      </x:c>
      <x:c r="F292" s="12"/>
      <x:c r="G292" s="26"/>
      <x:c r="H292" s="27" t="e">
        <x:f>HYPERLINK("#'山海经原文总库'!A3","↩ 返回目录")</x:f>
        <x:v>HYPERLINK is not implemented. linkLocation=#'山海经原文总库'!A3, friendlyName=↩ 返回目录</x:v>
      </x:c>
      <x:c r="I292" s="437"/>
      <x:c r="J292" s="437"/>
      <x:c r="K292" s="437" t="str">
        <x:v>待同名检索｜待建档</x:v>
      </x:c>
    </x:row>
    <x:row r="293" ht="48" customHeight="1">
      <x:c r="A293" s="24" t="str">
        <x:v>SHJ-02-070</x:v>
      </x:c>
      <x:c r="B293" s="24" t="str">
        <x:v>卷二 《西山經》</x:v>
      </x:c>
      <x:c r="C293" s="25" t="str">
        <x:v>又西三百五十里，曰英鞮之山，上多漆木，下多金玉，鳥獸盡白。涴水出焉，而北流注於陵羊之澤。是多冉遺之魚，魚身蛇首六足，其目如馬耳，食之使人不眯，可以御凶。</x:v>
      </x:c>
      <x:c r="D293" s="24" t="str">
        <x:v>英鞮之山</x:v>
      </x:c>
      <x:c r="E293" s="24" t="str">
        <x:v>山</x:v>
      </x:c>
      <x:c r="F293" s="12"/>
      <x:c r="G293" s="26" t="str">
        <x:v>标点与分段参考《山海经校注》；正文对读：https://ctext.org/shan-hai-jing/xi-shan-jing/zh</x:v>
      </x:c>
      <x:c r="H293" s="27" t="e">
        <x:f>HYPERLINK("#'山海经原文总库'!A3","↩ 返回目录")</x:f>
        <x:v>HYPERLINK is not implemented. linkLocation=#'山海经原文总库'!A3, friendlyName=↩ 返回目录</x:v>
      </x:c>
      <x:c r="I293" s="437"/>
      <x:c r="J293" s="437"/>
      <x:c r="K293" s="437" t="str">
        <x:v>待同名检索｜待建档</x:v>
      </x:c>
    </x:row>
    <x:row r="294" ht="22.5" customHeight="1">
      <x:c r="A294" s="24"/>
      <x:c r="B294" s="24"/>
      <x:c r="C294" s="25"/>
      <x:c r="D294" s="24" t="str">
        <x:v>涴水</x:v>
      </x:c>
      <x:c r="E294" s="24" t="str">
        <x:v>水系</x:v>
      </x:c>
      <x:c r="F294" s="12"/>
      <x:c r="G294" s="26"/>
      <x:c r="H294" s="27" t="e">
        <x:f>HYPERLINK("#'山海经原文总库'!A3","↩ 返回目录")</x:f>
        <x:v>HYPERLINK is not implemented. linkLocation=#'山海经原文总库'!A3, friendlyName=↩ 返回目录</x:v>
      </x:c>
      <x:c r="I294" s="437"/>
      <x:c r="J294" s="437"/>
      <x:c r="K294" s="437" t="str">
        <x:v>待同名检索｜待建档</x:v>
      </x:c>
    </x:row>
    <x:row r="295" ht="22.5" customHeight="1">
      <x:c r="A295" s="24"/>
      <x:c r="B295" s="24"/>
      <x:c r="C295" s="25"/>
      <x:c r="D295" s="24" t="str">
        <x:v>陵羊之澤</x:v>
      </x:c>
      <x:c r="E295" s="24" t="str">
        <x:v>水系</x:v>
      </x:c>
      <x:c r="F295" s="12"/>
      <x:c r="G295" s="26"/>
      <x:c r="H295" s="27" t="e">
        <x:f>HYPERLINK("#'山海经原文总库'!A3","↩ 返回目录")</x:f>
        <x:v>HYPERLINK is not implemented. linkLocation=#'山海经原文总库'!A3, friendlyName=↩ 返回目录</x:v>
      </x:c>
      <x:c r="I295" s="437"/>
      <x:c r="J295" s="437"/>
      <x:c r="K295" s="437" t="str">
        <x:v>待同名检索｜待建档</x:v>
      </x:c>
    </x:row>
    <x:row r="296" ht="64.5" customHeight="1">
      <x:c r="A296" s="24" t="str">
        <x:v>SHJ-02-071</x:v>
      </x:c>
      <x:c r="B296" s="24" t="str">
        <x:v>卷二 《西山經》</x:v>
      </x:c>
      <x:c r="C296" s="25" t="str">
        <x:v>又西三百里，曰中曲之山，其陽多玉，其陰多雄黃、白玉及金。有獸焉，其狀如馬而白身黑尾，一角，虎牙爪，音如鼓音，其名曰駁，是食虎豹，可以御兵。有木焉，其狀如棠，而員葉赤實，實大如木瓜，名曰櫰木，食之多力。</x:v>
      </x:c>
      <x:c r="D296" s="24" t="str">
        <x:v>中曲之山</x:v>
      </x:c>
      <x:c r="E296" s="24" t="str">
        <x:v>山</x:v>
      </x:c>
      <x:c r="F296" s="12"/>
      <x:c r="G296" s="26" t="str">
        <x:v>标点与分段参考《山海经校注》；正文对读：https://ctext.org/shan-hai-jing/xi-shan-jing/zh</x:v>
      </x:c>
      <x:c r="H296" s="27" t="e">
        <x:f>HYPERLINK("#'山海经原文总库'!A3","↩ 返回目录")</x:f>
        <x:v>HYPERLINK is not implemented. linkLocation=#'山海经原文总库'!A3, friendlyName=↩ 返回目录</x:v>
      </x:c>
      <x:c r="I296" s="437"/>
      <x:c r="J296" s="437"/>
      <x:c r="K296" s="437" t="str">
        <x:v>待同名检索｜待建档</x:v>
      </x:c>
    </x:row>
    <x:row r="297" ht="48" customHeight="1">
      <x:c r="A297" s="24" t="str">
        <x:v>SHJ-02-072</x:v>
      </x:c>
      <x:c r="B297" s="24" t="str">
        <x:v>卷二 《西山經》</x:v>
      </x:c>
      <x:c r="C297" s="25" t="str">
        <x:v>又西二百六十里，曰邽山。其上有獸焉，其狀如牛，蝟毛，名曰窮奇，音如？狗，是食人。蒙水出焉，南流注於洋水，其中多黃貝，蠃魚，魚身而鳥翼，音如鴛鴦，見則其邑大水。</x:v>
      </x:c>
      <x:c r="D297" s="24" t="str">
        <x:v>邽山</x:v>
      </x:c>
      <x:c r="E297" s="24" t="str">
        <x:v>山</x:v>
      </x:c>
      <x:c r="F297" s="12"/>
      <x:c r="G297" s="26" t="str">
        <x:v>标点与分段参考《山海经校注》；正文对读：https://ctext.org/shan-hai-jing/xi-shan-jing/zh</x:v>
      </x:c>
      <x:c r="H297" s="27" t="e">
        <x:f>HYPERLINK("#'山海经原文总库'!A3","↩ 返回目录")</x:f>
        <x:v>HYPERLINK is not implemented. linkLocation=#'山海经原文总库'!A3, friendlyName=↩ 返回目录</x:v>
      </x:c>
      <x:c r="I297" s="437"/>
      <x:c r="J297" s="437"/>
      <x:c r="K297" s="437" t="str">
        <x:v>待同名检索｜待建档</x:v>
      </x:c>
    </x:row>
    <x:row r="298" ht="22.5" customHeight="1">
      <x:c r="A298" s="24"/>
      <x:c r="B298" s="24"/>
      <x:c r="C298" s="25"/>
      <x:c r="D298" s="24" t="str">
        <x:v>蒙水</x:v>
      </x:c>
      <x:c r="E298" s="24" t="str">
        <x:v>水系</x:v>
      </x:c>
      <x:c r="F298" s="12"/>
      <x:c r="G298" s="26"/>
      <x:c r="H298" s="27" t="e">
        <x:f>HYPERLINK("#'山海经原文总库'!A3","↩ 返回目录")</x:f>
        <x:v>HYPERLINK is not implemented. linkLocation=#'山海经原文总库'!A3, friendlyName=↩ 返回目录</x:v>
      </x:c>
      <x:c r="I298" s="437"/>
      <x:c r="J298" s="437"/>
      <x:c r="K298" s="437" t="str">
        <x:v>待同名检索｜待建档</x:v>
      </x:c>
    </x:row>
    <x:row r="299" ht="22.5" customHeight="1">
      <x:c r="A299" s="24"/>
      <x:c r="B299" s="24"/>
      <x:c r="C299" s="25"/>
      <x:c r="D299" s="24" t="str">
        <x:v>洋水</x:v>
      </x:c>
      <x:c r="E299" s="24" t="str">
        <x:v>水系</x:v>
      </x:c>
      <x:c r="F299" s="12"/>
      <x:c r="G299" s="26"/>
      <x:c r="H299" s="27" t="e">
        <x:f>HYPERLINK("#'山海经原文总库'!A3","↩ 返回目录")</x:f>
        <x:v>HYPERLINK is not implemented. linkLocation=#'山海经原文总库'!A3, friendlyName=↩ 返回目录</x:v>
      </x:c>
      <x:c r="I299" s="437"/>
      <x:c r="J299" s="437"/>
      <x:c r="K299" s="437" t="str">
        <x:v>待同名检索｜待建档</x:v>
      </x:c>
    </x:row>
    <x:row r="300" ht="22.5" customHeight="1">
      <x:c r="A300" s="24"/>
      <x:c r="B300" s="24"/>
      <x:c r="C300" s="25"/>
      <x:c r="D300" s="24" t="str">
        <x:v>濛水</x:v>
      </x:c>
      <x:c r="E300" s="24" t="str">
        <x:v>水系</x:v>
      </x:c>
      <x:c r="F300" s="12"/>
      <x:c r="G300" s="26"/>
      <x:c r="H300" s="27" t="e">
        <x:f>HYPERLINK("#'山海经原文总库'!A3","↩ 返回目录")</x:f>
        <x:v>HYPERLINK is not implemented. linkLocation=#'山海经原文总库'!A3, friendlyName=↩ 返回目录</x:v>
      </x:c>
      <x:c r="I300" s="437"/>
      <x:c r="J300" s="437"/>
      <x:c r="K300" s="437" t="str">
        <x:v>待同名检索｜待建档</x:v>
      </x:c>
    </x:row>
    <x:row r="301" ht="64.5" customHeight="1">
      <x:c r="A301" s="24" t="str">
        <x:v>SHJ-02-073-1</x:v>
      </x:c>
      <x:c r="B301" s="24" t="str">
        <x:v>卷二 《西山經》</x:v>
      </x:c>
      <x:c r="C301" s="25" t="str">
        <x:v>又西二百二十里，曰鳥鼠同穴之山，其上多白虎、白玉。渭水出焉，而東流注於河。其中多（魚蚤）魚，其狀如鱣魚，動則其邑有大兵。濫水出於其西，西流注於漢水。多（上如下魚）（魚比）之魚，其狀如覆銚，鳥首而魚翼魚尾，音如磬石之聲，是生珠玉。</x:v>
      </x:c>
      <x:c r="D301" s="24" t="str">
        <x:v>鳥鼠同穴之山</x:v>
      </x:c>
      <x:c r="E301" s="24" t="str">
        <x:v>山</x:v>
      </x:c>
      <x:c r="F301" s="12"/>
      <x:c r="G301" s="26" t="str">
        <x:v>标点与分段参考《山海经校注》；正文对读：https://ctext.org/shan-hai-jing/xi-shan-jing/zh</x:v>
      </x:c>
      <x:c r="H301" s="27" t="e">
        <x:f>HYPERLINK("#'山海经原文总库'!A3","↩ 返回目录")</x:f>
        <x:v>HYPERLINK is not implemented. linkLocation=#'山海经原文总库'!A3, friendlyName=↩ 返回目录</x:v>
      </x:c>
      <x:c r="I301" s="437"/>
      <x:c r="J301" s="437"/>
      <x:c r="K301" s="437" t="str">
        <x:v>待同名检索｜待建档</x:v>
      </x:c>
    </x:row>
    <x:row r="302" ht="22.5" customHeight="1">
      <x:c r="A302" s="24"/>
      <x:c r="B302" s="24"/>
      <x:c r="C302" s="25"/>
      <x:c r="D302" s="24" t="str">
        <x:v>渭水</x:v>
      </x:c>
      <x:c r="E302" s="24" t="str">
        <x:v>水系</x:v>
      </x:c>
      <x:c r="F302" s="12"/>
      <x:c r="G302" s="26"/>
      <x:c r="H302" s="27" t="e">
        <x:f>HYPERLINK("#'山海经原文总库'!A3","↩ 返回目录")</x:f>
        <x:v>HYPERLINK is not implemented. linkLocation=#'山海经原文总库'!A3, friendlyName=↩ 返回目录</x:v>
      </x:c>
      <x:c r="I302" s="437"/>
      <x:c r="J302" s="437"/>
      <x:c r="K302" s="437" t="str">
        <x:v>待同名检索｜待建档</x:v>
      </x:c>
    </x:row>
    <x:row r="303" ht="22.5" customHeight="1">
      <x:c r="A303" s="24"/>
      <x:c r="B303" s="24"/>
      <x:c r="C303" s="25"/>
      <x:c r="D303" s="24" t="str">
        <x:v>濫水</x:v>
      </x:c>
      <x:c r="E303" s="24" t="str">
        <x:v>水系</x:v>
      </x:c>
      <x:c r="F303" s="12"/>
      <x:c r="G303" s="26"/>
      <x:c r="H303" s="27" t="e">
        <x:f>HYPERLINK("#'山海经原文总库'!A3","↩ 返回目录")</x:f>
        <x:v>HYPERLINK is not implemented. linkLocation=#'山海经原文总库'!A3, friendlyName=↩ 返回目录</x:v>
      </x:c>
      <x:c r="I303" s="437"/>
      <x:c r="J303" s="437"/>
      <x:c r="K303" s="437" t="str">
        <x:v>待同名检索｜待建档</x:v>
      </x:c>
    </x:row>
    <x:row r="304" ht="22.5" customHeight="1">
      <x:c r="A304" s="24"/>
      <x:c r="B304" s="24"/>
      <x:c r="C304" s="25"/>
      <x:c r="D304" s="24" t="str">
        <x:v>漢水</x:v>
      </x:c>
      <x:c r="E304" s="24" t="str">
        <x:v>水系</x:v>
      </x:c>
      <x:c r="F304" s="12"/>
      <x:c r="G304" s="26"/>
      <x:c r="H304" s="27" t="e">
        <x:f>HYPERLINK("#'山海经原文总库'!A3","↩ 返回目录")</x:f>
        <x:v>HYPERLINK is not implemented. linkLocation=#'山海经原文总库'!A3, friendlyName=↩ 返回目录</x:v>
      </x:c>
      <x:c r="I304" s="437"/>
      <x:c r="J304" s="437"/>
      <x:c r="K304" s="437" t="str">
        <x:v>待同名检索｜待建档</x:v>
      </x:c>
    </x:row>
    <x:row r="305" ht="22.5" customHeight="1">
      <x:c r="A305" s="24"/>
      <x:c r="B305" s="24"/>
      <x:c r="C305" s="25"/>
      <x:c r="D305" s="24" t="str">
        <x:v>河</x:v>
      </x:c>
      <x:c r="E305" s="24" t="str">
        <x:v>地理名稱</x:v>
      </x:c>
      <x:c r="F305" s="12"/>
      <x:c r="G305" s="26"/>
      <x:c r="H305" s="27" t="e">
        <x:f>HYPERLINK("#'山海经原文总库'!A3","↩ 返回目录")</x:f>
        <x:v>HYPERLINK is not implemented. linkLocation=#'山海经原文总库'!A3, friendlyName=↩ 返回目录</x:v>
      </x:c>
      <x:c r="I305" s="437"/>
      <x:c r="J305" s="437"/>
      <x:c r="K305" s="437" t="str">
        <x:v>待同名检索｜待建档</x:v>
      </x:c>
    </x:row>
    <x:row r="306" ht="22.5" customHeight="1">
      <x:c r="A306" s="24"/>
      <x:c r="B306" s="24"/>
      <x:c r="C306" s="25"/>
      <x:c r="D306" s="24" t="str">
        <x:v>崦嵫之山</x:v>
      </x:c>
      <x:c r="E306" s="24" t="str">
        <x:v>山</x:v>
      </x:c>
      <x:c r="F306" s="12"/>
      <x:c r="G306" s="26"/>
      <x:c r="H306" s="27" t="e">
        <x:f>HYPERLINK("#'山海经原文总库'!A3","↩ 返回目录")</x:f>
        <x:v>HYPERLINK is not implemented. linkLocation=#'山海经原文总库'!A3, friendlyName=↩ 返回目录</x:v>
      </x:c>
      <x:c r="I306" s="437"/>
      <x:c r="J306" s="437"/>
      <x:c r="K306" s="437" t="str">
        <x:v>待同名检索｜待建档</x:v>
      </x:c>
    </x:row>
    <x:row r="307" ht="22.5" customHeight="1">
      <x:c r="A307" s="24"/>
      <x:c r="B307" s="24"/>
      <x:c r="C307" s="25"/>
      <x:c r="D307" s="24" t="str">
        <x:v>苕水</x:v>
      </x:c>
      <x:c r="E307" s="24" t="str">
        <x:v>水系</x:v>
      </x:c>
      <x:c r="F307" s="12"/>
      <x:c r="G307" s="26"/>
      <x:c r="H307" s="27" t="e">
        <x:f>HYPERLINK("#'山海经原文总库'!A3","↩ 返回目录")</x:f>
        <x:v>HYPERLINK is not implemented. linkLocation=#'山海经原文总库'!A3, friendlyName=↩ 返回目录</x:v>
      </x:c>
      <x:c r="I307" s="437"/>
      <x:c r="J307" s="437"/>
      <x:c r="K307" s="437" t="str">
        <x:v>待同名检索｜待建档</x:v>
      </x:c>
    </x:row>
    <x:row r="308" ht="64.5" customHeight="1">
      <x:c r="A308" s="24" t="str">
        <x:v>SHJ-02-073-2</x:v>
      </x:c>
      <x:c r="B308" s="24" t="str">
        <x:v>卷二 《西山經》</x:v>
      </x:c>
      <x:c r="C308" s="25" t="str">
        <x:v>西南三百六十里，曰崦嵫之山，其上多丹木，其葉如谷，其實大如瓜，赤符而黑理，食之已癉，可以御火。其陽多龜，其陰多玉。苕水出焉，而西流注於海，其中多砥礪。有獸焉，其狀馬身而鳥翼，人面蛇尾，是好舉人，名曰孰湖。有鳥焉，其狀如鴞而人面，蜼身犬尾，其名自號也，見則其邑大旱。</x:v>
      </x:c>
      <x:c r="D308" s="24" t="str">
        <x:v>崦嵫之山</x:v>
      </x:c>
      <x:c r="E308" s="24" t="str">
        <x:v>山</x:v>
      </x:c>
      <x:c r="F308" s="12"/>
      <x:c r="G308" s="26" t="str">
        <x:v>标点与分段参考《山海经校注》；正文对读：https://ctext.org/shan-hai-jing/xi-shan-jing/zh</x:v>
      </x:c>
      <x:c r="H308" s="27" t="e">
        <x:f>HYPERLINK("#'山海经原文总库'!A3","↩ 返回目录")</x:f>
        <x:v>HYPERLINK is not implemented. linkLocation=#'山海经原文总库'!A3, friendlyName=↩ 返回目录</x:v>
      </x:c>
      <x:c r="I308" s="437"/>
      <x:c r="J308" s="437"/>
      <x:c r="K308" s="437" t="str">
        <x:v>待同名检索｜待建档</x:v>
      </x:c>
    </x:row>
    <x:row r="309" ht="22.5" customHeight="1">
      <x:c r="A309" s="24"/>
      <x:c r="B309" s="24"/>
      <x:c r="C309" s="25"/>
      <x:c r="D309" s="24" t="str">
        <x:v>苕水</x:v>
      </x:c>
      <x:c r="E309" s="24" t="str">
        <x:v>水系</x:v>
      </x:c>
      <x:c r="F309" s="12"/>
      <x:c r="G309" s="26"/>
      <x:c r="H309" s="27" t="e">
        <x:f>HYPERLINK("#'山海经原文总库'!A3","↩ 返回目录")</x:f>
        <x:v>HYPERLINK is not implemented. linkLocation=#'山海经原文总库'!A3, friendlyName=↩ 返回目录</x:v>
      </x:c>
      <x:c r="I309" s="437"/>
      <x:c r="J309" s="437"/>
      <x:c r="K309" s="437" t="str">
        <x:v>待同名检索｜待建档</x:v>
      </x:c>
    </x:row>
    <x:row r="310" ht="48" customHeight="1">
      <x:c r="A310" s="24" t="str">
        <x:v>SHJ-02-074</x:v>
      </x:c>
      <x:c r="B310" s="24" t="str">
        <x:v>卷二 《西山經》</x:v>
      </x:c>
      <x:c r="C310" s="25" t="str">
        <x:v>凡西次四經自陰山以下，至於崦嵫之山，凡十九山，三千六百八十里。其神祠禮，皆用一白雞祈。糈以稻米，白菅為席。</x:v>
      </x:c>
      <x:c r="D310" s="24" t="str">
        <x:v>陰山</x:v>
      </x:c>
      <x:c r="E310" s="24" t="str">
        <x:v>山</x:v>
      </x:c>
      <x:c r="F310" s="12"/>
      <x:c r="G310" s="26" t="str">
        <x:v>标点与分段参考《山海经校注》；正文对读：https://ctext.org/shan-hai-jing/xi-shan-jing/zh</x:v>
      </x:c>
      <x:c r="H310" s="27" t="e">
        <x:f>HYPERLINK("#'山海经原文总库'!A3","↩ 返回目录")</x:f>
        <x:v>HYPERLINK is not implemented. linkLocation=#'山海经原文总库'!A3, friendlyName=↩ 返回目录</x:v>
      </x:c>
      <x:c r="I310" s="437"/>
      <x:c r="J310" s="437"/>
      <x:c r="K310" s="437" t="str">
        <x:v>待同名检索｜待建档</x:v>
      </x:c>
    </x:row>
    <x:row r="311" ht="22.5" customHeight="1">
      <x:c r="A311" s="24"/>
      <x:c r="B311" s="24"/>
      <x:c r="C311" s="25"/>
      <x:c r="D311" s="24" t="str">
        <x:v>崦嵫之山</x:v>
      </x:c>
      <x:c r="E311" s="24" t="str">
        <x:v>山</x:v>
      </x:c>
      <x:c r="F311" s="12"/>
      <x:c r="G311" s="26"/>
      <x:c r="H311" s="27" t="e">
        <x:f>HYPERLINK("#'山海经原文总库'!A3","↩ 返回目录")</x:f>
        <x:v>HYPERLINK is not implemented. linkLocation=#'山海经原文总库'!A3, friendlyName=↩ 返回目录</x:v>
      </x:c>
      <x:c r="I311" s="437"/>
      <x:c r="J311" s="437"/>
      <x:c r="K311" s="437" t="str">
        <x:v>待同名检索｜待建档</x:v>
      </x:c>
    </x:row>
    <x:row r="312" ht="48" customHeight="1">
      <x:c r="A312" s="24" t="str">
        <x:v>SHJ-02-075</x:v>
      </x:c>
      <x:c r="B312" s="24" t="str">
        <x:v>卷二 《西山經》</x:v>
      </x:c>
      <x:c r="C312" s="25" t="str">
        <x:v>右西經之山。凡七十七山一萬七千五百一十里。</x:v>
      </x:c>
      <x:c r="D312" s="24"/>
      <x:c r="E312" s="24"/>
      <x:c r="F312" s="12"/>
      <x:c r="G312" s="26" t="str">
        <x:v>标点与分段参考《山海经校注》；正文对读：https://ctext.org/shan-hai-jing/xi-shan-jing/zh</x:v>
      </x:c>
      <x:c r="H312" s="27" t="e">
        <x:f>HYPERLINK("#'山海经原文总库'!A3","↩ 返回目录")</x:f>
        <x:v>HYPERLINK is not implemented. linkLocation=#'山海经原文总库'!A3, friendlyName=↩ 返回目录</x:v>
      </x:c>
      <x:c r="I312" s="437"/>
      <x:c r="J312" s="437"/>
      <x:c r="K312" s="437" t="str">
        <x:v>经文已收录｜非地点行</x:v>
      </x:c>
    </x:row>
    <x:row r="313" ht="48" customHeight="1">
      <x:c r="A313" s="36" t="str">
        <x:v>SHJ-03-001</x:v>
      </x:c>
      <x:c r="B313" s="36" t="str">
        <x:v>卷三 《北山經》</x:v>
      </x:c>
      <x:c r="C313" s="37" t="str">
        <x:v>北山經之首，曰單狐之山，多機木，其上多華草。（水逢）水出焉，而西流注於泑水，其中多芘石文石。</x:v>
      </x:c>
      <x:c r="D313" s="36" t="str">
        <x:v>單狐之山</x:v>
      </x:c>
      <x:c r="E313" s="36" t="str">
        <x:v>山</x:v>
      </x:c>
      <x:c r="F313" s="16"/>
      <x:c r="G313" s="38" t="str">
        <x:v>标点与分段参考《山海经校注》；正文对读：https://ctext.org/shan-hai-jing/bei-shan-jing/zh</x:v>
      </x:c>
      <x:c r="H313" s="39" t="e">
        <x:f>HYPERLINK("#'山海经原文总库'!A3","↩ 返回目录")</x:f>
        <x:v>HYPERLINK is not implemented. linkLocation=#'山海经原文总库'!A3, friendlyName=↩ 返回目录</x:v>
      </x:c>
      <x:c r="I313" s="437"/>
      <x:c r="J313" s="437"/>
      <x:c r="K313" s="437" t="str">
        <x:v>待同名检索｜待建档</x:v>
      </x:c>
    </x:row>
    <x:row r="314" ht="22.5" customHeight="1">
      <x:c r="A314" s="36"/>
      <x:c r="B314" s="36"/>
      <x:c r="C314" s="37"/>
      <x:c r="D314" s="36" t="str">
        <x:v>泑水</x:v>
      </x:c>
      <x:c r="E314" s="36" t="str">
        <x:v>水系</x:v>
      </x:c>
      <x:c r="F314" s="16"/>
      <x:c r="G314" s="38"/>
      <x:c r="H314" s="39" t="e">
        <x:f>HYPERLINK("#'山海经原文总库'!A3","↩ 返回目录")</x:f>
        <x:v>HYPERLINK is not implemented. linkLocation=#'山海经原文总库'!A3, friendlyName=↩ 返回目录</x:v>
      </x:c>
      <x:c r="I314" s="437"/>
      <x:c r="J314" s="437"/>
      <x:c r="K314" s="437" t="str">
        <x:v>待同名检索｜待建档</x:v>
      </x:c>
    </x:row>
    <x:row r="315" ht="22.5" customHeight="1">
      <x:c r="A315" s="36"/>
      <x:c r="B315" s="36"/>
      <x:c r="C315" s="37"/>
      <x:c r="D315" s="36" t="str">
        <x:v>漨水</x:v>
      </x:c>
      <x:c r="E315" s="36" t="str">
        <x:v>水系</x:v>
      </x:c>
      <x:c r="F315" s="16"/>
      <x:c r="G315" s="38"/>
      <x:c r="H315" s="39" t="e">
        <x:f>HYPERLINK("#'山海经原文总库'!A3","↩ 返回目录")</x:f>
        <x:v>HYPERLINK is not implemented. linkLocation=#'山海经原文总库'!A3, friendlyName=↩ 返回目录</x:v>
      </x:c>
      <x:c r="I315" s="437"/>
      <x:c r="J315" s="437"/>
      <x:c r="K315" s="437" t="str">
        <x:v>待同名检索｜待建档</x:v>
      </x:c>
    </x:row>
    <x:row r="316" ht="48" customHeight="1">
      <x:c r="A316" s="36" t="str">
        <x:v>SHJ-03-002</x:v>
      </x:c>
      <x:c r="B316" s="36" t="str">
        <x:v>卷三 《北山經》</x:v>
      </x:c>
      <x:c r="C316" s="37" t="str">
        <x:v>又北二百五十里，曰求如之山，其上多銅，其下多玉，無草木。滑水出焉，而西流注於諸毗之水。其中多滑魚，其狀如？，赤背，其音如梧，食之已疣。其中多水馬，其狀如馬，文臂牛尾，其音如呼。</x:v>
      </x:c>
      <x:c r="D316" s="36" t="str">
        <x:v>求如之山</x:v>
      </x:c>
      <x:c r="E316" s="36" t="str">
        <x:v>山</x:v>
      </x:c>
      <x:c r="F316" s="16"/>
      <x:c r="G316" s="38" t="str">
        <x:v>标点与分段参考《山海经校注》；正文对读：https://ctext.org/shan-hai-jing/bei-shan-jing/zh</x:v>
      </x:c>
      <x:c r="H316" s="39" t="e">
        <x:f>HYPERLINK("#'山海经原文总库'!A3","↩ 返回目录")</x:f>
        <x:v>HYPERLINK is not implemented. linkLocation=#'山海经原文总库'!A3, friendlyName=↩ 返回目录</x:v>
      </x:c>
      <x:c r="I316" s="437"/>
      <x:c r="J316" s="437"/>
      <x:c r="K316" s="437" t="str">
        <x:v>待同名检索｜待建档</x:v>
      </x:c>
    </x:row>
    <x:row r="317" ht="22.5" customHeight="1">
      <x:c r="A317" s="36"/>
      <x:c r="B317" s="36"/>
      <x:c r="C317" s="37"/>
      <x:c r="D317" s="36" t="str">
        <x:v>滑水</x:v>
      </x:c>
      <x:c r="E317" s="36" t="str">
        <x:v>水系</x:v>
      </x:c>
      <x:c r="F317" s="16"/>
      <x:c r="G317" s="38"/>
      <x:c r="H317" s="39" t="e">
        <x:f>HYPERLINK("#'山海经原文总库'!A3","↩ 返回目录")</x:f>
        <x:v>HYPERLINK is not implemented. linkLocation=#'山海经原文总库'!A3, friendlyName=↩ 返回目录</x:v>
      </x:c>
      <x:c r="I317" s="437"/>
      <x:c r="J317" s="437"/>
      <x:c r="K317" s="437" t="str">
        <x:v>待同名检索｜待建档</x:v>
      </x:c>
    </x:row>
    <x:row r="318" ht="22.5" customHeight="1">
      <x:c r="A318" s="36"/>
      <x:c r="B318" s="36"/>
      <x:c r="C318" s="37"/>
      <x:c r="D318" s="36" t="str">
        <x:v>諸毗之水</x:v>
      </x:c>
      <x:c r="E318" s="36" t="str">
        <x:v>水系</x:v>
      </x:c>
      <x:c r="F318" s="16"/>
      <x:c r="G318" s="38"/>
      <x:c r="H318" s="39" t="e">
        <x:f>HYPERLINK("#'山海经原文总库'!A3","↩ 返回目录")</x:f>
        <x:v>HYPERLINK is not implemented. linkLocation=#'山海经原文总库'!A3, friendlyName=↩ 返回目录</x:v>
      </x:c>
      <x:c r="I318" s="437"/>
      <x:c r="J318" s="437"/>
      <x:c r="K318" s="437" t="str">
        <x:v>待同名检索｜待建档</x:v>
      </x:c>
    </x:row>
    <x:row r="319" ht="64.5" customHeight="1">
      <x:c r="A319" s="36" t="str">
        <x:v>SHJ-03-003</x:v>
      </x:c>
      <x:c r="B319" s="36" t="str">
        <x:v>卷三 《北山經》</x:v>
      </x:c>
      <x:c r="C319" s="37" t="str">
        <x:v>又北三百里，曰帶山，其上多玉，其下多青碧。有獸焉，其狀如馬，一角有錯，其名曰（月雚）疏，可以辟火。有鳥焉，其狀如烏，五採而赤文，名曰鵸，是自為牝牡，食之不疽。彭水出焉，而西流注於芘湖之水，其中多儵魚，其狀如雞而赤毛，三尾、六足、四首，其音如鵲，食之可以已憂。</x:v>
      </x:c>
      <x:c r="D319" s="36" t="str">
        <x:v>帶山</x:v>
      </x:c>
      <x:c r="E319" s="36" t="str">
        <x:v>山</x:v>
      </x:c>
      <x:c r="F319" s="16"/>
      <x:c r="G319" s="38" t="str">
        <x:v>标点与分段参考《山海经校注》；正文对读：https://ctext.org/shan-hai-jing/bei-shan-jing/zh</x:v>
      </x:c>
      <x:c r="H319" s="39" t="e">
        <x:f>HYPERLINK("#'山海经原文总库'!A3","↩ 返回目录")</x:f>
        <x:v>HYPERLINK is not implemented. linkLocation=#'山海经原文总库'!A3, friendlyName=↩ 返回目录</x:v>
      </x:c>
      <x:c r="I319" s="437"/>
      <x:c r="J319" s="437"/>
      <x:c r="K319" s="437" t="str">
        <x:v>待同名检索｜待建档</x:v>
      </x:c>
    </x:row>
    <x:row r="320" ht="22.5" customHeight="1">
      <x:c r="A320" s="36"/>
      <x:c r="B320" s="36"/>
      <x:c r="C320" s="37"/>
      <x:c r="D320" s="36" t="str">
        <x:v>彭水</x:v>
      </x:c>
      <x:c r="E320" s="36" t="str">
        <x:v>水系</x:v>
      </x:c>
      <x:c r="F320" s="16"/>
      <x:c r="G320" s="38"/>
      <x:c r="H320" s="39" t="e">
        <x:f>HYPERLINK("#'山海经原文总库'!A3","↩ 返回目录")</x:f>
        <x:v>HYPERLINK is not implemented. linkLocation=#'山海经原文总库'!A3, friendlyName=↩ 返回目录</x:v>
      </x:c>
      <x:c r="I320" s="437"/>
      <x:c r="J320" s="437"/>
      <x:c r="K320" s="437" t="str">
        <x:v>待同名检索｜待建档</x:v>
      </x:c>
    </x:row>
    <x:row r="321" ht="22.5" customHeight="1">
      <x:c r="A321" s="36"/>
      <x:c r="B321" s="36"/>
      <x:c r="C321" s="37"/>
      <x:c r="D321" s="36" t="str">
        <x:v>芘湖之水</x:v>
      </x:c>
      <x:c r="E321" s="36" t="str">
        <x:v>水系</x:v>
      </x:c>
      <x:c r="F321" s="16"/>
      <x:c r="G321" s="38"/>
      <x:c r="H321" s="39" t="e">
        <x:f>HYPERLINK("#'山海经原文总库'!A3","↩ 返回目录")</x:f>
        <x:v>HYPERLINK is not implemented. linkLocation=#'山海经原文总库'!A3, friendlyName=↩ 返回目录</x:v>
      </x:c>
      <x:c r="I321" s="437"/>
      <x:c r="J321" s="437"/>
      <x:c r="K321" s="437" t="str">
        <x:v>待同名检索｜待建档</x:v>
      </x:c>
    </x:row>
    <x:row r="322" ht="48" customHeight="1">
      <x:c r="A322" s="36" t="str">
        <x:v>SHJ-03-004</x:v>
      </x:c>
      <x:c r="B322" s="36" t="str">
        <x:v>卷三 《北山經》</x:v>
      </x:c>
      <x:c r="C322" s="37" t="str">
        <x:v>又北四百里，曰譙明之山，譙水出焉，西流注於河。其中多何羅之魚，一首而十身，其音如吠犬，食之已癰。有獸焉，其狀如貆而赤豪，其音如榴榴，名曰孟槐，可以御凶。是山也，無草木，多青雄黃。</x:v>
      </x:c>
      <x:c r="D322" s="36" t="str">
        <x:v>譙明之山</x:v>
      </x:c>
      <x:c r="E322" s="36" t="str">
        <x:v>山</x:v>
      </x:c>
      <x:c r="F322" s="16"/>
      <x:c r="G322" s="38" t="str">
        <x:v>标点与分段参考《山海经校注》；正文对读：https://ctext.org/shan-hai-jing/bei-shan-jing/zh</x:v>
      </x:c>
      <x:c r="H322" s="39" t="e">
        <x:f>HYPERLINK("#'山海经原文总库'!A3","↩ 返回目录")</x:f>
        <x:v>HYPERLINK is not implemented. linkLocation=#'山海经原文总库'!A3, friendlyName=↩ 返回目录</x:v>
      </x:c>
      <x:c r="I322" s="437"/>
      <x:c r="J322" s="437"/>
      <x:c r="K322" s="437" t="str">
        <x:v>待同名检索｜待建档</x:v>
      </x:c>
    </x:row>
    <x:row r="323" ht="22.5" customHeight="1">
      <x:c r="A323" s="36"/>
      <x:c r="B323" s="36"/>
      <x:c r="C323" s="37"/>
      <x:c r="D323" s="36" t="str">
        <x:v>譙水</x:v>
      </x:c>
      <x:c r="E323" s="36" t="str">
        <x:v>水系</x:v>
      </x:c>
      <x:c r="F323" s="16"/>
      <x:c r="G323" s="38"/>
      <x:c r="H323" s="39" t="e">
        <x:f>HYPERLINK("#'山海经原文总库'!A3","↩ 返回目录")</x:f>
        <x:v>HYPERLINK is not implemented. linkLocation=#'山海经原文总库'!A3, friendlyName=↩ 返回目录</x:v>
      </x:c>
      <x:c r="I323" s="437"/>
      <x:c r="J323" s="437"/>
      <x:c r="K323" s="437" t="str">
        <x:v>待同名检索｜待建档</x:v>
      </x:c>
    </x:row>
    <x:row r="324" ht="22.5" customHeight="1">
      <x:c r="A324" s="36"/>
      <x:c r="B324" s="36"/>
      <x:c r="C324" s="37"/>
      <x:c r="D324" s="36" t="str">
        <x:v>河</x:v>
      </x:c>
      <x:c r="E324" s="36" t="str">
        <x:v>地理名稱</x:v>
      </x:c>
      <x:c r="F324" s="16"/>
      <x:c r="G324" s="38"/>
      <x:c r="H324" s="39" t="e">
        <x:f>HYPERLINK("#'山海经原文总库'!A3","↩ 返回目录")</x:f>
        <x:v>HYPERLINK is not implemented. linkLocation=#'山海经原文总库'!A3, friendlyName=↩ 返回目录</x:v>
      </x:c>
      <x:c r="I324" s="437"/>
      <x:c r="J324" s="437"/>
      <x:c r="K324" s="437" t="str">
        <x:v>待同名检索｜待建档</x:v>
      </x:c>
    </x:row>
    <x:row r="325" ht="48" customHeight="1">
      <x:c r="A325" s="36" t="str">
        <x:v>SHJ-03-005</x:v>
      </x:c>
      <x:c r="B325" s="36" t="str">
        <x:v>卷三 《北山經》</x:v>
      </x:c>
      <x:c r="C325" s="37" t="str">
        <x:v>又北三百五十里，曰涿光之山，囂水出焉，而西流注於河。其中多鰼鰼之魚，其狀如鵲而十翼，鱗皆在羽端，其音如鵲，可以御火，食之不癉。其上多松柏，其下多棕橿，其獸多¤羊，其鳥多蕃。</x:v>
      </x:c>
      <x:c r="D325" s="36" t="str">
        <x:v>涿光之山</x:v>
      </x:c>
      <x:c r="E325" s="36" t="str">
        <x:v>山</x:v>
      </x:c>
      <x:c r="F325" s="16"/>
      <x:c r="G325" s="38" t="str">
        <x:v>标点与分段参考《山海经校注》；正文对读：https://ctext.org/shan-hai-jing/bei-shan-jing/zh</x:v>
      </x:c>
      <x:c r="H325" s="39" t="e">
        <x:f>HYPERLINK("#'山海经原文总库'!A3","↩ 返回目录")</x:f>
        <x:v>HYPERLINK is not implemented. linkLocation=#'山海经原文总库'!A3, friendlyName=↩ 返回目录</x:v>
      </x:c>
      <x:c r="I325" s="437"/>
      <x:c r="J325" s="437"/>
      <x:c r="K325" s="437" t="str">
        <x:v>待同名检索｜待建档</x:v>
      </x:c>
    </x:row>
    <x:row r="326" ht="22.5" customHeight="1">
      <x:c r="A326" s="36"/>
      <x:c r="B326" s="36"/>
      <x:c r="C326" s="37"/>
      <x:c r="D326" s="36" t="str">
        <x:v>囂水</x:v>
      </x:c>
      <x:c r="E326" s="36" t="str">
        <x:v>水系</x:v>
      </x:c>
      <x:c r="F326" s="16"/>
      <x:c r="G326" s="38"/>
      <x:c r="H326" s="39" t="e">
        <x:f>HYPERLINK("#'山海经原文总库'!A3","↩ 返回目录")</x:f>
        <x:v>HYPERLINK is not implemented. linkLocation=#'山海经原文总库'!A3, friendlyName=↩ 返回目录</x:v>
      </x:c>
      <x:c r="I326" s="437"/>
      <x:c r="J326" s="437"/>
      <x:c r="K326" s="437" t="str">
        <x:v>待同名检索｜待建档</x:v>
      </x:c>
    </x:row>
    <x:row r="327" ht="22.5" customHeight="1">
      <x:c r="A327" s="36"/>
      <x:c r="B327" s="36"/>
      <x:c r="C327" s="37"/>
      <x:c r="D327" s="36" t="str">
        <x:v>河</x:v>
      </x:c>
      <x:c r="E327" s="36" t="str">
        <x:v>地理名稱</x:v>
      </x:c>
      <x:c r="F327" s="16"/>
      <x:c r="G327" s="38"/>
      <x:c r="H327" s="39" t="e">
        <x:f>HYPERLINK("#'山海经原文总库'!A3","↩ 返回目录")</x:f>
        <x:v>HYPERLINK is not implemented. linkLocation=#'山海经原文总库'!A3, friendlyName=↩ 返回目录</x:v>
      </x:c>
      <x:c r="I327" s="437"/>
      <x:c r="J327" s="437"/>
      <x:c r="K327" s="437" t="str">
        <x:v>待同名检索｜待建档</x:v>
      </x:c>
    </x:row>
    <x:row r="328" ht="48" customHeight="1">
      <x:c r="A328" s="36" t="str">
        <x:v>SHJ-03-006</x:v>
      </x:c>
      <x:c r="B328" s="36" t="str">
        <x:v>卷三 《北山經》</x:v>
      </x:c>
      <x:c r="C328" s="37" t="str">
        <x:v>又北三百八十里，曰虢山，其上多漆，其下多桐椐，其陽多玉，其陰多鐵。伊水出焉，西流注於河。其獸多橐駝，其鳥多寓，狀如鼠而鳥翼，其音如羊，可以御兵。</x:v>
      </x:c>
      <x:c r="D328" s="36" t="str">
        <x:v>虢山</x:v>
      </x:c>
      <x:c r="E328" s="36" t="str">
        <x:v>山</x:v>
      </x:c>
      <x:c r="F328" s="16"/>
      <x:c r="G328" s="38" t="str">
        <x:v>标点与分段参考《山海经校注》；正文对读：https://ctext.org/shan-hai-jing/bei-shan-jing/zh</x:v>
      </x:c>
      <x:c r="H328" s="39" t="e">
        <x:f>HYPERLINK("#'山海经原文总库'!A3","↩ 返回目录")</x:f>
        <x:v>HYPERLINK is not implemented. linkLocation=#'山海经原文总库'!A3, friendlyName=↩ 返回目录</x:v>
      </x:c>
      <x:c r="I328" s="437"/>
      <x:c r="J328" s="437"/>
      <x:c r="K328" s="437" t="str">
        <x:v>待同名检索｜待建档</x:v>
      </x:c>
    </x:row>
    <x:row r="329" ht="22.5" customHeight="1">
      <x:c r="A329" s="36"/>
      <x:c r="B329" s="36"/>
      <x:c r="C329" s="37"/>
      <x:c r="D329" s="36" t="str">
        <x:v>伊水</x:v>
      </x:c>
      <x:c r="E329" s="36" t="str">
        <x:v>水系</x:v>
      </x:c>
      <x:c r="F329" s="16"/>
      <x:c r="G329" s="38"/>
      <x:c r="H329" s="39" t="e">
        <x:f>HYPERLINK("#'山海经原文总库'!A3","↩ 返回目录")</x:f>
        <x:v>HYPERLINK is not implemented. linkLocation=#'山海经原文总库'!A3, friendlyName=↩ 返回目录</x:v>
      </x:c>
      <x:c r="I329" s="437"/>
      <x:c r="J329" s="437"/>
      <x:c r="K329" s="437" t="str">
        <x:v>待同名检索｜待建档</x:v>
      </x:c>
    </x:row>
    <x:row r="330" ht="22.5" customHeight="1">
      <x:c r="A330" s="36"/>
      <x:c r="B330" s="36"/>
      <x:c r="C330" s="37"/>
      <x:c r="D330" s="36" t="str">
        <x:v>河</x:v>
      </x:c>
      <x:c r="E330" s="36" t="str">
        <x:v>地理名稱</x:v>
      </x:c>
      <x:c r="F330" s="16"/>
      <x:c r="G330" s="38"/>
      <x:c r="H330" s="39" t="e">
        <x:f>HYPERLINK("#'山海经原文总库'!A3","↩ 返回目录")</x:f>
        <x:v>HYPERLINK is not implemented. linkLocation=#'山海经原文总库'!A3, friendlyName=↩ 返回目录</x:v>
      </x:c>
      <x:c r="I330" s="437"/>
      <x:c r="J330" s="437"/>
      <x:c r="K330" s="437" t="str">
        <x:v>待同名检索｜待建档</x:v>
      </x:c>
    </x:row>
    <x:row r="331" ht="48" customHeight="1">
      <x:c r="A331" s="36" t="str">
        <x:v>SHJ-03-007</x:v>
      </x:c>
      <x:c r="B331" s="36" t="str">
        <x:v>卷三 《北山經》</x:v>
      </x:c>
      <x:c r="C331" s="37" t="str">
        <x:v>又北四百里，至於虢山之尾，其上多玉而無石。魚水出焉，西流注於河，其中多文貝。</x:v>
      </x:c>
      <x:c r="D331" s="36" t="str">
        <x:v>虢山</x:v>
      </x:c>
      <x:c r="E331" s="36" t="str">
        <x:v>山</x:v>
      </x:c>
      <x:c r="F331" s="16"/>
      <x:c r="G331" s="38" t="str">
        <x:v>标点与分段参考《山海经校注》；正文对读：https://ctext.org/shan-hai-jing/bei-shan-jing/zh</x:v>
      </x:c>
      <x:c r="H331" s="39" t="e">
        <x:f>HYPERLINK("#'山海经原文总库'!A3","↩ 返回目录")</x:f>
        <x:v>HYPERLINK is not implemented. linkLocation=#'山海经原文总库'!A3, friendlyName=↩ 返回目录</x:v>
      </x:c>
      <x:c r="I331" s="437"/>
      <x:c r="J331" s="437"/>
      <x:c r="K331" s="437" t="str">
        <x:v>待同名检索｜待建档</x:v>
      </x:c>
    </x:row>
    <x:row r="332" ht="22.5" customHeight="1">
      <x:c r="A332" s="36"/>
      <x:c r="B332" s="36"/>
      <x:c r="C332" s="37"/>
      <x:c r="D332" s="36" t="str">
        <x:v>魚水</x:v>
      </x:c>
      <x:c r="E332" s="36" t="str">
        <x:v>水系</x:v>
      </x:c>
      <x:c r="F332" s="16"/>
      <x:c r="G332" s="38"/>
      <x:c r="H332" s="39" t="e">
        <x:f>HYPERLINK("#'山海经原文总库'!A3","↩ 返回目录")</x:f>
        <x:v>HYPERLINK is not implemented. linkLocation=#'山海经原文总库'!A3, friendlyName=↩ 返回目录</x:v>
      </x:c>
      <x:c r="I332" s="437"/>
      <x:c r="J332" s="437"/>
      <x:c r="K332" s="437" t="str">
        <x:v>待同名检索｜待建档</x:v>
      </x:c>
    </x:row>
    <x:row r="333" ht="22.5" customHeight="1">
      <x:c r="A333" s="36"/>
      <x:c r="B333" s="36"/>
      <x:c r="C333" s="37"/>
      <x:c r="D333" s="36" t="str">
        <x:v>河</x:v>
      </x:c>
      <x:c r="E333" s="36" t="str">
        <x:v>地理名稱</x:v>
      </x:c>
      <x:c r="F333" s="16"/>
      <x:c r="G333" s="38"/>
      <x:c r="H333" s="39" t="e">
        <x:f>HYPERLINK("#'山海经原文总库'!A3","↩ 返回目录")</x:f>
        <x:v>HYPERLINK is not implemented. linkLocation=#'山海经原文总库'!A3, friendlyName=↩ 返回目录</x:v>
      </x:c>
      <x:c r="I333" s="437"/>
      <x:c r="J333" s="437"/>
      <x:c r="K333" s="437" t="str">
        <x:v>待同名检索｜待建档</x:v>
      </x:c>
    </x:row>
    <x:row r="334" ht="48" customHeight="1">
      <x:c r="A334" s="36" t="str">
        <x:v>SHJ-03-008</x:v>
      </x:c>
      <x:c r="B334" s="36" t="str">
        <x:v>卷三 《北山經》</x:v>
      </x:c>
      <x:c r="C334" s="37" t="str">
        <x:v>又北二百里，曰丹熏之山，其上多樗柏，其草多韭？，多丹雘。熏水出焉，而西流注於棠水。有獸焉，其狀如鼠，而菟首麋身，其音如？犬，以其尾飛，名曰耳鼠，食之不（月採），又可以御百毒。</x:v>
      </x:c>
      <x:c r="D334" s="36" t="str">
        <x:v>丹熏之山</x:v>
      </x:c>
      <x:c r="E334" s="36" t="str">
        <x:v>山</x:v>
      </x:c>
      <x:c r="F334" s="16"/>
      <x:c r="G334" s="38" t="str">
        <x:v>标点与分段参考《山海经校注》；正文对读：https://ctext.org/shan-hai-jing/bei-shan-jing/zh</x:v>
      </x:c>
      <x:c r="H334" s="39" t="e">
        <x:f>HYPERLINK("#'山海经原文总库'!A3","↩ 返回目录")</x:f>
        <x:v>HYPERLINK is not implemented. linkLocation=#'山海经原文总库'!A3, friendlyName=↩ 返回目录</x:v>
      </x:c>
      <x:c r="I334" s="437"/>
      <x:c r="J334" s="437"/>
      <x:c r="K334" s="437" t="str">
        <x:v>待同名检索｜待建档</x:v>
      </x:c>
    </x:row>
    <x:row r="335" ht="22.5" customHeight="1">
      <x:c r="A335" s="36"/>
      <x:c r="B335" s="36"/>
      <x:c r="C335" s="37"/>
      <x:c r="D335" s="36" t="str">
        <x:v>熏水</x:v>
      </x:c>
      <x:c r="E335" s="36" t="str">
        <x:v>水系</x:v>
      </x:c>
      <x:c r="F335" s="16"/>
      <x:c r="G335" s="38"/>
      <x:c r="H335" s="39" t="e">
        <x:f>HYPERLINK("#'山海经原文总库'!A3","↩ 返回目录")</x:f>
        <x:v>HYPERLINK is not implemented. linkLocation=#'山海经原文总库'!A3, friendlyName=↩ 返回目录</x:v>
      </x:c>
      <x:c r="I335" s="437"/>
      <x:c r="J335" s="437"/>
      <x:c r="K335" s="437" t="str">
        <x:v>待同名检索｜待建档</x:v>
      </x:c>
    </x:row>
    <x:row r="336" ht="22.5" customHeight="1">
      <x:c r="A336" s="36"/>
      <x:c r="B336" s="36"/>
      <x:c r="C336" s="37"/>
      <x:c r="D336" s="36" t="str">
        <x:v>棠水</x:v>
      </x:c>
      <x:c r="E336" s="36" t="str">
        <x:v>水系</x:v>
      </x:c>
      <x:c r="F336" s="16"/>
      <x:c r="G336" s="38"/>
      <x:c r="H336" s="39" t="e">
        <x:f>HYPERLINK("#'山海经原文总库'!A3","↩ 返回目录")</x:f>
        <x:v>HYPERLINK is not implemented. linkLocation=#'山海经原文总库'!A3, friendlyName=↩ 返回目录</x:v>
      </x:c>
      <x:c r="I336" s="437"/>
      <x:c r="J336" s="437"/>
      <x:c r="K336" s="437" t="str">
        <x:v>待同名检索｜待建档</x:v>
      </x:c>
    </x:row>
    <x:row r="337" ht="48" customHeight="1">
      <x:c r="A337" s="36" t="str">
        <x:v>SHJ-03-009</x:v>
      </x:c>
      <x:c r="B337" s="36" t="str">
        <x:v>卷三 《北山經》</x:v>
      </x:c>
      <x:c r="C337" s="37" t="str">
        <x:v>又北二百八十里，曰石者之山，其上無草木，多瑤碧。泚水出焉，西流注於河。有獸焉，其狀如豹，而文題白身，名曰孟極，是善伏，其鳴自呼。</x:v>
      </x:c>
      <x:c r="D337" s="36" t="str">
        <x:v>石者之山</x:v>
      </x:c>
      <x:c r="E337" s="36" t="str">
        <x:v>山</x:v>
      </x:c>
      <x:c r="F337" s="16"/>
      <x:c r="G337" s="38" t="str">
        <x:v>标点与分段参考《山海经校注》；正文对读：https://ctext.org/shan-hai-jing/bei-shan-jing/zh</x:v>
      </x:c>
      <x:c r="H337" s="39" t="e">
        <x:f>HYPERLINK("#'山海经原文总库'!A3","↩ 返回目录")</x:f>
        <x:v>HYPERLINK is not implemented. linkLocation=#'山海经原文总库'!A3, friendlyName=↩ 返回目录</x:v>
      </x:c>
      <x:c r="I337" s="437"/>
      <x:c r="J337" s="437"/>
      <x:c r="K337" s="437" t="str">
        <x:v>待同名检索｜待建档</x:v>
      </x:c>
    </x:row>
    <x:row r="338" ht="22.5" customHeight="1">
      <x:c r="A338" s="36"/>
      <x:c r="B338" s="36"/>
      <x:c r="C338" s="37"/>
      <x:c r="D338" s="36" t="str">
        <x:v>泚水</x:v>
      </x:c>
      <x:c r="E338" s="36" t="str">
        <x:v>水系</x:v>
      </x:c>
      <x:c r="F338" s="16"/>
      <x:c r="G338" s="38"/>
      <x:c r="H338" s="39" t="e">
        <x:f>HYPERLINK("#'山海经原文总库'!A3","↩ 返回目录")</x:f>
        <x:v>HYPERLINK is not implemented. linkLocation=#'山海经原文总库'!A3, friendlyName=↩ 返回目录</x:v>
      </x:c>
      <x:c r="I338" s="437"/>
      <x:c r="J338" s="437"/>
      <x:c r="K338" s="437" t="str">
        <x:v>待同名检索｜待建档</x:v>
      </x:c>
    </x:row>
    <x:row r="339" ht="22.5" customHeight="1">
      <x:c r="A339" s="36"/>
      <x:c r="B339" s="36"/>
      <x:c r="C339" s="37"/>
      <x:c r="D339" s="36" t="str">
        <x:v>河</x:v>
      </x:c>
      <x:c r="E339" s="36" t="str">
        <x:v>地理名稱</x:v>
      </x:c>
      <x:c r="F339" s="16"/>
      <x:c r="G339" s="38"/>
      <x:c r="H339" s="39" t="e">
        <x:f>HYPERLINK("#'山海经原文总库'!A3","↩ 返回目录")</x:f>
        <x:v>HYPERLINK is not implemented. linkLocation=#'山海经原文总库'!A3, friendlyName=↩ 返回目录</x:v>
      </x:c>
      <x:c r="I339" s="437"/>
      <x:c r="J339" s="437"/>
      <x:c r="K339" s="437" t="str">
        <x:v>待同名检索｜待建档</x:v>
      </x:c>
    </x:row>
    <x:row r="340" ht="48" customHeight="1">
      <x:c r="A340" s="36" t="str">
        <x:v>SHJ-03-010</x:v>
      </x:c>
      <x:c r="B340" s="36" t="str">
        <x:v>卷三 《北山經》</x:v>
      </x:c>
      <x:c r="C340" s="37" t="str">
        <x:v>又北百一十里，曰邊春之山，多蔥、葵、韭、桃、李。槓水出焉，而西流注於泑澤。有獸焉，其狀如禺而文身，善笑，見人則臥，名曰幽鴳，其鳴自呼。</x:v>
      </x:c>
      <x:c r="D340" s="36" t="str">
        <x:v>邊春之山</x:v>
      </x:c>
      <x:c r="E340" s="36" t="str">
        <x:v>山</x:v>
      </x:c>
      <x:c r="F340" s="16"/>
      <x:c r="G340" s="38" t="str">
        <x:v>标点与分段参考《山海经校注》；正文对读：https://ctext.org/shan-hai-jing/bei-shan-jing/zh</x:v>
      </x:c>
      <x:c r="H340" s="39" t="e">
        <x:f>HYPERLINK("#'山海经原文总库'!A3","↩ 返回目录")</x:f>
        <x:v>HYPERLINK is not implemented. linkLocation=#'山海经原文总库'!A3, friendlyName=↩ 返回目录</x:v>
      </x:c>
      <x:c r="I340" s="437"/>
      <x:c r="J340" s="437"/>
      <x:c r="K340" s="437" t="str">
        <x:v>待同名检索｜待建档</x:v>
      </x:c>
    </x:row>
    <x:row r="341" ht="22.5" customHeight="1">
      <x:c r="A341" s="36"/>
      <x:c r="B341" s="36"/>
      <x:c r="C341" s="37"/>
      <x:c r="D341" s="36" t="str">
        <x:v>槓水</x:v>
      </x:c>
      <x:c r="E341" s="36" t="str">
        <x:v>水系</x:v>
      </x:c>
      <x:c r="F341" s="16"/>
      <x:c r="G341" s="38"/>
      <x:c r="H341" s="39" t="e">
        <x:f>HYPERLINK("#'山海经原文总库'!A3","↩ 返回目录")</x:f>
        <x:v>HYPERLINK is not implemented. linkLocation=#'山海经原文总库'!A3, friendlyName=↩ 返回目录</x:v>
      </x:c>
      <x:c r="I341" s="437"/>
      <x:c r="J341" s="437"/>
      <x:c r="K341" s="437" t="str">
        <x:v>待同名检索｜待建档</x:v>
      </x:c>
    </x:row>
    <x:row r="342" ht="22.5" customHeight="1">
      <x:c r="A342" s="36"/>
      <x:c r="B342" s="36"/>
      <x:c r="C342" s="37"/>
      <x:c r="D342" s="36" t="str">
        <x:v>泑澤</x:v>
      </x:c>
      <x:c r="E342" s="36" t="str">
        <x:v>水系</x:v>
      </x:c>
      <x:c r="F342" s="16"/>
      <x:c r="G342" s="38"/>
      <x:c r="H342" s="39" t="e">
        <x:f>HYPERLINK("#'山海经原文总库'!A3","↩ 返回目录")</x:f>
        <x:v>HYPERLINK is not implemented. linkLocation=#'山海经原文总库'!A3, friendlyName=↩ 返回目录</x:v>
      </x:c>
      <x:c r="I342" s="437"/>
      <x:c r="J342" s="437"/>
      <x:c r="K342" s="437" t="str">
        <x:v>待同名检索｜待建档</x:v>
      </x:c>
    </x:row>
    <x:row r="343" ht="48" customHeight="1">
      <x:c r="A343" s="36" t="str">
        <x:v>SHJ-03-011</x:v>
      </x:c>
      <x:c r="B343" s="36" t="str">
        <x:v>卷三 《北山經》</x:v>
      </x:c>
      <x:c r="C343" s="37" t="str">
        <x:v>又北二百里，曰蔓聯之山，其上無草木。有獸焉，其狀如禺而有鬣，牛尾、文臂、馬，見人則呼，名曰足訾，其鳴自呼。有鳥焉，群居而朋飛，其毛如雌雉，名曰鵁，其鳴自呼，食之已風。</x:v>
      </x:c>
      <x:c r="D343" s="36" t="str">
        <x:v>蔓聯之山</x:v>
      </x:c>
      <x:c r="E343" s="36" t="str">
        <x:v>山</x:v>
      </x:c>
      <x:c r="F343" s="16"/>
      <x:c r="G343" s="38" t="str">
        <x:v>标点与分段参考《山海经校注》；正文对读：https://ctext.org/shan-hai-jing/bei-shan-jing/zh</x:v>
      </x:c>
      <x:c r="H343" s="39" t="e">
        <x:f>HYPERLINK("#'山海经原文总库'!A3","↩ 返回目录")</x:f>
        <x:v>HYPERLINK is not implemented. linkLocation=#'山海经原文总库'!A3, friendlyName=↩ 返回目录</x:v>
      </x:c>
      <x:c r="I343" s="437"/>
      <x:c r="J343" s="437"/>
      <x:c r="K343" s="437" t="str">
        <x:v>待同名检索｜待建档</x:v>
      </x:c>
    </x:row>
    <x:row r="344" ht="64.5" customHeight="1">
      <x:c r="A344" s="36" t="str">
        <x:v>SHJ-03-012</x:v>
      </x:c>
      <x:c r="B344" s="36" t="str">
        <x:v>卷三 《北山經》</x:v>
      </x:c>
      <x:c r="C344" s="37" t="str">
        <x:v>又北百八十里，曰單張之山，其上無草木。有獸焉，其狀如豹而長尾，人首而牛耳，一目，名曰諸犍，善吒，行則銜其尾，居則蟠其尾。有鳥焉，其狀如雉，而文首、白翼、黃足，名曰白（夜鳥），食之已嗌痛，可以已痸。櫟水出焉，而南流注於槓水。</x:v>
      </x:c>
      <x:c r="D344" s="36" t="str">
        <x:v>單張之山</x:v>
      </x:c>
      <x:c r="E344" s="36" t="str">
        <x:v>山</x:v>
      </x:c>
      <x:c r="F344" s="16"/>
      <x:c r="G344" s="38" t="str">
        <x:v>标点与分段参考《山海经校注》；正文对读：https://ctext.org/shan-hai-jing/bei-shan-jing/zh</x:v>
      </x:c>
      <x:c r="H344" s="39" t="e">
        <x:f>HYPERLINK("#'山海经原文总库'!A3","↩ 返回目录")</x:f>
        <x:v>HYPERLINK is not implemented. linkLocation=#'山海经原文总库'!A3, friendlyName=↩ 返回目录</x:v>
      </x:c>
      <x:c r="I344" s="437"/>
      <x:c r="J344" s="437"/>
      <x:c r="K344" s="437" t="str">
        <x:v>待同名检索｜待建档</x:v>
      </x:c>
    </x:row>
    <x:row r="345" ht="22.5" customHeight="1">
      <x:c r="A345" s="36"/>
      <x:c r="B345" s="36"/>
      <x:c r="C345" s="37"/>
      <x:c r="D345" s="36" t="str">
        <x:v>櫟水</x:v>
      </x:c>
      <x:c r="E345" s="36" t="str">
        <x:v>水系</x:v>
      </x:c>
      <x:c r="F345" s="16"/>
      <x:c r="G345" s="38"/>
      <x:c r="H345" s="39" t="e">
        <x:f>HYPERLINK("#'山海经原文总库'!A3","↩ 返回目录")</x:f>
        <x:v>HYPERLINK is not implemented. linkLocation=#'山海经原文总库'!A3, friendlyName=↩ 返回目录</x:v>
      </x:c>
      <x:c r="I345" s="437"/>
      <x:c r="J345" s="437"/>
      <x:c r="K345" s="437" t="str">
        <x:v>待同名检索｜待建档</x:v>
      </x:c>
    </x:row>
    <x:row r="346" ht="22.5" customHeight="1">
      <x:c r="A346" s="36"/>
      <x:c r="B346" s="36"/>
      <x:c r="C346" s="37"/>
      <x:c r="D346" s="36" t="str">
        <x:v>槓水</x:v>
      </x:c>
      <x:c r="E346" s="36" t="str">
        <x:v>水系</x:v>
      </x:c>
      <x:c r="F346" s="16"/>
      <x:c r="G346" s="38"/>
      <x:c r="H346" s="39" t="e">
        <x:f>HYPERLINK("#'山海经原文总库'!A3","↩ 返回目录")</x:f>
        <x:v>HYPERLINK is not implemented. linkLocation=#'山海经原文总库'!A3, friendlyName=↩ 返回目录</x:v>
      </x:c>
      <x:c r="I346" s="437"/>
      <x:c r="J346" s="437"/>
      <x:c r="K346" s="437" t="str">
        <x:v>待同名检索｜待建档</x:v>
      </x:c>
    </x:row>
    <x:row r="347" ht="22.5" customHeight="1">
      <x:c r="A347" s="36"/>
      <x:c r="B347" s="36"/>
      <x:c r="C347" s="37"/>
      <x:c r="D347" s="36" t="str">
        <x:v>杠水</x:v>
      </x:c>
      <x:c r="E347" s="36" t="str">
        <x:v>水系</x:v>
      </x:c>
      <x:c r="F347" s="16"/>
      <x:c r="G347" s="38"/>
      <x:c r="H347" s="39" t="e">
        <x:f>HYPERLINK("#'山海经原文总库'!A3","↩ 返回目录")</x:f>
        <x:v>HYPERLINK is not implemented. linkLocation=#'山海经原文总库'!A3, friendlyName=↩ 返回目录</x:v>
      </x:c>
      <x:c r="I347" s="437"/>
      <x:c r="J347" s="437"/>
      <x:c r="K347" s="437" t="str">
        <x:v>待同名检索｜待建档</x:v>
      </x:c>
    </x:row>
    <x:row r="348" ht="64.5" customHeight="1">
      <x:c r="A348" s="36" t="str">
        <x:v>SHJ-03-013</x:v>
      </x:c>
      <x:c r="B348" s="36" t="str">
        <x:v>卷三 《北山經》</x:v>
      </x:c>
      <x:c r="C348" s="37" t="str">
        <x:v>又北三百二十里，曰灌題之山，其上多樗柘，其下多流沙，多砥。有獸焉，其狀如牛而白尾，其音如？，名曰那父。有鳥焉，其狀如雌雉而人面，見人則躍，名曰竦斯，其鳴自呼也。匠韓之水出焉，而西流注於泑澤，其中多磁石。</x:v>
      </x:c>
      <x:c r="D348" s="36" t="str">
        <x:v>灌題之山</x:v>
      </x:c>
      <x:c r="E348" s="36" t="str">
        <x:v>山</x:v>
      </x:c>
      <x:c r="F348" s="16"/>
      <x:c r="G348" s="38" t="str">
        <x:v>标点与分段参考《山海经校注》；正文对读：https://ctext.org/shan-hai-jing/bei-shan-jing/zh</x:v>
      </x:c>
      <x:c r="H348" s="39" t="e">
        <x:f>HYPERLINK("#'山海经原文总库'!A3","↩ 返回目录")</x:f>
        <x:v>HYPERLINK is not implemented. linkLocation=#'山海经原文总库'!A3, friendlyName=↩ 返回目录</x:v>
      </x:c>
      <x:c r="I348" s="437"/>
      <x:c r="J348" s="437"/>
      <x:c r="K348" s="437" t="str">
        <x:v>待同名检索｜待建档</x:v>
      </x:c>
    </x:row>
    <x:row r="349" ht="22.5" customHeight="1">
      <x:c r="A349" s="36"/>
      <x:c r="B349" s="36"/>
      <x:c r="C349" s="37"/>
      <x:c r="D349" s="36" t="str">
        <x:v>匠韓之水</x:v>
      </x:c>
      <x:c r="E349" s="36" t="str">
        <x:v>水系</x:v>
      </x:c>
      <x:c r="F349" s="16"/>
      <x:c r="G349" s="38"/>
      <x:c r="H349" s="39" t="e">
        <x:f>HYPERLINK("#'山海经原文总库'!A3","↩ 返回目录")</x:f>
        <x:v>HYPERLINK is not implemented. linkLocation=#'山海经原文总库'!A3, friendlyName=↩ 返回目录</x:v>
      </x:c>
      <x:c r="I349" s="437"/>
      <x:c r="J349" s="437"/>
      <x:c r="K349" s="437" t="str">
        <x:v>待同名检索｜待建档</x:v>
      </x:c>
    </x:row>
    <x:row r="350" ht="22.5" customHeight="1">
      <x:c r="A350" s="36"/>
      <x:c r="B350" s="36"/>
      <x:c r="C350" s="37"/>
      <x:c r="D350" s="36" t="str">
        <x:v>泑澤</x:v>
      </x:c>
      <x:c r="E350" s="36" t="str">
        <x:v>水系</x:v>
      </x:c>
      <x:c r="F350" s="16"/>
      <x:c r="G350" s="38"/>
      <x:c r="H350" s="39" t="e">
        <x:f>HYPERLINK("#'山海经原文总库'!A3","↩ 返回目录")</x:f>
        <x:v>HYPERLINK is not implemented. linkLocation=#'山海经原文总库'!A3, friendlyName=↩ 返回目录</x:v>
      </x:c>
      <x:c r="I350" s="437"/>
      <x:c r="J350" s="437"/>
      <x:c r="K350" s="437" t="str">
        <x:v>待同名检索｜待建档</x:v>
      </x:c>
    </x:row>
    <x:row r="351" ht="22.5" customHeight="1">
      <x:c r="A351" s="36"/>
      <x:c r="B351" s="36"/>
      <x:c r="C351" s="37"/>
      <x:c r="D351" s="36" t="str">
        <x:v>流沙</x:v>
      </x:c>
      <x:c r="E351" s="36" t="str">
        <x:v>區域</x:v>
      </x:c>
      <x:c r="F351" s="16"/>
      <x:c r="G351" s="38"/>
      <x:c r="H351" s="39" t="e">
        <x:f>HYPERLINK("#'山海经原文总库'!A3","↩ 返回目录")</x:f>
        <x:v>HYPERLINK is not implemented. linkLocation=#'山海经原文总库'!A3, friendlyName=↩ 返回目录</x:v>
      </x:c>
      <x:c r="I351" s="437"/>
      <x:c r="J351" s="437"/>
      <x:c r="K351" s="437" t="str">
        <x:v>待同名检索｜待建档</x:v>
      </x:c>
    </x:row>
    <x:row r="352" ht="48" customHeight="1">
      <x:c r="A352" s="36" t="str">
        <x:v>SHJ-03-014</x:v>
      </x:c>
      <x:c r="B352" s="36" t="str">
        <x:v>卷三 《北山經》</x:v>
      </x:c>
      <x:c r="C352" s="37" t="str">
        <x:v>又北二百里，曰潘侯之山，其上多松柏，其下多榛楛，其陽多玉，其陰多鐵。有獸焉，其狀如牛，而四節生毛，名曰旄牛。邊水出焉，而南流注於櫟澤。</x:v>
      </x:c>
      <x:c r="D352" s="36" t="str">
        <x:v>潘侯之山</x:v>
      </x:c>
      <x:c r="E352" s="36" t="str">
        <x:v>山</x:v>
      </x:c>
      <x:c r="F352" s="16"/>
      <x:c r="G352" s="38" t="str">
        <x:v>标点与分段参考《山海经校注》；正文对读：https://ctext.org/shan-hai-jing/bei-shan-jing/zh</x:v>
      </x:c>
      <x:c r="H352" s="39" t="e">
        <x:f>HYPERLINK("#'山海经原文总库'!A3","↩ 返回目录")</x:f>
        <x:v>HYPERLINK is not implemented. linkLocation=#'山海经原文总库'!A3, friendlyName=↩ 返回目录</x:v>
      </x:c>
      <x:c r="I352" s="437"/>
      <x:c r="J352" s="437"/>
      <x:c r="K352" s="437" t="str">
        <x:v>待同名检索｜待建档</x:v>
      </x:c>
    </x:row>
    <x:row r="353" ht="22.5" customHeight="1">
      <x:c r="A353" s="36"/>
      <x:c r="B353" s="36"/>
      <x:c r="C353" s="37"/>
      <x:c r="D353" s="36" t="str">
        <x:v>邊水</x:v>
      </x:c>
      <x:c r="E353" s="36" t="str">
        <x:v>水系</x:v>
      </x:c>
      <x:c r="F353" s="16"/>
      <x:c r="G353" s="38"/>
      <x:c r="H353" s="39" t="e">
        <x:f>HYPERLINK("#'山海经原文总库'!A3","↩ 返回目录")</x:f>
        <x:v>HYPERLINK is not implemented. linkLocation=#'山海经原文总库'!A3, friendlyName=↩ 返回目录</x:v>
      </x:c>
      <x:c r="I353" s="437"/>
      <x:c r="J353" s="437"/>
      <x:c r="K353" s="437" t="str">
        <x:v>待同名检索｜待建档</x:v>
      </x:c>
    </x:row>
    <x:row r="354" ht="22.5" customHeight="1">
      <x:c r="A354" s="36"/>
      <x:c r="B354" s="36"/>
      <x:c r="C354" s="37"/>
      <x:c r="D354" s="36" t="str">
        <x:v>櫟澤</x:v>
      </x:c>
      <x:c r="E354" s="36" t="str">
        <x:v>水系</x:v>
      </x:c>
      <x:c r="F354" s="16"/>
      <x:c r="G354" s="38"/>
      <x:c r="H354" s="39" t="e">
        <x:f>HYPERLINK("#'山海经原文总库'!A3","↩ 返回目录")</x:f>
        <x:v>HYPERLINK is not implemented. linkLocation=#'山海经原文总库'!A3, friendlyName=↩ 返回目录</x:v>
      </x:c>
      <x:c r="I354" s="437"/>
      <x:c r="J354" s="437"/>
      <x:c r="K354" s="437" t="str">
        <x:v>待同名检索｜待建档</x:v>
      </x:c>
    </x:row>
    <x:row r="355" ht="48" customHeight="1">
      <x:c r="A355" s="36" t="str">
        <x:v>SHJ-03-015</x:v>
      </x:c>
      <x:c r="B355" s="36" t="str">
        <x:v>卷三 《北山經》</x:v>
      </x:c>
      <x:c r="C355" s="37" t="str">
        <x:v>又北二百三十里，曰小咸之山，無草木，冬夏有雪。</x:v>
      </x:c>
      <x:c r="D355" s="36" t="str">
        <x:v>小咸之山</x:v>
      </x:c>
      <x:c r="E355" s="36" t="str">
        <x:v>山</x:v>
      </x:c>
      <x:c r="F355" s="16"/>
      <x:c r="G355" s="38" t="str">
        <x:v>标点与分段参考《山海经校注》；正文对读：https://ctext.org/shan-hai-jing/bei-shan-jing/zh</x:v>
      </x:c>
      <x:c r="H355" s="39" t="e">
        <x:f>HYPERLINK("#'山海经原文总库'!A3","↩ 返回目录")</x:f>
        <x:v>HYPERLINK is not implemented. linkLocation=#'山海经原文总库'!A3, friendlyName=↩ 返回目录</x:v>
      </x:c>
      <x:c r="I355" s="437"/>
      <x:c r="J355" s="437"/>
      <x:c r="K355" s="437" t="str">
        <x:v>待同名检索｜待建档</x:v>
      </x:c>
    </x:row>
    <x:row r="356" ht="48" customHeight="1">
      <x:c r="A356" s="36" t="str">
        <x:v>SHJ-03-016</x:v>
      </x:c>
      <x:c r="B356" s="36" t="str">
        <x:v>卷三 《北山經》</x:v>
      </x:c>
      <x:c r="C356" s="37" t="str">
        <x:v>北二百八十里，曰大咸之山，無草木，其下多玉。是山也，四方，不可以上。有蛇名曰長蛇，其毛如彘豪，其音如鼓柝。</x:v>
      </x:c>
      <x:c r="D356" s="36" t="str">
        <x:v>大咸之山</x:v>
      </x:c>
      <x:c r="E356" s="36" t="str">
        <x:v>山</x:v>
      </x:c>
      <x:c r="F356" s="16"/>
      <x:c r="G356" s="38" t="str">
        <x:v>标点与分段参考《山海经校注》；正文对读：https://ctext.org/shan-hai-jing/bei-shan-jing/zh</x:v>
      </x:c>
      <x:c r="H356" s="39" t="e">
        <x:f>HYPERLINK("#'山海经原文总库'!A3","↩ 返回目录")</x:f>
        <x:v>HYPERLINK is not implemented. linkLocation=#'山海经原文总库'!A3, friendlyName=↩ 返回目录</x:v>
      </x:c>
      <x:c r="I356" s="437"/>
      <x:c r="J356" s="437"/>
      <x:c r="K356" s="437" t="str">
        <x:v>待同名检索｜待建档</x:v>
      </x:c>
    </x:row>
    <x:row r="357" ht="48" customHeight="1">
      <x:c r="A357" s="36" t="str">
        <x:v>SHJ-03-017</x:v>
      </x:c>
      <x:c r="B357" s="36" t="str">
        <x:v>卷三 《北山經》</x:v>
      </x:c>
      <x:c r="C357" s="37" t="str">
        <x:v>又北三百二十里，曰敦薨之山，其上多棕柟，其下多茈草。敦薨之水出焉，而西流注於泑澤。出於崑崙之東北隅，實惟河原。其中多赤鮭，其獸多兕、旄牛，其鳥多鳲鳩。</x:v>
      </x:c>
      <x:c r="D357" s="36" t="str">
        <x:v>敦薨之山</x:v>
      </x:c>
      <x:c r="E357" s="36" t="str">
        <x:v>山</x:v>
      </x:c>
      <x:c r="F357" s="16"/>
      <x:c r="G357" s="38" t="str">
        <x:v>标点与分段参考《山海经校注》；正文对读：https://ctext.org/shan-hai-jing/bei-shan-jing/zh</x:v>
      </x:c>
      <x:c r="H357" s="39" t="e">
        <x:f>HYPERLINK("#'山海经原文总库'!A3","↩ 返回目录")</x:f>
        <x:v>HYPERLINK is not implemented. linkLocation=#'山海经原文总库'!A3, friendlyName=↩ 返回目录</x:v>
      </x:c>
      <x:c r="I357" s="437"/>
      <x:c r="J357" s="437"/>
      <x:c r="K357" s="437" t="str">
        <x:v>待同名检索｜待建档</x:v>
      </x:c>
    </x:row>
    <x:row r="358" ht="22.5" customHeight="1">
      <x:c r="A358" s="36"/>
      <x:c r="B358" s="36"/>
      <x:c r="C358" s="37"/>
      <x:c r="D358" s="36" t="str">
        <x:v>敦薨之水</x:v>
      </x:c>
      <x:c r="E358" s="36" t="str">
        <x:v>水系</x:v>
      </x:c>
      <x:c r="F358" s="16"/>
      <x:c r="G358" s="38"/>
      <x:c r="H358" s="39" t="e">
        <x:f>HYPERLINK("#'山海经原文总库'!A3","↩ 返回目录")</x:f>
        <x:v>HYPERLINK is not implemented. linkLocation=#'山海经原文总库'!A3, friendlyName=↩ 返回目录</x:v>
      </x:c>
      <x:c r="I358" s="437"/>
      <x:c r="J358" s="437"/>
      <x:c r="K358" s="437" t="str">
        <x:v>待同名检索｜待建档</x:v>
      </x:c>
    </x:row>
    <x:row r="359" ht="22.5" customHeight="1">
      <x:c r="A359" s="36"/>
      <x:c r="B359" s="36"/>
      <x:c r="C359" s="37"/>
      <x:c r="D359" s="36" t="str">
        <x:v>泑澤</x:v>
      </x:c>
      <x:c r="E359" s="36" t="str">
        <x:v>水系</x:v>
      </x:c>
      <x:c r="F359" s="16"/>
      <x:c r="G359" s="38"/>
      <x:c r="H359" s="39" t="e">
        <x:f>HYPERLINK("#'山海经原文总库'!A3","↩ 返回目录")</x:f>
        <x:v>HYPERLINK is not implemented. linkLocation=#'山海经原文总库'!A3, friendlyName=↩ 返回目录</x:v>
      </x:c>
      <x:c r="I359" s="437"/>
      <x:c r="J359" s="437"/>
      <x:c r="K359" s="437" t="str">
        <x:v>待同名检索｜待建档</x:v>
      </x:c>
    </x:row>
    <x:row r="360" ht="48" customHeight="1">
      <x:c r="A360" s="36" t="str">
        <x:v>SHJ-03-018</x:v>
      </x:c>
      <x:c r="B360" s="36" t="str">
        <x:v>卷三 《北山經》</x:v>
      </x:c>
      <x:c r="C360" s="37" t="str">
        <x:v>又北二百里，曰少咸之山，無草木，多青碧。有獸焉，其狀如牛，而赤身、人面、馬足，名曰窫窳，其音如嬰兒，是食人。敦水出焉，東流注於鴈門之水，其中多（魚市）（魚市）之魚，食之殺人。</x:v>
      </x:c>
      <x:c r="D360" s="36" t="str">
        <x:v>少咸之山</x:v>
      </x:c>
      <x:c r="E360" s="36" t="str">
        <x:v>山</x:v>
      </x:c>
      <x:c r="F360" s="16"/>
      <x:c r="G360" s="38" t="str">
        <x:v>标点与分段参考《山海经校注》；正文对读：https://ctext.org/shan-hai-jing/bei-shan-jing/zh</x:v>
      </x:c>
      <x:c r="H360" s="39" t="e">
        <x:f>HYPERLINK("#'山海经原文总库'!A3","↩ 返回目录")</x:f>
        <x:v>HYPERLINK is not implemented. linkLocation=#'山海经原文总库'!A3, friendlyName=↩ 返回目录</x:v>
      </x:c>
      <x:c r="I360" s="437"/>
      <x:c r="J360" s="437"/>
      <x:c r="K360" s="437" t="str">
        <x:v>待同名检索｜待建档</x:v>
      </x:c>
    </x:row>
    <x:row r="361" ht="22.5" customHeight="1">
      <x:c r="A361" s="36"/>
      <x:c r="B361" s="36"/>
      <x:c r="C361" s="37"/>
      <x:c r="D361" s="36" t="str">
        <x:v>敦水</x:v>
      </x:c>
      <x:c r="E361" s="36" t="str">
        <x:v>水系</x:v>
      </x:c>
      <x:c r="F361" s="16"/>
      <x:c r="G361" s="38"/>
      <x:c r="H361" s="39" t="e">
        <x:f>HYPERLINK("#'山海经原文总库'!A3","↩ 返回目录")</x:f>
        <x:v>HYPERLINK is not implemented. linkLocation=#'山海经原文总库'!A3, friendlyName=↩ 返回目录</x:v>
      </x:c>
      <x:c r="I361" s="437"/>
      <x:c r="J361" s="437"/>
      <x:c r="K361" s="437" t="str">
        <x:v>待同名检索｜待建档</x:v>
      </x:c>
    </x:row>
    <x:row r="362" ht="22.5" customHeight="1">
      <x:c r="A362" s="36"/>
      <x:c r="B362" s="36"/>
      <x:c r="C362" s="37"/>
      <x:c r="D362" s="36" t="str">
        <x:v>鴈門之水</x:v>
      </x:c>
      <x:c r="E362" s="36" t="str">
        <x:v>水系</x:v>
      </x:c>
      <x:c r="F362" s="16"/>
      <x:c r="G362" s="38"/>
      <x:c r="H362" s="39" t="e">
        <x:f>HYPERLINK("#'山海经原文总库'!A3","↩ 返回目录")</x:f>
        <x:v>HYPERLINK is not implemented. linkLocation=#'山海经原文总库'!A3, friendlyName=↩ 返回目录</x:v>
      </x:c>
      <x:c r="I362" s="437"/>
      <x:c r="J362" s="437"/>
      <x:c r="K362" s="437" t="str">
        <x:v>待同名检索｜待建档</x:v>
      </x:c>
    </x:row>
    <x:row r="363" ht="22.5" customHeight="1">
      <x:c r="A363" s="36"/>
      <x:c r="B363" s="36"/>
      <x:c r="C363" s="37"/>
      <x:c r="D363" s="36" t="str">
        <x:v>魚市</x:v>
      </x:c>
      <x:c r="E363" s="36" t="str">
        <x:v>聚落／區域</x:v>
      </x:c>
      <x:c r="F363" s="16"/>
      <x:c r="G363" s="38"/>
      <x:c r="H363" s="39" t="e">
        <x:f>HYPERLINK("#'山海经原文总库'!A3","↩ 返回目录")</x:f>
        <x:v>HYPERLINK is not implemented. linkLocation=#'山海经原文总库'!A3, friendlyName=↩ 返回目录</x:v>
      </x:c>
      <x:c r="I363" s="437"/>
      <x:c r="J363" s="437"/>
      <x:c r="K363" s="437" t="str">
        <x:v>待同名检索｜待建档</x:v>
      </x:c>
    </x:row>
    <x:row r="364" ht="48" customHeight="1">
      <x:c r="A364" s="36" t="str">
        <x:v>SHJ-03-019</x:v>
      </x:c>
      <x:c r="B364" s="36" t="str">
        <x:v>卷三 《北山經》</x:v>
      </x:c>
      <x:c r="C364" s="37" t="str">
        <x:v>又北二百里，曰獄法之山。瀤澤之水出焉，而東北流注於泰澤。其中多（魚巢）魚，其狀如鯉而雞足，食之已疣。有獸焉，其狀如犬而人面，善投，見人則笑，其名山？，其行如風，見則天下大風。</x:v>
      </x:c>
      <x:c r="D364" s="36" t="str">
        <x:v>獄法之山</x:v>
      </x:c>
      <x:c r="E364" s="36" t="str">
        <x:v>山</x:v>
      </x:c>
      <x:c r="F364" s="16"/>
      <x:c r="G364" s="38" t="str">
        <x:v>标点与分段参考《山海经校注》；正文对读：https://ctext.org/shan-hai-jing/bei-shan-jing/zh</x:v>
      </x:c>
      <x:c r="H364" s="39" t="e">
        <x:f>HYPERLINK("#'山海经原文总库'!A3","↩ 返回目录")</x:f>
        <x:v>HYPERLINK is not implemented. linkLocation=#'山海经原文总库'!A3, friendlyName=↩ 返回目录</x:v>
      </x:c>
      <x:c r="I364" s="437"/>
      <x:c r="J364" s="437"/>
      <x:c r="K364" s="437" t="str">
        <x:v>待同名检索｜待建档</x:v>
      </x:c>
    </x:row>
    <x:row r="365" ht="22.5" customHeight="1">
      <x:c r="A365" s="36"/>
      <x:c r="B365" s="36"/>
      <x:c r="C365" s="37"/>
      <x:c r="D365" s="36" t="str">
        <x:v>瀤澤之水</x:v>
      </x:c>
      <x:c r="E365" s="36" t="str">
        <x:v>水系</x:v>
      </x:c>
      <x:c r="F365" s="16"/>
      <x:c r="G365" s="38"/>
      <x:c r="H365" s="39" t="e">
        <x:f>HYPERLINK("#'山海经原文总库'!A3","↩ 返回目录")</x:f>
        <x:v>HYPERLINK is not implemented. linkLocation=#'山海经原文总库'!A3, friendlyName=↩ 返回目录</x:v>
      </x:c>
      <x:c r="I365" s="437"/>
      <x:c r="J365" s="437"/>
      <x:c r="K365" s="437" t="str">
        <x:v>待同名检索｜待建档</x:v>
      </x:c>
    </x:row>
    <x:row r="366" ht="22.5" customHeight="1">
      <x:c r="A366" s="36"/>
      <x:c r="B366" s="36"/>
      <x:c r="C366" s="37"/>
      <x:c r="D366" s="36" t="str">
        <x:v>泰澤</x:v>
      </x:c>
      <x:c r="E366" s="36" t="str">
        <x:v>水系</x:v>
      </x:c>
      <x:c r="F366" s="16"/>
      <x:c r="G366" s="38"/>
      <x:c r="H366" s="39" t="e">
        <x:f>HYPERLINK("#'山海经原文总库'!A3","↩ 返回目录")</x:f>
        <x:v>HYPERLINK is not implemented. linkLocation=#'山海经原文总库'!A3, friendlyName=↩ 返回目录</x:v>
      </x:c>
      <x:c r="I366" s="437"/>
      <x:c r="J366" s="437"/>
      <x:c r="K366" s="437" t="str">
        <x:v>待同名检索｜待建档</x:v>
      </x:c>
    </x:row>
    <x:row r="367" ht="22.5" customHeight="1">
      <x:c r="A367" s="36"/>
      <x:c r="B367" s="36"/>
      <x:c r="C367" s="37"/>
      <x:c r="D367" s="36" t="str">
        <x:v>瀤澤</x:v>
      </x:c>
      <x:c r="E367" s="36" t="str">
        <x:v>澤／淵</x:v>
      </x:c>
      <x:c r="F367" s="16"/>
      <x:c r="G367" s="38"/>
      <x:c r="H367" s="39" t="e">
        <x:f>HYPERLINK("#'山海经原文总库'!A3","↩ 返回目录")</x:f>
        <x:v>HYPERLINK is not implemented. linkLocation=#'山海经原文总库'!A3, friendlyName=↩ 返回目录</x:v>
      </x:c>
      <x:c r="I367" s="437"/>
      <x:c r="J367" s="437"/>
      <x:c r="K367" s="437" t="str">
        <x:v>待同名检索｜待建档</x:v>
      </x:c>
    </x:row>
    <x:row r="368" ht="22.5" customHeight="1">
      <x:c r="A368" s="36"/>
      <x:c r="B368" s="36"/>
      <x:c r="C368" s="37"/>
      <x:c r="D368" s="36" t="str">
        <x:v>而東北流注於泰澤</x:v>
      </x:c>
      <x:c r="E368" s="36" t="str">
        <x:v>澤／淵</x:v>
      </x:c>
      <x:c r="F368" s="16"/>
      <x:c r="G368" s="38"/>
      <x:c r="H368" s="39" t="e">
        <x:f>HYPERLINK("#'山海经原文总库'!A3","↩ 返回目录")</x:f>
        <x:v>HYPERLINK is not implemented. linkLocation=#'山海经原文总库'!A3, friendlyName=↩ 返回目录</x:v>
      </x:c>
      <x:c r="I368" s="437"/>
      <x:c r="J368" s="437"/>
      <x:c r="K368" s="437" t="str">
        <x:v>待同名检索｜待建档</x:v>
      </x:c>
    </x:row>
    <x:row r="369" ht="64.5" customHeight="1">
      <x:c r="A369" s="36" t="str">
        <x:v>SHJ-03-020</x:v>
      </x:c>
      <x:c r="B369" s="36" t="str">
        <x:v>卷三 《北山經》</x:v>
      </x:c>
      <x:c r="C369" s="37" t="str">
        <x:v>又北二百里，曰北嶽之山，多枳棘剛木。有獸焉，其狀如牛，而四角、人目、彘耳，其名曰諸懷，其音如鳴鴈，是食人。諸懷之水出焉，而西流注於囂水，其中多鮨魚，魚身而犬首，其音如嬰兒，食之已狂。</x:v>
      </x:c>
      <x:c r="D369" s="36" t="str">
        <x:v>嶽之山</x:v>
      </x:c>
      <x:c r="E369" s="36" t="str">
        <x:v>山</x:v>
      </x:c>
      <x:c r="F369" s="16"/>
      <x:c r="G369" s="38" t="str">
        <x:v>标点与分段参考《山海经校注》；正文对读：https://ctext.org/shan-hai-jing/bei-shan-jing/zh</x:v>
      </x:c>
      <x:c r="H369" s="39" t="e">
        <x:f>HYPERLINK("#'山海经原文总库'!A3","↩ 返回目录")</x:f>
        <x:v>HYPERLINK is not implemented. linkLocation=#'山海经原文总库'!A3, friendlyName=↩ 返回目录</x:v>
      </x:c>
      <x:c r="I369" s="437"/>
      <x:c r="J369" s="437"/>
      <x:c r="K369" s="437" t="str">
        <x:v>待同名检索｜待建档</x:v>
      </x:c>
    </x:row>
    <x:row r="370" ht="22.5" customHeight="1">
      <x:c r="A370" s="36"/>
      <x:c r="B370" s="36"/>
      <x:c r="C370" s="37"/>
      <x:c r="D370" s="36" t="str">
        <x:v>諸懷之水</x:v>
      </x:c>
      <x:c r="E370" s="36" t="str">
        <x:v>水系</x:v>
      </x:c>
      <x:c r="F370" s="16"/>
      <x:c r="G370" s="38"/>
      <x:c r="H370" s="39" t="e">
        <x:f>HYPERLINK("#'山海经原文总库'!A3","↩ 返回目录")</x:f>
        <x:v>HYPERLINK is not implemented. linkLocation=#'山海经原文总库'!A3, friendlyName=↩ 返回目录</x:v>
      </x:c>
      <x:c r="I370" s="437"/>
      <x:c r="J370" s="437"/>
      <x:c r="K370" s="437" t="str">
        <x:v>待同名检索｜待建档</x:v>
      </x:c>
    </x:row>
    <x:row r="371" ht="22.5" customHeight="1">
      <x:c r="A371" s="36"/>
      <x:c r="B371" s="36"/>
      <x:c r="C371" s="37"/>
      <x:c r="D371" s="36" t="str">
        <x:v>囂水</x:v>
      </x:c>
      <x:c r="E371" s="36" t="str">
        <x:v>水系</x:v>
      </x:c>
      <x:c r="F371" s="16"/>
      <x:c r="G371" s="38"/>
      <x:c r="H371" s="39" t="e">
        <x:f>HYPERLINK("#'山海经原文总库'!A3","↩ 返回目录")</x:f>
        <x:v>HYPERLINK is not implemented. linkLocation=#'山海经原文总库'!A3, friendlyName=↩ 返回目录</x:v>
      </x:c>
      <x:c r="I371" s="437"/>
      <x:c r="J371" s="437"/>
      <x:c r="K371" s="437" t="str">
        <x:v>待同名检索｜待建档</x:v>
      </x:c>
    </x:row>
    <x:row r="372" ht="48" customHeight="1">
      <x:c r="A372" s="36" t="str">
        <x:v>SHJ-03-021</x:v>
      </x:c>
      <x:c r="B372" s="36" t="str">
        <x:v>卷三 《北山經》</x:v>
      </x:c>
      <x:c r="C372" s="37" t="str">
        <x:v>又北百八十里，曰渾夕之山，無草木，多銅玉。囂水出焉，而西北流注於海。有蛇一首兩身，名曰肥遺，見則其國大旱。</x:v>
      </x:c>
      <x:c r="D372" s="36" t="str">
        <x:v>渾夕之山</x:v>
      </x:c>
      <x:c r="E372" s="36" t="str">
        <x:v>山</x:v>
      </x:c>
      <x:c r="F372" s="16"/>
      <x:c r="G372" s="38" t="str">
        <x:v>标点与分段参考《山海经校注》；正文对读：https://ctext.org/shan-hai-jing/bei-shan-jing/zh</x:v>
      </x:c>
      <x:c r="H372" s="39" t="e">
        <x:f>HYPERLINK("#'山海经原文总库'!A3","↩ 返回目录")</x:f>
        <x:v>HYPERLINK is not implemented. linkLocation=#'山海经原文总库'!A3, friendlyName=↩ 返回目录</x:v>
      </x:c>
      <x:c r="I372" s="437"/>
      <x:c r="J372" s="437"/>
      <x:c r="K372" s="437" t="str">
        <x:v>待同名检索｜待建档</x:v>
      </x:c>
    </x:row>
    <x:row r="373" ht="22.5" customHeight="1">
      <x:c r="A373" s="36"/>
      <x:c r="B373" s="36"/>
      <x:c r="C373" s="37"/>
      <x:c r="D373" s="36" t="str">
        <x:v>囂水</x:v>
      </x:c>
      <x:c r="E373" s="36" t="str">
        <x:v>水系</x:v>
      </x:c>
      <x:c r="F373" s="16"/>
      <x:c r="G373" s="38"/>
      <x:c r="H373" s="39" t="e">
        <x:f>HYPERLINK("#'山海经原文总库'!A3","↩ 返回目录")</x:f>
        <x:v>HYPERLINK is not implemented. linkLocation=#'山海经原文总库'!A3, friendlyName=↩ 返回目录</x:v>
      </x:c>
      <x:c r="I373" s="437"/>
      <x:c r="J373" s="437"/>
      <x:c r="K373" s="437" t="str">
        <x:v>待同名检索｜待建档</x:v>
      </x:c>
    </x:row>
    <x:row r="374" ht="48" customHeight="1">
      <x:c r="A374" s="36" t="str">
        <x:v>SHJ-03-022</x:v>
      </x:c>
      <x:c r="B374" s="36" t="str">
        <x:v>卷三 《北山經》</x:v>
      </x:c>
      <x:c r="C374" s="37" t="str">
        <x:v>又北五十里，曰北單之山，無草木，多蔥韭。</x:v>
      </x:c>
      <x:c r="D374" s="36" t="str">
        <x:v>單之山</x:v>
      </x:c>
      <x:c r="E374" s="36" t="str">
        <x:v>山</x:v>
      </x:c>
      <x:c r="F374" s="16"/>
      <x:c r="G374" s="38" t="str">
        <x:v>标点与分段参考《山海经校注》；正文对读：https://ctext.org/shan-hai-jing/bei-shan-jing/zh</x:v>
      </x:c>
      <x:c r="H374" s="39" t="e">
        <x:f>HYPERLINK("#'山海经原文总库'!A3","↩ 返回目录")</x:f>
        <x:v>HYPERLINK is not implemented. linkLocation=#'山海经原文总库'!A3, friendlyName=↩ 返回目录</x:v>
      </x:c>
      <x:c r="I374" s="437"/>
      <x:c r="J374" s="437"/>
      <x:c r="K374" s="437" t="str">
        <x:v>待同名检索｜待建档</x:v>
      </x:c>
    </x:row>
    <x:row r="375" ht="48" customHeight="1">
      <x:c r="A375" s="36" t="str">
        <x:v>SHJ-03-023</x:v>
      </x:c>
      <x:c r="B375" s="36" t="str">
        <x:v>卷三 《北山經》</x:v>
      </x:c>
      <x:c r="C375" s="37" t="str">
        <x:v>又北百里，曰羆差之山，無草木，多馬。</x:v>
      </x:c>
      <x:c r="D375" s="36" t="str">
        <x:v>羆差之山</x:v>
      </x:c>
      <x:c r="E375" s="36" t="str">
        <x:v>山</x:v>
      </x:c>
      <x:c r="F375" s="16"/>
      <x:c r="G375" s="38" t="str">
        <x:v>标点与分段参考《山海经校注》；正文对读：https://ctext.org/shan-hai-jing/bei-shan-jing/zh</x:v>
      </x:c>
      <x:c r="H375" s="39" t="e">
        <x:f>HYPERLINK("#'山海经原文总库'!A3","↩ 返回目录")</x:f>
        <x:v>HYPERLINK is not implemented. linkLocation=#'山海经原文总库'!A3, friendlyName=↩ 返回目录</x:v>
      </x:c>
      <x:c r="I375" s="437"/>
      <x:c r="J375" s="437"/>
      <x:c r="K375" s="437" t="str">
        <x:v>待同名检索｜待建档</x:v>
      </x:c>
    </x:row>
    <x:row r="376" ht="48" customHeight="1">
      <x:c r="A376" s="36" t="str">
        <x:v>SHJ-03-024</x:v>
      </x:c>
      <x:c r="B376" s="36" t="str">
        <x:v>卷三 《北山經》</x:v>
      </x:c>
      <x:c r="C376" s="37" t="str">
        <x:v>又北百八十里，曰北鮮之山，是多馬。鮮水出焉，而西北流注於塗吾之水。</x:v>
      </x:c>
      <x:c r="D376" s="36" t="str">
        <x:v>鮮之山</x:v>
      </x:c>
      <x:c r="E376" s="36" t="str">
        <x:v>山</x:v>
      </x:c>
      <x:c r="F376" s="16"/>
      <x:c r="G376" s="38" t="str">
        <x:v>标点与分段参考《山海经校注》；正文对读：https://ctext.org/shan-hai-jing/bei-shan-jing/zh</x:v>
      </x:c>
      <x:c r="H376" s="39" t="e">
        <x:f>HYPERLINK("#'山海经原文总库'!A3","↩ 返回目录")</x:f>
        <x:v>HYPERLINK is not implemented. linkLocation=#'山海经原文总库'!A3, friendlyName=↩ 返回目录</x:v>
      </x:c>
      <x:c r="I376" s="437"/>
      <x:c r="J376" s="437"/>
      <x:c r="K376" s="437" t="str">
        <x:v>待同名检索｜待建档</x:v>
      </x:c>
    </x:row>
    <x:row r="377" ht="22.5" customHeight="1">
      <x:c r="A377" s="36"/>
      <x:c r="B377" s="36"/>
      <x:c r="C377" s="37"/>
      <x:c r="D377" s="36" t="str">
        <x:v>鮮水</x:v>
      </x:c>
      <x:c r="E377" s="36" t="str">
        <x:v>水系</x:v>
      </x:c>
      <x:c r="F377" s="16"/>
      <x:c r="G377" s="38"/>
      <x:c r="H377" s="39" t="e">
        <x:f>HYPERLINK("#'山海经原文总库'!A3","↩ 返回目录")</x:f>
        <x:v>HYPERLINK is not implemented. linkLocation=#'山海经原文总库'!A3, friendlyName=↩ 返回目录</x:v>
      </x:c>
      <x:c r="I377" s="437"/>
      <x:c r="J377" s="437"/>
      <x:c r="K377" s="437" t="str">
        <x:v>待同名检索｜待建档</x:v>
      </x:c>
    </x:row>
    <x:row r="378" ht="22.5" customHeight="1">
      <x:c r="A378" s="36"/>
      <x:c r="B378" s="36"/>
      <x:c r="C378" s="37"/>
      <x:c r="D378" s="36" t="str">
        <x:v>塗吾之水</x:v>
      </x:c>
      <x:c r="E378" s="36" t="str">
        <x:v>水系</x:v>
      </x:c>
      <x:c r="F378" s="16"/>
      <x:c r="G378" s="38"/>
      <x:c r="H378" s="39" t="e">
        <x:f>HYPERLINK("#'山海经原文总库'!A3","↩ 返回目录")</x:f>
        <x:v>HYPERLINK is not implemented. linkLocation=#'山海经原文总库'!A3, friendlyName=↩ 返回目录</x:v>
      </x:c>
      <x:c r="I378" s="437"/>
      <x:c r="J378" s="437"/>
      <x:c r="K378" s="437" t="str">
        <x:v>待同名检索｜待建档</x:v>
      </x:c>
    </x:row>
    <x:row r="379" ht="48" customHeight="1">
      <x:c r="A379" s="36" t="str">
        <x:v>SHJ-03-025</x:v>
      </x:c>
      <x:c r="B379" s="36" t="str">
        <x:v>卷三 《北山經》</x:v>
      </x:c>
      <x:c r="C379" s="37" t="str">
        <x:v>又北百七十里，曰堤山，多馬。有獸焉，其狀如豹而文首，名曰泑。堤水出焉，而東流注於泰澤，其中多龍龜。</x:v>
      </x:c>
      <x:c r="D379" s="36" t="str">
        <x:v>堤山</x:v>
      </x:c>
      <x:c r="E379" s="36" t="str">
        <x:v>山</x:v>
      </x:c>
      <x:c r="F379" s="16"/>
      <x:c r="G379" s="38" t="str">
        <x:v>标点与分段参考《山海经校注》；正文对读：https://ctext.org/shan-hai-jing/bei-shan-jing/zh</x:v>
      </x:c>
      <x:c r="H379" s="39" t="e">
        <x:f>HYPERLINK("#'山海经原文总库'!A3","↩ 返回目录")</x:f>
        <x:v>HYPERLINK is not implemented. linkLocation=#'山海经原文总库'!A3, friendlyName=↩ 返回目录</x:v>
      </x:c>
      <x:c r="I379" s="437"/>
      <x:c r="J379" s="437"/>
      <x:c r="K379" s="437" t="str">
        <x:v>待同名检索｜待建档</x:v>
      </x:c>
    </x:row>
    <x:row r="380" ht="22.5" customHeight="1">
      <x:c r="A380" s="36"/>
      <x:c r="B380" s="36"/>
      <x:c r="C380" s="37"/>
      <x:c r="D380" s="36" t="str">
        <x:v>堤水</x:v>
      </x:c>
      <x:c r="E380" s="36" t="str">
        <x:v>水系</x:v>
      </x:c>
      <x:c r="F380" s="16"/>
      <x:c r="G380" s="38"/>
      <x:c r="H380" s="39" t="e">
        <x:f>HYPERLINK("#'山海经原文总库'!A3","↩ 返回目录")</x:f>
        <x:v>HYPERLINK is not implemented. linkLocation=#'山海经原文总库'!A3, friendlyName=↩ 返回目录</x:v>
      </x:c>
      <x:c r="I380" s="437"/>
      <x:c r="J380" s="437"/>
      <x:c r="K380" s="437" t="str">
        <x:v>待同名检索｜待建档</x:v>
      </x:c>
    </x:row>
    <x:row r="381" ht="22.5" customHeight="1">
      <x:c r="A381" s="36"/>
      <x:c r="B381" s="36"/>
      <x:c r="C381" s="37"/>
      <x:c r="D381" s="36" t="str">
        <x:v>泰澤</x:v>
      </x:c>
      <x:c r="E381" s="36" t="str">
        <x:v>水系</x:v>
      </x:c>
      <x:c r="F381" s="16"/>
      <x:c r="G381" s="38"/>
      <x:c r="H381" s="39" t="e">
        <x:f>HYPERLINK("#'山海经原文总库'!A3","↩ 返回目录")</x:f>
        <x:v>HYPERLINK is not implemented. linkLocation=#'山海经原文总库'!A3, friendlyName=↩ 返回目录</x:v>
      </x:c>
      <x:c r="I381" s="437"/>
      <x:c r="J381" s="437"/>
      <x:c r="K381" s="437" t="str">
        <x:v>待同名检索｜待建档</x:v>
      </x:c>
    </x:row>
    <x:row r="382" ht="48" customHeight="1">
      <x:c r="A382" s="36" t="str">
        <x:v>SHJ-03-026</x:v>
      </x:c>
      <x:c r="B382" s="36" t="str">
        <x:v>卷三 《北山經》</x:v>
      </x:c>
      <x:c r="C382" s="37" t="str">
        <x:v>凡北山經之首，自單狐之山至於堤山，凡二十五山，五千四百九十里，其神皆人面蛇身。其祠之，毛用一雄雞彘瘞，吉玉用一珪，瘞而不糈。其山北人，皆生食不火之物。</x:v>
      </x:c>
      <x:c r="D382" s="36" t="str">
        <x:v>單狐之山至於堤山</x:v>
      </x:c>
      <x:c r="E382" s="36" t="str">
        <x:v>山</x:v>
      </x:c>
      <x:c r="F382" s="16"/>
      <x:c r="G382" s="38" t="str">
        <x:v>标点与分段参考《山海经校注》；正文对读：https://ctext.org/shan-hai-jing/bei-shan-jing/zh</x:v>
      </x:c>
      <x:c r="H382" s="39" t="e">
        <x:f>HYPERLINK("#'山海经原文总库'!A3","↩ 返回目录")</x:f>
        <x:v>HYPERLINK is not implemented. linkLocation=#'山海经原文总库'!A3, friendlyName=↩ 返回目录</x:v>
      </x:c>
      <x:c r="I382" s="437"/>
      <x:c r="J382" s="437"/>
      <x:c r="K382" s="437" t="str">
        <x:v>待同名检索｜待建档</x:v>
      </x:c>
    </x:row>
    <x:row r="383" ht="48" customHeight="1">
      <x:c r="A383" s="36" t="str">
        <x:v>SHJ-03-027</x:v>
      </x:c>
      <x:c r="B383" s="36" t="str">
        <x:v>卷三 《北山經》</x:v>
      </x:c>
      <x:c r="C383" s="37" t="str">
        <x:v>北次二經之首，在河之東，其首枕汾，其名曰管涔之山。其上無木而多草，其下多玉。汾水出焉，而西流注於河。</x:v>
      </x:c>
      <x:c r="D383" s="36" t="str">
        <x:v>管涔之山</x:v>
      </x:c>
      <x:c r="E383" s="36" t="str">
        <x:v>山</x:v>
      </x:c>
      <x:c r="F383" s="16"/>
      <x:c r="G383" s="38" t="str">
        <x:v>标点与分段参考《山海经校注》；正文对读：https://ctext.org/shan-hai-jing/bei-shan-jing/zh</x:v>
      </x:c>
      <x:c r="H383" s="39" t="e">
        <x:f>HYPERLINK("#'山海经原文总库'!A3","↩ 返回目录")</x:f>
        <x:v>HYPERLINK is not implemented. linkLocation=#'山海经原文总库'!A3, friendlyName=↩ 返回目录</x:v>
      </x:c>
      <x:c r="I383" s="437"/>
      <x:c r="J383" s="437"/>
      <x:c r="K383" s="437" t="str">
        <x:v>待同名检索｜待建档</x:v>
      </x:c>
    </x:row>
    <x:row r="384" ht="22.5" customHeight="1">
      <x:c r="A384" s="36"/>
      <x:c r="B384" s="36"/>
      <x:c r="C384" s="37"/>
      <x:c r="D384" s="36" t="str">
        <x:v>汾水</x:v>
      </x:c>
      <x:c r="E384" s="36" t="str">
        <x:v>水系</x:v>
      </x:c>
      <x:c r="F384" s="16"/>
      <x:c r="G384" s="38"/>
      <x:c r="H384" s="39" t="e">
        <x:f>HYPERLINK("#'山海经原文总库'!A3","↩ 返回目录")</x:f>
        <x:v>HYPERLINK is not implemented. linkLocation=#'山海经原文总库'!A3, friendlyName=↩ 返回目录</x:v>
      </x:c>
      <x:c r="I384" s="437"/>
      <x:c r="J384" s="437"/>
      <x:c r="K384" s="437" t="str">
        <x:v>待同名检索｜待建档</x:v>
      </x:c>
    </x:row>
    <x:row r="385" ht="22.5" customHeight="1">
      <x:c r="A385" s="36"/>
      <x:c r="B385" s="36"/>
      <x:c r="C385" s="37"/>
      <x:c r="D385" s="36" t="str">
        <x:v>河</x:v>
      </x:c>
      <x:c r="E385" s="36" t="str">
        <x:v>地理名稱</x:v>
      </x:c>
      <x:c r="F385" s="16"/>
      <x:c r="G385" s="38"/>
      <x:c r="H385" s="39" t="e">
        <x:f>HYPERLINK("#'山海经原文总库'!A3","↩ 返回目录")</x:f>
        <x:v>HYPERLINK is not implemented. linkLocation=#'山海经原文总库'!A3, friendlyName=↩ 返回目录</x:v>
      </x:c>
      <x:c r="I385" s="437"/>
      <x:c r="J385" s="437"/>
      <x:c r="K385" s="437" t="str">
        <x:v>待同名检索｜待建档</x:v>
      </x:c>
    </x:row>
    <x:row r="386" ht="48" customHeight="1">
      <x:c r="A386" s="36" t="str">
        <x:v>SHJ-03-028</x:v>
      </x:c>
      <x:c r="B386" s="36" t="str">
        <x:v>卷三 《北山經》</x:v>
      </x:c>
      <x:c r="C386" s="37" t="str">
        <x:v>又西二百五十里，曰少陽之山，其上多玉，其下多赤銀。酸水出焉，而東流注於汾水，其中多美赭。</x:v>
      </x:c>
      <x:c r="D386" s="36" t="str">
        <x:v>少陽之山</x:v>
      </x:c>
      <x:c r="E386" s="36" t="str">
        <x:v>山</x:v>
      </x:c>
      <x:c r="F386" s="16"/>
      <x:c r="G386" s="38" t="str">
        <x:v>标点与分段参考《山海经校注》；正文对读：https://ctext.org/shan-hai-jing/bei-shan-jing/zh</x:v>
      </x:c>
      <x:c r="H386" s="39" t="e">
        <x:f>HYPERLINK("#'山海经原文总库'!A3","↩ 返回目录")</x:f>
        <x:v>HYPERLINK is not implemented. linkLocation=#'山海经原文总库'!A3, friendlyName=↩ 返回目录</x:v>
      </x:c>
      <x:c r="I386" s="437"/>
      <x:c r="J386" s="437"/>
      <x:c r="K386" s="437" t="str">
        <x:v>待同名检索｜待建档</x:v>
      </x:c>
    </x:row>
    <x:row r="387" ht="22.5" customHeight="1">
      <x:c r="A387" s="36"/>
      <x:c r="B387" s="36"/>
      <x:c r="C387" s="37"/>
      <x:c r="D387" s="36" t="str">
        <x:v>酸水</x:v>
      </x:c>
      <x:c r="E387" s="36" t="str">
        <x:v>水系</x:v>
      </x:c>
      <x:c r="F387" s="16"/>
      <x:c r="G387" s="38"/>
      <x:c r="H387" s="39" t="e">
        <x:f>HYPERLINK("#'山海经原文总库'!A3","↩ 返回目录")</x:f>
        <x:v>HYPERLINK is not implemented. linkLocation=#'山海经原文总库'!A3, friendlyName=↩ 返回目录</x:v>
      </x:c>
      <x:c r="I387" s="437"/>
      <x:c r="J387" s="437"/>
      <x:c r="K387" s="437" t="str">
        <x:v>待同名检索｜待建档</x:v>
      </x:c>
    </x:row>
    <x:row r="388" ht="22.5" customHeight="1">
      <x:c r="A388" s="36"/>
      <x:c r="B388" s="36"/>
      <x:c r="C388" s="37"/>
      <x:c r="D388" s="36" t="str">
        <x:v>汾水</x:v>
      </x:c>
      <x:c r="E388" s="36" t="str">
        <x:v>水系</x:v>
      </x:c>
      <x:c r="F388" s="16"/>
      <x:c r="G388" s="38"/>
      <x:c r="H388" s="39" t="e">
        <x:f>HYPERLINK("#'山海经原文总库'!A3","↩ 返回目录")</x:f>
        <x:v>HYPERLINK is not implemented. linkLocation=#'山海经原文总库'!A3, friendlyName=↩ 返回目录</x:v>
      </x:c>
      <x:c r="I388" s="437"/>
      <x:c r="J388" s="437"/>
      <x:c r="K388" s="437" t="str">
        <x:v>待同名检索｜待建档</x:v>
      </x:c>
    </x:row>
    <x:row r="389" ht="48" customHeight="1">
      <x:c r="A389" s="36" t="str">
        <x:v>SHJ-03-029</x:v>
      </x:c>
      <x:c r="B389" s="36" t="str">
        <x:v>卷三 《北山經》</x:v>
      </x:c>
      <x:c r="C389" s="37" t="str">
        <x:v>又北五十里，曰縣雍之山，其上多玉，其下多銅，其獸多閭麋，其鳥多白翟白（有鳥）。晉水出焉，而東南流注於汾水。其中多鮆魚，其狀如儵而赤麟，其音如叱，食之不驕。</x:v>
      </x:c>
      <x:c r="D389" s="36" t="str">
        <x:v>縣雍之山</x:v>
      </x:c>
      <x:c r="E389" s="36" t="str">
        <x:v>山</x:v>
      </x:c>
      <x:c r="F389" s="16"/>
      <x:c r="G389" s="38" t="str">
        <x:v>标点与分段参考《山海经校注》；正文对读：https://ctext.org/shan-hai-jing/bei-shan-jing/zh</x:v>
      </x:c>
      <x:c r="H389" s="39" t="e">
        <x:f>HYPERLINK("#'山海经原文总库'!A3","↩ 返回目录")</x:f>
        <x:v>HYPERLINK is not implemented. linkLocation=#'山海经原文总库'!A3, friendlyName=↩ 返回目录</x:v>
      </x:c>
      <x:c r="I389" s="437"/>
      <x:c r="J389" s="437"/>
      <x:c r="K389" s="437" t="str">
        <x:v>待同名检索｜待建档</x:v>
      </x:c>
    </x:row>
    <x:row r="390" ht="22.5" customHeight="1">
      <x:c r="A390" s="36"/>
      <x:c r="B390" s="36"/>
      <x:c r="C390" s="37"/>
      <x:c r="D390" s="36" t="str">
        <x:v>晉水</x:v>
      </x:c>
      <x:c r="E390" s="36" t="str">
        <x:v>水系</x:v>
      </x:c>
      <x:c r="F390" s="16"/>
      <x:c r="G390" s="38"/>
      <x:c r="H390" s="39" t="e">
        <x:f>HYPERLINK("#'山海经原文总库'!A3","↩ 返回目录")</x:f>
        <x:v>HYPERLINK is not implemented. linkLocation=#'山海经原文总库'!A3, friendlyName=↩ 返回目录</x:v>
      </x:c>
      <x:c r="I390" s="437"/>
      <x:c r="J390" s="437"/>
      <x:c r="K390" s="437" t="str">
        <x:v>待同名检索｜待建档</x:v>
      </x:c>
    </x:row>
    <x:row r="391" ht="22.5" customHeight="1">
      <x:c r="A391" s="36"/>
      <x:c r="B391" s="36"/>
      <x:c r="C391" s="37"/>
      <x:c r="D391" s="36" t="str">
        <x:v>汾水</x:v>
      </x:c>
      <x:c r="E391" s="36" t="str">
        <x:v>水系</x:v>
      </x:c>
      <x:c r="F391" s="16"/>
      <x:c r="G391" s="38"/>
      <x:c r="H391" s="39" t="e">
        <x:f>HYPERLINK("#'山海经原文总库'!A3","↩ 返回目录")</x:f>
        <x:v>HYPERLINK is not implemented. linkLocation=#'山海经原文总库'!A3, friendlyName=↩ 返回目录</x:v>
      </x:c>
      <x:c r="I391" s="437"/>
      <x:c r="J391" s="437"/>
      <x:c r="K391" s="437" t="str">
        <x:v>待同名检索｜待建档</x:v>
      </x:c>
    </x:row>
    <x:row r="392" ht="22.5" customHeight="1">
      <x:c r="A392" s="36"/>
      <x:c r="B392" s="36"/>
      <x:c r="C392" s="37"/>
      <x:c r="D392" s="36" t="str">
        <x:v>晋水</x:v>
      </x:c>
      <x:c r="E392" s="36" t="str">
        <x:v>水系</x:v>
      </x:c>
      <x:c r="F392" s="16"/>
      <x:c r="G392" s="38"/>
      <x:c r="H392" s="39" t="e">
        <x:f>HYPERLINK("#'山海经原文总库'!A3","↩ 返回目录")</x:f>
        <x:v>HYPERLINK is not implemented. linkLocation=#'山海经原文总库'!A3, friendlyName=↩ 返回目录</x:v>
      </x:c>
      <x:c r="I392" s="437"/>
      <x:c r="J392" s="437"/>
      <x:c r="K392" s="437" t="str">
        <x:v>待同名检索｜待建档</x:v>
      </x:c>
    </x:row>
    <x:row r="393" ht="48" customHeight="1">
      <x:c r="A393" s="36" t="str">
        <x:v>SHJ-03-030</x:v>
      </x:c>
      <x:c r="B393" s="36" t="str">
        <x:v>卷三 《北山經》</x:v>
      </x:c>
      <x:c r="C393" s="37" t="str">
        <x:v>又北二百里，曰狐岐之山，無草木，多青碧。勝水出焉，而東北流注於汾水，其中多蒼玉。</x:v>
      </x:c>
      <x:c r="D393" s="36" t="str">
        <x:v>狐岐之山</x:v>
      </x:c>
      <x:c r="E393" s="36" t="str">
        <x:v>山</x:v>
      </x:c>
      <x:c r="F393" s="16"/>
      <x:c r="G393" s="38" t="str">
        <x:v>标点与分段参考《山海经校注》；正文对读：https://ctext.org/shan-hai-jing/bei-shan-jing/zh</x:v>
      </x:c>
      <x:c r="H393" s="39" t="e">
        <x:f>HYPERLINK("#'山海经原文总库'!A3","↩ 返回目录")</x:f>
        <x:v>HYPERLINK is not implemented. linkLocation=#'山海经原文总库'!A3, friendlyName=↩ 返回目录</x:v>
      </x:c>
      <x:c r="I393" s="437"/>
      <x:c r="J393" s="437"/>
      <x:c r="K393" s="437" t="str">
        <x:v>待同名检索｜待建档</x:v>
      </x:c>
    </x:row>
    <x:row r="394" ht="22.5" customHeight="1">
      <x:c r="A394" s="36"/>
      <x:c r="B394" s="36"/>
      <x:c r="C394" s="37"/>
      <x:c r="D394" s="36" t="str">
        <x:v>勝水</x:v>
      </x:c>
      <x:c r="E394" s="36" t="str">
        <x:v>水系</x:v>
      </x:c>
      <x:c r="F394" s="16"/>
      <x:c r="G394" s="38"/>
      <x:c r="H394" s="39" t="e">
        <x:f>HYPERLINK("#'山海经原文总库'!A3","↩ 返回目录")</x:f>
        <x:v>HYPERLINK is not implemented. linkLocation=#'山海经原文总库'!A3, friendlyName=↩ 返回目录</x:v>
      </x:c>
      <x:c r="I394" s="437"/>
      <x:c r="J394" s="437"/>
      <x:c r="K394" s="437" t="str">
        <x:v>待同名检索｜待建档</x:v>
      </x:c>
    </x:row>
    <x:row r="395" ht="22.5" customHeight="1">
      <x:c r="A395" s="36"/>
      <x:c r="B395" s="36"/>
      <x:c r="C395" s="37"/>
      <x:c r="D395" s="36" t="str">
        <x:v>汾水</x:v>
      </x:c>
      <x:c r="E395" s="36" t="str">
        <x:v>水系</x:v>
      </x:c>
      <x:c r="F395" s="16"/>
      <x:c r="G395" s="38"/>
      <x:c r="H395" s="39" t="e">
        <x:f>HYPERLINK("#'山海经原文总库'!A3","↩ 返回目录")</x:f>
        <x:v>HYPERLINK is not implemented. linkLocation=#'山海经原文总库'!A3, friendlyName=↩ 返回目录</x:v>
      </x:c>
      <x:c r="I395" s="437"/>
      <x:c r="J395" s="437"/>
      <x:c r="K395" s="437" t="str">
        <x:v>待同名检索｜待建档</x:v>
      </x:c>
    </x:row>
    <x:row r="396" ht="48" customHeight="1">
      <x:c r="A396" s="36" t="str">
        <x:v>SHJ-03-031</x:v>
      </x:c>
      <x:c r="B396" s="36" t="str">
        <x:v>卷三 《北山經》</x:v>
      </x:c>
      <x:c r="C396" s="37" t="str">
        <x:v>又北三百五十里，曰白沙山，廣員三百里，盡沙也，無草木鳥獸。鮪水出於其上，潛於其下，是多白玉。</x:v>
      </x:c>
      <x:c r="D396" s="36" t="str">
        <x:v>白沙山</x:v>
      </x:c>
      <x:c r="E396" s="36" t="str">
        <x:v>山</x:v>
      </x:c>
      <x:c r="F396" s="16"/>
      <x:c r="G396" s="38" t="str">
        <x:v>标点与分段参考《山海经校注》；正文对读：https://ctext.org/shan-hai-jing/bei-shan-jing/zh</x:v>
      </x:c>
      <x:c r="H396" s="39" t="e">
        <x:f>HYPERLINK("#'山海经原文总库'!A3","↩ 返回目录")</x:f>
        <x:v>HYPERLINK is not implemented. linkLocation=#'山海经原文总库'!A3, friendlyName=↩ 返回目录</x:v>
      </x:c>
      <x:c r="I396" s="437"/>
      <x:c r="J396" s="437"/>
      <x:c r="K396" s="437" t="str">
        <x:v>待同名检索｜待建档</x:v>
      </x:c>
    </x:row>
    <x:row r="397" ht="22.5" customHeight="1">
      <x:c r="A397" s="36"/>
      <x:c r="B397" s="36"/>
      <x:c r="C397" s="37"/>
      <x:c r="D397" s="36" t="str">
        <x:v>鮪水</x:v>
      </x:c>
      <x:c r="E397" s="36" t="str">
        <x:v>水系</x:v>
      </x:c>
      <x:c r="F397" s="16"/>
      <x:c r="G397" s="38"/>
      <x:c r="H397" s="39" t="e">
        <x:f>HYPERLINK("#'山海经原文总库'!A3","↩ 返回目录")</x:f>
        <x:v>HYPERLINK is not implemented. linkLocation=#'山海经原文总库'!A3, friendlyName=↩ 返回目录</x:v>
      </x:c>
      <x:c r="I397" s="437"/>
      <x:c r="J397" s="437"/>
      <x:c r="K397" s="437" t="str">
        <x:v>待同名检索｜待建档</x:v>
      </x:c>
    </x:row>
    <x:row r="398" ht="48" customHeight="1">
      <x:c r="A398" s="36" t="str">
        <x:v>SHJ-03-032</x:v>
      </x:c>
      <x:c r="B398" s="36" t="str">
        <x:v>卷三 《北山經》</x:v>
      </x:c>
      <x:c r="C398" s="37" t="str">
        <x:v>又北四百里，曰爾是之山，無草木，無水。</x:v>
      </x:c>
      <x:c r="D398" s="36" t="str">
        <x:v>爾是之山</x:v>
      </x:c>
      <x:c r="E398" s="36" t="str">
        <x:v>山</x:v>
      </x:c>
      <x:c r="F398" s="16"/>
      <x:c r="G398" s="38" t="str">
        <x:v>标点与分段参考《山海经校注》；正文对读：https://ctext.org/shan-hai-jing/bei-shan-jing/zh</x:v>
      </x:c>
      <x:c r="H398" s="39" t="e">
        <x:f>HYPERLINK("#'山海经原文总库'!A3","↩ 返回目录")</x:f>
        <x:v>HYPERLINK is not implemented. linkLocation=#'山海经原文总库'!A3, friendlyName=↩ 返回目录</x:v>
      </x:c>
      <x:c r="I398" s="437"/>
      <x:c r="J398" s="437"/>
      <x:c r="K398" s="437" t="str">
        <x:v>待同名检索｜待建档</x:v>
      </x:c>
    </x:row>
    <x:row r="399" ht="48" customHeight="1">
      <x:c r="A399" s="36" t="str">
        <x:v>SHJ-03-033</x:v>
      </x:c>
      <x:c r="B399" s="36" t="str">
        <x:v>卷三 《北山經》</x:v>
      </x:c>
      <x:c r="C399" s="37" t="str">
        <x:v>又北三百八十里，曰狂山，無草木。是山也，冬夏有雪。狂水出焉，而西流注於浮水，其中多美玉。</x:v>
      </x:c>
      <x:c r="D399" s="36" t="str">
        <x:v>狂山</x:v>
      </x:c>
      <x:c r="E399" s="36" t="str">
        <x:v>山</x:v>
      </x:c>
      <x:c r="F399" s="16"/>
      <x:c r="G399" s="38" t="str">
        <x:v>标点与分段参考《山海经校注》；正文对读：https://ctext.org/shan-hai-jing/bei-shan-jing/zh</x:v>
      </x:c>
      <x:c r="H399" s="39" t="e">
        <x:f>HYPERLINK("#'山海经原文总库'!A3","↩ 返回目录")</x:f>
        <x:v>HYPERLINK is not implemented. linkLocation=#'山海经原文总库'!A3, friendlyName=↩ 返回目录</x:v>
      </x:c>
      <x:c r="I399" s="437"/>
      <x:c r="J399" s="437"/>
      <x:c r="K399" s="437" t="str">
        <x:v>待同名检索｜待建档</x:v>
      </x:c>
    </x:row>
    <x:row r="400" ht="22.5" customHeight="1">
      <x:c r="A400" s="36"/>
      <x:c r="B400" s="36"/>
      <x:c r="C400" s="37"/>
      <x:c r="D400" s="36" t="str">
        <x:v>狂水</x:v>
      </x:c>
      <x:c r="E400" s="36" t="str">
        <x:v>水系</x:v>
      </x:c>
      <x:c r="F400" s="16"/>
      <x:c r="G400" s="38"/>
      <x:c r="H400" s="39" t="e">
        <x:f>HYPERLINK("#'山海经原文总库'!A3","↩ 返回目录")</x:f>
        <x:v>HYPERLINK is not implemented. linkLocation=#'山海经原文总库'!A3, friendlyName=↩ 返回目录</x:v>
      </x:c>
      <x:c r="I400" s="437"/>
      <x:c r="J400" s="437"/>
      <x:c r="K400" s="437" t="str">
        <x:v>待同名检索｜待建档</x:v>
      </x:c>
    </x:row>
    <x:row r="401" ht="22.5" customHeight="1">
      <x:c r="A401" s="36"/>
      <x:c r="B401" s="36"/>
      <x:c r="C401" s="37"/>
      <x:c r="D401" s="36" t="str">
        <x:v>浮水</x:v>
      </x:c>
      <x:c r="E401" s="36" t="str">
        <x:v>水系</x:v>
      </x:c>
      <x:c r="F401" s="16"/>
      <x:c r="G401" s="38"/>
      <x:c r="H401" s="39" t="e">
        <x:f>HYPERLINK("#'山海经原文总库'!A3","↩ 返回目录")</x:f>
        <x:v>HYPERLINK is not implemented. linkLocation=#'山海经原文总库'!A3, friendlyName=↩ 返回目录</x:v>
      </x:c>
      <x:c r="I401" s="437"/>
      <x:c r="J401" s="437"/>
      <x:c r="K401" s="437" t="str">
        <x:v>待同名检索｜待建档</x:v>
      </x:c>
    </x:row>
    <x:row r="402" ht="22.5" customHeight="1">
      <x:c r="A402" s="36"/>
      <x:c r="B402" s="36"/>
      <x:c r="C402" s="37"/>
      <x:c r="D402" s="36" t="str">
        <x:v>狂山無草木是山</x:v>
      </x:c>
      <x:c r="E402" s="36" t="str">
        <x:v>山</x:v>
      </x:c>
      <x:c r="F402" s="16"/>
      <x:c r="G402" s="38"/>
      <x:c r="H402" s="39" t="e">
        <x:f>HYPERLINK("#'山海经原文总库'!A3","↩ 返回目录")</x:f>
        <x:v>HYPERLINK is not implemented. linkLocation=#'山海经原文总库'!A3, friendlyName=↩ 返回目录</x:v>
      </x:c>
      <x:c r="I402" s="437"/>
      <x:c r="J402" s="437"/>
      <x:c r="K402" s="437" t="str">
        <x:v>待同名检索｜待建档</x:v>
      </x:c>
    </x:row>
    <x:row r="403" ht="48" customHeight="1">
      <x:c r="A403" s="36" t="str">
        <x:v>SHJ-03-034</x:v>
      </x:c>
      <x:c r="B403" s="36" t="str">
        <x:v>卷三 《北山經》</x:v>
      </x:c>
      <x:c r="C403" s="37" t="str">
        <x:v>又北三百八十里，曰諸余之山，其上多銅玉，其下多松柏。諸余之水出焉，而東流注於旄水。</x:v>
      </x:c>
      <x:c r="D403" s="36" t="str">
        <x:v>諸余之山</x:v>
      </x:c>
      <x:c r="E403" s="36" t="str">
        <x:v>山</x:v>
      </x:c>
      <x:c r="F403" s="16"/>
      <x:c r="G403" s="38" t="str">
        <x:v>标点与分段参考《山海经校注》；正文对读：https://ctext.org/shan-hai-jing/bei-shan-jing/zh</x:v>
      </x:c>
      <x:c r="H403" s="39" t="e">
        <x:f>HYPERLINK("#'山海经原文总库'!A3","↩ 返回目录")</x:f>
        <x:v>HYPERLINK is not implemented. linkLocation=#'山海经原文总库'!A3, friendlyName=↩ 返回目录</x:v>
      </x:c>
      <x:c r="I403" s="437"/>
      <x:c r="J403" s="437"/>
      <x:c r="K403" s="437" t="str">
        <x:v>待同名检索｜待建档</x:v>
      </x:c>
    </x:row>
    <x:row r="404" ht="22.5" customHeight="1">
      <x:c r="A404" s="36"/>
      <x:c r="B404" s="36"/>
      <x:c r="C404" s="37"/>
      <x:c r="D404" s="36" t="str">
        <x:v>諸余之水</x:v>
      </x:c>
      <x:c r="E404" s="36" t="str">
        <x:v>水系</x:v>
      </x:c>
      <x:c r="F404" s="16"/>
      <x:c r="G404" s="38"/>
      <x:c r="H404" s="39" t="e">
        <x:f>HYPERLINK("#'山海经原文总库'!A3","↩ 返回目录")</x:f>
        <x:v>HYPERLINK is not implemented. linkLocation=#'山海经原文总库'!A3, friendlyName=↩ 返回目录</x:v>
      </x:c>
      <x:c r="I404" s="437"/>
      <x:c r="J404" s="437"/>
      <x:c r="K404" s="437" t="str">
        <x:v>待同名检索｜待建档</x:v>
      </x:c>
    </x:row>
    <x:row r="405" ht="22.5" customHeight="1">
      <x:c r="A405" s="36"/>
      <x:c r="B405" s="36"/>
      <x:c r="C405" s="37"/>
      <x:c r="D405" s="36" t="str">
        <x:v>旄水</x:v>
      </x:c>
      <x:c r="E405" s="36" t="str">
        <x:v>水系</x:v>
      </x:c>
      <x:c r="F405" s="16"/>
      <x:c r="G405" s="38"/>
      <x:c r="H405" s="39" t="e">
        <x:f>HYPERLINK("#'山海经原文总库'!A3","↩ 返回目录")</x:f>
        <x:v>HYPERLINK is not implemented. linkLocation=#'山海经原文总库'!A3, friendlyName=↩ 返回目录</x:v>
      </x:c>
      <x:c r="I405" s="437"/>
      <x:c r="J405" s="437"/>
      <x:c r="K405" s="437" t="str">
        <x:v>待同名检索｜待建档</x:v>
      </x:c>
    </x:row>
    <x:row r="406" ht="48" customHeight="1">
      <x:c r="A406" s="36" t="str">
        <x:v>SHJ-03-035</x:v>
      </x:c>
      <x:c r="B406" s="36" t="str">
        <x:v>卷三 《北山經》</x:v>
      </x:c>
      <x:c r="C406" s="37" t="str">
        <x:v>又北三百五十里，曰敦頭之山，其上多金玉，無草木。旄水出焉，而東流注於印澤，其中多（馬孛）馬，牛尾而白身，一角，其音如呼。</x:v>
      </x:c>
      <x:c r="D406" s="36" t="str">
        <x:v>敦頭之山</x:v>
      </x:c>
      <x:c r="E406" s="36" t="str">
        <x:v>山</x:v>
      </x:c>
      <x:c r="F406" s="16"/>
      <x:c r="G406" s="38" t="str">
        <x:v>标点与分段参考《山海经校注》；正文对读：https://ctext.org/shan-hai-jing/bei-shan-jing/zh</x:v>
      </x:c>
      <x:c r="H406" s="39" t="e">
        <x:f>HYPERLINK("#'山海经原文总库'!A3","↩ 返回目录")</x:f>
        <x:v>HYPERLINK is not implemented. linkLocation=#'山海经原文总库'!A3, friendlyName=↩ 返回目录</x:v>
      </x:c>
      <x:c r="I406" s="437"/>
      <x:c r="J406" s="437"/>
      <x:c r="K406" s="437" t="str">
        <x:v>待同名检索｜待建档</x:v>
      </x:c>
    </x:row>
    <x:row r="407" ht="22.5" customHeight="1">
      <x:c r="A407" s="36"/>
      <x:c r="B407" s="36"/>
      <x:c r="C407" s="37"/>
      <x:c r="D407" s="36" t="str">
        <x:v>旄水</x:v>
      </x:c>
      <x:c r="E407" s="36" t="str">
        <x:v>水系</x:v>
      </x:c>
      <x:c r="F407" s="16"/>
      <x:c r="G407" s="38"/>
      <x:c r="H407" s="39" t="e">
        <x:f>HYPERLINK("#'山海经原文总库'!A3","↩ 返回目录")</x:f>
        <x:v>HYPERLINK is not implemented. linkLocation=#'山海经原文总库'!A3, friendlyName=↩ 返回目录</x:v>
      </x:c>
      <x:c r="I407" s="437"/>
      <x:c r="J407" s="437"/>
      <x:c r="K407" s="437" t="str">
        <x:v>待同名检索｜待建档</x:v>
      </x:c>
    </x:row>
    <x:row r="408" ht="22.5" customHeight="1">
      <x:c r="A408" s="36"/>
      <x:c r="B408" s="36"/>
      <x:c r="C408" s="37"/>
      <x:c r="D408" s="36" t="str">
        <x:v>印澤</x:v>
      </x:c>
      <x:c r="E408" s="36" t="str">
        <x:v>水系</x:v>
      </x:c>
      <x:c r="F408" s="16"/>
      <x:c r="G408" s="38"/>
      <x:c r="H408" s="39" t="e">
        <x:f>HYPERLINK("#'山海经原文总库'!A3","↩ 返回目录")</x:f>
        <x:v>HYPERLINK is not implemented. linkLocation=#'山海经原文总库'!A3, friendlyName=↩ 返回目录</x:v>
      </x:c>
      <x:c r="I408" s="437"/>
      <x:c r="J408" s="437"/>
      <x:c r="K408" s="437" t="str">
        <x:v>待同名检索｜待建档</x:v>
      </x:c>
    </x:row>
    <x:row r="409" ht="22.5" customHeight="1">
      <x:c r="A409" s="36"/>
      <x:c r="B409" s="36"/>
      <x:c r="C409" s="37"/>
      <x:c r="D409" s="36" t="str">
        <x:v>卭澤</x:v>
      </x:c>
      <x:c r="E409" s="36" t="str">
        <x:v>澤／淵</x:v>
      </x:c>
      <x:c r="F409" s="16"/>
      <x:c r="G409" s="38"/>
      <x:c r="H409" s="39" t="e">
        <x:f>HYPERLINK("#'山海经原文总库'!A3","↩ 返回目录")</x:f>
        <x:v>HYPERLINK is not implemented. linkLocation=#'山海经原文总库'!A3, friendlyName=↩ 返回目录</x:v>
      </x:c>
      <x:c r="I409" s="437"/>
      <x:c r="J409" s="437"/>
      <x:c r="K409" s="437" t="str">
        <x:v>待同名检索｜待建档</x:v>
      </x:c>
    </x:row>
    <x:row r="410" ht="48" customHeight="1">
      <x:c r="A410" s="36" t="str">
        <x:v>SHJ-03-036</x:v>
      </x:c>
      <x:c r="B410" s="36" t="str">
        <x:v>卷三 《北山經》</x:v>
      </x:c>
      <x:c r="C410" s="37" t="str">
        <x:v>又北三百五十里，曰鈎吾之山，其上多玉，其下多銅。有獸焉，其狀如羊身人面，其目在腋下，虎齒人爪，其音如嬰兒，名曰？鴞，是食人。</x:v>
      </x:c>
      <x:c r="D410" s="36" t="str">
        <x:v>鈎吾之山</x:v>
      </x:c>
      <x:c r="E410" s="36" t="str">
        <x:v>山</x:v>
      </x:c>
      <x:c r="F410" s="16"/>
      <x:c r="G410" s="38" t="str">
        <x:v>标点与分段参考《山海经校注》；正文对读：https://ctext.org/shan-hai-jing/bei-shan-jing/zh</x:v>
      </x:c>
      <x:c r="H410" s="39" t="e">
        <x:f>HYPERLINK("#'山海经原文总库'!A3","↩ 返回目录")</x:f>
        <x:v>HYPERLINK is not implemented. linkLocation=#'山海经原文总库'!A3, friendlyName=↩ 返回目录</x:v>
      </x:c>
      <x:c r="I410" s="437"/>
      <x:c r="J410" s="437"/>
      <x:c r="K410" s="437" t="str">
        <x:v>待同名检索｜待建档</x:v>
      </x:c>
    </x:row>
    <x:row r="411" ht="22.5" customHeight="1">
      <x:c r="A411" s="36"/>
      <x:c r="B411" s="36"/>
      <x:c r="C411" s="37"/>
      <x:c r="D411" s="36" t="str">
        <x:v>鉤吾之山</x:v>
      </x:c>
      <x:c r="E411" s="36" t="str">
        <x:v>山</x:v>
      </x:c>
      <x:c r="F411" s="16"/>
      <x:c r="G411" s="38"/>
      <x:c r="H411" s="39" t="e">
        <x:f>HYPERLINK("#'山海经原文总库'!A3","↩ 返回目录")</x:f>
        <x:v>HYPERLINK is not implemented. linkLocation=#'山海经原文总库'!A3, friendlyName=↩ 返回目录</x:v>
      </x:c>
      <x:c r="I411" s="437"/>
      <x:c r="J411" s="437"/>
      <x:c r="K411" s="437" t="str">
        <x:v>待同名检索｜待建档</x:v>
      </x:c>
    </x:row>
    <x:row r="412" ht="64.5" customHeight="1">
      <x:c r="A412" s="36" t="str">
        <x:v>SHJ-03-037</x:v>
      </x:c>
      <x:c r="B412" s="36" t="str">
        <x:v>卷三 《北山經》</x:v>
      </x:c>
      <x:c r="C412" s="37" t="str">
        <x:v>又北三百里，曰北囂之山，無石，其陽多碧，其陰多玉。有獸焉，其狀如虎，而白身犬首，馬尾彘鬣，名曰獨（犬谷）。有鳥焉，其狀如烏，人面，名曰（上般下鳥），宵飛而晝伏，食之已暍。涔水出焉，而東流注於邛澤。</x:v>
      </x:c>
      <x:c r="D412" s="36" t="str">
        <x:v>囂之山</x:v>
      </x:c>
      <x:c r="E412" s="36" t="str">
        <x:v>山</x:v>
      </x:c>
      <x:c r="F412" s="16"/>
      <x:c r="G412" s="38" t="str">
        <x:v>标点与分段参考《山海经校注》；正文对读：https://ctext.org/shan-hai-jing/bei-shan-jing/zh</x:v>
      </x:c>
      <x:c r="H412" s="39" t="e">
        <x:f>HYPERLINK("#'山海经原文总库'!A3","↩ 返回目录")</x:f>
        <x:v>HYPERLINK is not implemented. linkLocation=#'山海经原文总库'!A3, friendlyName=↩ 返回目录</x:v>
      </x:c>
      <x:c r="I412" s="437"/>
      <x:c r="J412" s="437"/>
      <x:c r="K412" s="437" t="str">
        <x:v>待同名检索｜待建档</x:v>
      </x:c>
    </x:row>
    <x:row r="413" ht="22.5" customHeight="1">
      <x:c r="A413" s="36"/>
      <x:c r="B413" s="36"/>
      <x:c r="C413" s="37"/>
      <x:c r="D413" s="36" t="str">
        <x:v>涔水</x:v>
      </x:c>
      <x:c r="E413" s="36" t="str">
        <x:v>水系</x:v>
      </x:c>
      <x:c r="F413" s="16"/>
      <x:c r="G413" s="38"/>
      <x:c r="H413" s="39" t="e">
        <x:f>HYPERLINK("#'山海经原文总库'!A3","↩ 返回目录")</x:f>
        <x:v>HYPERLINK is not implemented. linkLocation=#'山海经原文总库'!A3, friendlyName=↩ 返回目录</x:v>
      </x:c>
      <x:c r="I413" s="437"/>
      <x:c r="J413" s="437"/>
      <x:c r="K413" s="437" t="str">
        <x:v>待同名检索｜待建档</x:v>
      </x:c>
    </x:row>
    <x:row r="414" ht="22.5" customHeight="1">
      <x:c r="A414" s="36"/>
      <x:c r="B414" s="36"/>
      <x:c r="C414" s="37"/>
      <x:c r="D414" s="36" t="str">
        <x:v>邛澤</x:v>
      </x:c>
      <x:c r="E414" s="36" t="str">
        <x:v>水系</x:v>
      </x:c>
      <x:c r="F414" s="16"/>
      <x:c r="G414" s="38"/>
      <x:c r="H414" s="39" t="e">
        <x:f>HYPERLINK("#'山海经原文总库'!A3","↩ 返回目录")</x:f>
        <x:v>HYPERLINK is not implemented. linkLocation=#'山海经原文总库'!A3, friendlyName=↩ 返回目录</x:v>
      </x:c>
      <x:c r="I414" s="437"/>
      <x:c r="J414" s="437"/>
      <x:c r="K414" s="437" t="str">
        <x:v>待同名检索｜待建档</x:v>
      </x:c>
    </x:row>
    <x:row r="415" ht="22.5" customHeight="1">
      <x:c r="A415" s="36"/>
      <x:c r="B415" s="36"/>
      <x:c r="C415" s="37"/>
      <x:c r="D415" s="36" t="str">
        <x:v>犬谷</x:v>
      </x:c>
      <x:c r="E415" s="36" t="str">
        <x:v>區域</x:v>
      </x:c>
      <x:c r="F415" s="16"/>
      <x:c r="G415" s="38"/>
      <x:c r="H415" s="39" t="e">
        <x:f>HYPERLINK("#'山海经原文总库'!A3","↩ 返回目录")</x:f>
        <x:v>HYPERLINK is not implemented. linkLocation=#'山海经原文总库'!A3, friendlyName=↩ 返回目录</x:v>
      </x:c>
      <x:c r="I415" s="437"/>
      <x:c r="J415" s="437"/>
      <x:c r="K415" s="437" t="str">
        <x:v>待同名检索｜待建档</x:v>
      </x:c>
    </x:row>
    <x:row r="416" ht="22.5" customHeight="1">
      <x:c r="A416" s="36"/>
      <x:c r="B416" s="36"/>
      <x:c r="C416" s="37"/>
      <x:c r="D416" s="36" t="str">
        <x:v>卭澤</x:v>
      </x:c>
      <x:c r="E416" s="36" t="str">
        <x:v>澤／淵</x:v>
      </x:c>
      <x:c r="F416" s="16"/>
      <x:c r="G416" s="38"/>
      <x:c r="H416" s="39" t="e">
        <x:f>HYPERLINK("#'山海经原文总库'!A3","↩ 返回目录")</x:f>
        <x:v>HYPERLINK is not implemented. linkLocation=#'山海经原文总库'!A3, friendlyName=↩ 返回目录</x:v>
      </x:c>
      <x:c r="I416" s="437"/>
      <x:c r="J416" s="437"/>
      <x:c r="K416" s="437" t="str">
        <x:v>待同名检索｜待建档</x:v>
      </x:c>
    </x:row>
    <x:row r="417" ht="64.5" customHeight="1">
      <x:c r="A417" s="36" t="str">
        <x:v>SHJ-03-038</x:v>
      </x:c>
      <x:c r="B417" s="36" t="str">
        <x:v>卷三 《北山經》</x:v>
      </x:c>
      <x:c r="C417" s="37" t="str">
        <x:v>又北三百五十里，曰梁渠之山，無草木，多金玉。修水出焉，而東流注於鴈門，其獸多居暨，其狀如匯而赤毛，其音如豚。有鳥焉，其狀如誇父，四翼、一目、犬尾，名曰囂，其音如鵲，食之已腹痛，可以止衕。</x:v>
      </x:c>
      <x:c r="D417" s="36" t="str">
        <x:v>梁渠之山</x:v>
      </x:c>
      <x:c r="E417" s="36" t="str">
        <x:v>山</x:v>
      </x:c>
      <x:c r="F417" s="16"/>
      <x:c r="G417" s="38" t="str">
        <x:v>标点与分段参考《山海经校注》；正文对读：https://ctext.org/shan-hai-jing/bei-shan-jing/zh</x:v>
      </x:c>
      <x:c r="H417" s="39" t="e">
        <x:f>HYPERLINK("#'山海经原文总库'!A3","↩ 返回目录")</x:f>
        <x:v>HYPERLINK is not implemented. linkLocation=#'山海经原文总库'!A3, friendlyName=↩ 返回目录</x:v>
      </x:c>
      <x:c r="I417" s="437"/>
      <x:c r="J417" s="437"/>
      <x:c r="K417" s="437" t="str">
        <x:v>待同名检索｜待建档</x:v>
      </x:c>
    </x:row>
    <x:row r="418" ht="22.5" customHeight="1">
      <x:c r="A418" s="36"/>
      <x:c r="B418" s="36"/>
      <x:c r="C418" s="37"/>
      <x:c r="D418" s="36" t="str">
        <x:v>修水</x:v>
      </x:c>
      <x:c r="E418" s="36" t="str">
        <x:v>水系</x:v>
      </x:c>
      <x:c r="F418" s="16"/>
      <x:c r="G418" s="38"/>
      <x:c r="H418" s="39" t="e">
        <x:f>HYPERLINK("#'山海经原文总库'!A3","↩ 返回目录")</x:f>
        <x:v>HYPERLINK is not implemented. linkLocation=#'山海经原文总库'!A3, friendlyName=↩ 返回目录</x:v>
      </x:c>
      <x:c r="I418" s="437"/>
      <x:c r="J418" s="437"/>
      <x:c r="K418" s="437" t="str">
        <x:v>待同名检索｜待建档</x:v>
      </x:c>
    </x:row>
    <x:row r="419" ht="22.5" customHeight="1">
      <x:c r="A419" s="36"/>
      <x:c r="B419" s="36"/>
      <x:c r="C419" s="37"/>
      <x:c r="D419" s="36" t="str">
        <x:v>鴈門</x:v>
      </x:c>
      <x:c r="E419" s="36" t="str">
        <x:v>地理名稱</x:v>
      </x:c>
      <x:c r="F419" s="16"/>
      <x:c r="G419" s="38"/>
      <x:c r="H419" s="39" t="e">
        <x:f>HYPERLINK("#'山海经原文总库'!A3","↩ 返回目录")</x:f>
        <x:v>HYPERLINK is not implemented. linkLocation=#'山海经原文总库'!A3, friendlyName=↩ 返回目录</x:v>
      </x:c>
      <x:c r="I419" s="437"/>
      <x:c r="J419" s="437"/>
      <x:c r="K419" s="437" t="str">
        <x:v>待同名检索｜待建档</x:v>
      </x:c>
    </x:row>
    <x:row r="420" ht="48" customHeight="1">
      <x:c r="A420" s="36" t="str">
        <x:v>SHJ-03-039</x:v>
      </x:c>
      <x:c r="B420" s="36" t="str">
        <x:v>卷三 《北山經》</x:v>
      </x:c>
      <x:c r="C420" s="37" t="str">
        <x:v>又北四百里，曰姑灌之山，無草木，是山也，冬夏有雪。</x:v>
      </x:c>
      <x:c r="D420" s="36" t="str">
        <x:v>姑灌之山</x:v>
      </x:c>
      <x:c r="E420" s="36" t="str">
        <x:v>山</x:v>
      </x:c>
      <x:c r="F420" s="16"/>
      <x:c r="G420" s="38" t="str">
        <x:v>标点与分段参考《山海经校注》；正文对读：https://ctext.org/shan-hai-jing/bei-shan-jing/zh</x:v>
      </x:c>
      <x:c r="H420" s="39" t="e">
        <x:f>HYPERLINK("#'山海经原文总库'!A3","↩ 返回目录")</x:f>
        <x:v>HYPERLINK is not implemented. linkLocation=#'山海经原文总库'!A3, friendlyName=↩ 返回目录</x:v>
      </x:c>
      <x:c r="I420" s="437"/>
      <x:c r="J420" s="437"/>
      <x:c r="K420" s="437" t="str">
        <x:v>待同名检索｜待建档</x:v>
      </x:c>
    </x:row>
    <x:row r="421" ht="48" customHeight="1">
      <x:c r="A421" s="36" t="str">
        <x:v>SHJ-03-040-1</x:v>
      </x:c>
      <x:c r="B421" s="36" t="str">
        <x:v>卷三 《北山經》</x:v>
      </x:c>
      <x:c r="C421" s="37" t="str">
        <x:v>又北三百八十里，曰湖灌之山，其陽多玉，其陰多碧，多馬。湖灌之水出焉，而東流注於海，其中多？。有木焉，其葉如柳而赤理。</x:v>
      </x:c>
      <x:c r="D421" s="36" t="str">
        <x:v>湖灌之山</x:v>
      </x:c>
      <x:c r="E421" s="36" t="str">
        <x:v>山</x:v>
      </x:c>
      <x:c r="F421" s="16"/>
      <x:c r="G421" s="38" t="str">
        <x:v>标点与分段参考《山海经校注》；正文对读：https://ctext.org/shan-hai-jing/bei-shan-jing/zh</x:v>
      </x:c>
      <x:c r="H421" s="39" t="e">
        <x:f>HYPERLINK("#'山海经原文总库'!A3","↩ 返回目录")</x:f>
        <x:v>HYPERLINK is not implemented. linkLocation=#'山海经原文总库'!A3, friendlyName=↩ 返回目录</x:v>
      </x:c>
      <x:c r="I421" s="437"/>
      <x:c r="J421" s="437"/>
      <x:c r="K421" s="437" t="str">
        <x:v>待同名检索｜待建档</x:v>
      </x:c>
    </x:row>
    <x:row r="422" ht="22.5" customHeight="1">
      <x:c r="A422" s="36"/>
      <x:c r="B422" s="36"/>
      <x:c r="C422" s="37"/>
      <x:c r="D422" s="36" t="str">
        <x:v>湖灌之水</x:v>
      </x:c>
      <x:c r="E422" s="36" t="str">
        <x:v>水系</x:v>
      </x:c>
      <x:c r="F422" s="16"/>
      <x:c r="G422" s="38"/>
      <x:c r="H422" s="39" t="e">
        <x:f>HYPERLINK("#'山海经原文总库'!A3","↩ 返回目录")</x:f>
        <x:v>HYPERLINK is not implemented. linkLocation=#'山海经原文总库'!A3, friendlyName=↩ 返回目录</x:v>
      </x:c>
      <x:c r="I422" s="437"/>
      <x:c r="J422" s="437"/>
      <x:c r="K422" s="437" t="str">
        <x:v>待同名检索｜待建档</x:v>
      </x:c>
    </x:row>
    <x:row r="423" ht="22.5" customHeight="1">
      <x:c r="A423" s="36"/>
      <x:c r="B423" s="36"/>
      <x:c r="C423" s="37"/>
      <x:c r="D423" s="36" t="str">
        <x:v>流沙</x:v>
      </x:c>
      <x:c r="E423" s="36" t="str">
        <x:v>區域</x:v>
      </x:c>
      <x:c r="F423" s="16"/>
      <x:c r="G423" s="38"/>
      <x:c r="H423" s="39" t="e">
        <x:f>HYPERLINK("#'山海经原文总库'!A3","↩ 返回目录")</x:f>
        <x:v>HYPERLINK is not implemented. linkLocation=#'山海经原文总库'!A3, friendlyName=↩ 返回目录</x:v>
      </x:c>
      <x:c r="I423" s="437"/>
      <x:c r="J423" s="437"/>
      <x:c r="K423" s="437" t="str">
        <x:v>待同名检索｜待建档</x:v>
      </x:c>
    </x:row>
    <x:row r="424" ht="22.5" customHeight="1">
      <x:c r="A424" s="36"/>
      <x:c r="B424" s="36"/>
      <x:c r="C424" s="37"/>
      <x:c r="D424" s="36" t="str">
        <x:v>三桑</x:v>
      </x:c>
      <x:c r="E424" s="36" t="str">
        <x:v>神木地標</x:v>
      </x:c>
      <x:c r="F424" s="16"/>
      <x:c r="G424" s="38"/>
      <x:c r="H424" s="39" t="e">
        <x:f>HYPERLINK("#'山海经原文总库'!A3","↩ 返回目录")</x:f>
        <x:v>HYPERLINK is not implemented. linkLocation=#'山海经原文总库'!A3, friendlyName=↩ 返回目录</x:v>
      </x:c>
      <x:c r="I424" s="437"/>
      <x:c r="J424" s="437"/>
      <x:c r="K424" s="437" t="str">
        <x:v>待同名检索｜待建档</x:v>
      </x:c>
    </x:row>
    <x:row r="425" ht="48" customHeight="1">
      <x:c r="A425" s="36" t="str">
        <x:v>SHJ-03-040-2</x:v>
      </x:c>
      <x:c r="B425" s="36" t="str">
        <x:v>卷三 《北山經》</x:v>
      </x:c>
      <x:c r="C425" s="37" t="str">
        <x:v>又北水行五百里，流沙三百里，至於洹山，其上多金玉。三桑生之，其樹皆無枝，其高百仞。百果樹生之。其下多怪蛇。</x:v>
      </x:c>
      <x:c r="D425" s="36" t="str">
        <x:v>洹山</x:v>
      </x:c>
      <x:c r="E425" s="36" t="str">
        <x:v>山</x:v>
      </x:c>
      <x:c r="F425" s="16"/>
      <x:c r="G425" s="38" t="str">
        <x:v>标点与分段参考《山海经校注》；正文对读：https://ctext.org/shan-hai-jing/bei-shan-jing/zh</x:v>
      </x:c>
      <x:c r="H425" s="39" t="e">
        <x:f>HYPERLINK("#'山海经原文总库'!A3","↩ 返回目录")</x:f>
        <x:v>HYPERLINK is not implemented. linkLocation=#'山海经原文总库'!A3, friendlyName=↩ 返回目录</x:v>
      </x:c>
      <x:c r="I425" s="437"/>
      <x:c r="J425" s="437"/>
      <x:c r="K425" s="437" t="str">
        <x:v>待同名检索｜待建档</x:v>
      </x:c>
    </x:row>
    <x:row r="426" ht="22.5" customHeight="1">
      <x:c r="A426" s="36"/>
      <x:c r="B426" s="36"/>
      <x:c r="C426" s="37"/>
      <x:c r="D426" s="36" t="str">
        <x:v>流沙</x:v>
      </x:c>
      <x:c r="E426" s="36" t="str">
        <x:v>區域</x:v>
      </x:c>
      <x:c r="F426" s="16"/>
      <x:c r="G426" s="38"/>
      <x:c r="H426" s="39" t="e">
        <x:f>HYPERLINK("#'山海经原文总库'!A3","↩ 返回目录")</x:f>
        <x:v>HYPERLINK is not implemented. linkLocation=#'山海经原文总库'!A3, friendlyName=↩ 返回目录</x:v>
      </x:c>
      <x:c r="I426" s="437"/>
      <x:c r="J426" s="437"/>
      <x:c r="K426" s="437" t="str">
        <x:v>待同名检索｜待建档</x:v>
      </x:c>
    </x:row>
    <x:row r="427" ht="22.5" customHeight="1">
      <x:c r="A427" s="36"/>
      <x:c r="B427" s="36"/>
      <x:c r="C427" s="37"/>
      <x:c r="D427" s="36" t="str">
        <x:v>三桑</x:v>
      </x:c>
      <x:c r="E427" s="36" t="str">
        <x:v>神木／地標</x:v>
      </x:c>
      <x:c r="F427" s="16"/>
      <x:c r="G427" s="38"/>
      <x:c r="H427" s="39" t="e">
        <x:f>HYPERLINK("#'山海经原文总库'!A3","↩ 返回目录")</x:f>
        <x:v>HYPERLINK is not implemented. linkLocation=#'山海经原文总库'!A3, friendlyName=↩ 返回目录</x:v>
      </x:c>
      <x:c r="I427" s="437"/>
      <x:c r="J427" s="437"/>
      <x:c r="K427" s="437" t="str">
        <x:v>待同名检索｜待建档</x:v>
      </x:c>
    </x:row>
    <x:row r="428" ht="48" customHeight="1">
      <x:c r="A428" s="36" t="str">
        <x:v>SHJ-03-041</x:v>
      </x:c>
      <x:c r="B428" s="36" t="str">
        <x:v>卷三 《北山經》</x:v>
      </x:c>
      <x:c r="C428" s="37" t="str">
        <x:v>又北三百里，曰敦題之山，無草木，多金玉。是錞於北海。</x:v>
      </x:c>
      <x:c r="D428" s="36" t="str">
        <x:v>敦題之山</x:v>
      </x:c>
      <x:c r="E428" s="36" t="str">
        <x:v>山</x:v>
      </x:c>
      <x:c r="F428" s="16"/>
      <x:c r="G428" s="38" t="str">
        <x:v>标点与分段参考《山海经校注》；正文对读：https://ctext.org/shan-hai-jing/bei-shan-jing/zh</x:v>
      </x:c>
      <x:c r="H428" s="39" t="e">
        <x:f>HYPERLINK("#'山海经原文总库'!A3","↩ 返回目录")</x:f>
        <x:v>HYPERLINK is not implemented. linkLocation=#'山海经原文总库'!A3, friendlyName=↩ 返回目录</x:v>
      </x:c>
      <x:c r="I428" s="437"/>
      <x:c r="J428" s="437"/>
      <x:c r="K428" s="437" t="str">
        <x:v>待同名检索｜待建档</x:v>
      </x:c>
    </x:row>
    <x:row r="429" ht="22.5" customHeight="1">
      <x:c r="A429" s="36"/>
      <x:c r="B429" s="36"/>
      <x:c r="C429" s="37"/>
      <x:c r="D429" s="36" t="str">
        <x:v>北海</x:v>
      </x:c>
      <x:c r="E429" s="36" t="str">
        <x:v>海域</x:v>
      </x:c>
      <x:c r="F429" s="16"/>
      <x:c r="G429" s="38"/>
      <x:c r="H429" s="39" t="e">
        <x:f>HYPERLINK("#'山海经原文总库'!A3","↩ 返回目录")</x:f>
        <x:v>HYPERLINK is not implemented. linkLocation=#'山海经原文总库'!A3, friendlyName=↩ 返回目录</x:v>
      </x:c>
      <x:c r="I429" s="437"/>
      <x:c r="J429" s="437"/>
      <x:c r="K429" s="437" t="str">
        <x:v>待同名检索｜待建档</x:v>
      </x:c>
    </x:row>
    <x:row r="430" ht="48" customHeight="1">
      <x:c r="A430" s="36" t="str">
        <x:v>SHJ-03-042</x:v>
      </x:c>
      <x:c r="B430" s="36" t="str">
        <x:v>卷三 《北山經》</x:v>
      </x:c>
      <x:c r="C430" s="37" t="str">
        <x:v>凡北次二經之首，自管涔之山至於敦題之山，凡十七山，五千六百九十里。其神皆蛇身人面。其祠：毛用一雄雞彘瘞；用一璧一珪，投而不糈。</x:v>
      </x:c>
      <x:c r="D430" s="36" t="str">
        <x:v>管涔之山至於敦題之山</x:v>
      </x:c>
      <x:c r="E430" s="36" t="str">
        <x:v>山</x:v>
      </x:c>
      <x:c r="F430" s="16"/>
      <x:c r="G430" s="38" t="str">
        <x:v>标点与分段参考《山海经校注》；正文对读：https://ctext.org/shan-hai-jing/bei-shan-jing/zh</x:v>
      </x:c>
      <x:c r="H430" s="39" t="e">
        <x:f>HYPERLINK("#'山海经原文总库'!A3","↩ 返回目录")</x:f>
        <x:v>HYPERLINK is not implemented. linkLocation=#'山海经原文总库'!A3, friendlyName=↩ 返回目录</x:v>
      </x:c>
      <x:c r="I430" s="437"/>
      <x:c r="J430" s="437"/>
      <x:c r="K430" s="437" t="str">
        <x:v>待同名检索｜待建档</x:v>
      </x:c>
    </x:row>
    <x:row r="431" ht="64.5" customHeight="1">
      <x:c r="A431" s="36" t="str">
        <x:v>SHJ-03-043-1</x:v>
      </x:c>
      <x:c r="B431" s="36" t="str">
        <x:v>卷三 《北山經》</x:v>
      </x:c>
      <x:c r="C431" s="37" t="str">
        <x:v>北次三經之首，曰太行之山。其首曰歸山，其上有金玉，其下有碧。有獸焉，其狀如¤羊而四角，馬尾而有距，其名曰（馬軍），善還，其名自？。有鳥焉，其狀如鵲，白身、赤尾、六足，其名曰（賁鳥），是善驚，其鳴自詨。</x:v>
      </x:c>
      <x:c r="D431" s="36" t="str">
        <x:v>太行之山</x:v>
      </x:c>
      <x:c r="E431" s="36" t="str">
        <x:v>山</x:v>
      </x:c>
      <x:c r="F431" s="16"/>
      <x:c r="G431" s="38" t="str">
        <x:v>标点与分段参考《山海经校注》；正文对读：https://ctext.org/shan-hai-jing/bei-shan-jing/zh</x:v>
      </x:c>
      <x:c r="H431" s="39" t="e">
        <x:f>HYPERLINK("#'山海经原文总库'!A3","↩ 返回目录")</x:f>
        <x:v>HYPERLINK is not implemented. linkLocation=#'山海经原文总库'!A3, friendlyName=↩ 返回目录</x:v>
      </x:c>
      <x:c r="I431" s="437"/>
      <x:c r="J431" s="437"/>
      <x:c r="K431" s="437" t="str">
        <x:v>待同名检索｜待建档</x:v>
      </x:c>
    </x:row>
    <x:row r="432" ht="22.5" customHeight="1">
      <x:c r="A432" s="36"/>
      <x:c r="B432" s="36"/>
      <x:c r="C432" s="37"/>
      <x:c r="D432" s="36" t="str">
        <x:v>歸山</x:v>
      </x:c>
      <x:c r="E432" s="36" t="str">
        <x:v>山</x:v>
      </x:c>
      <x:c r="F432" s="16"/>
      <x:c r="G432" s="38"/>
      <x:c r="H432" s="39" t="e">
        <x:f>HYPERLINK("#'山海经原文总库'!A3","↩ 返回目录")</x:f>
        <x:v>HYPERLINK is not implemented. linkLocation=#'山海经原文总库'!A3, friendlyName=↩ 返回目录</x:v>
      </x:c>
      <x:c r="I432" s="437"/>
      <x:c r="J432" s="437"/>
      <x:c r="K432" s="437" t="str">
        <x:v>待同名检索｜待建档</x:v>
      </x:c>
    </x:row>
    <x:row r="433" ht="22.5" customHeight="1">
      <x:c r="A433" s="36"/>
      <x:c r="B433" s="36"/>
      <x:c r="C433" s="37"/>
      <x:c r="D433" s="36" t="str">
        <x:v>龍侯之山</x:v>
      </x:c>
      <x:c r="E433" s="36" t="str">
        <x:v>山</x:v>
      </x:c>
      <x:c r="F433" s="16"/>
      <x:c r="G433" s="38"/>
      <x:c r="H433" s="39" t="e">
        <x:f>HYPERLINK("#'山海经原文总库'!A3","↩ 返回目录")</x:f>
        <x:v>HYPERLINK is not implemented. linkLocation=#'山海经原文总库'!A3, friendlyName=↩ 返回目录</x:v>
      </x:c>
      <x:c r="I433" s="437"/>
      <x:c r="J433" s="437"/>
      <x:c r="K433" s="437" t="str">
        <x:v>待同名检索｜待建档</x:v>
      </x:c>
    </x:row>
    <x:row r="434" ht="22.5" customHeight="1">
      <x:c r="A434" s="36"/>
      <x:c r="B434" s="36"/>
      <x:c r="C434" s="37"/>
      <x:c r="D434" s="36" t="str">
        <x:v>决决之水</x:v>
      </x:c>
      <x:c r="E434" s="36" t="str">
        <x:v>水系</x:v>
      </x:c>
      <x:c r="F434" s="16"/>
      <x:c r="G434" s="38"/>
      <x:c r="H434" s="39" t="e">
        <x:f>HYPERLINK("#'山海经原文总库'!A3","↩ 返回目录")</x:f>
        <x:v>HYPERLINK is not implemented. linkLocation=#'山海经原文总库'!A3, friendlyName=↩ 返回目录</x:v>
      </x:c>
      <x:c r="I434" s="437"/>
      <x:c r="J434" s="437"/>
      <x:c r="K434" s="437" t="str">
        <x:v>待同名检索｜待建档</x:v>
      </x:c>
    </x:row>
    <x:row r="435" ht="22.5" customHeight="1">
      <x:c r="A435" s="36"/>
      <x:c r="B435" s="36"/>
      <x:c r="C435" s="37"/>
      <x:c r="D435" s="36" t="str">
        <x:v>馬成之山</x:v>
      </x:c>
      <x:c r="E435" s="36" t="str">
        <x:v>山</x:v>
      </x:c>
      <x:c r="F435" s="16"/>
      <x:c r="G435" s="38"/>
      <x:c r="H435" s="39" t="e">
        <x:f>HYPERLINK("#'山海经原文总库'!A3","↩ 返回目录")</x:f>
        <x:v>HYPERLINK is not implemented. linkLocation=#'山海经原文总库'!A3, friendlyName=↩ 返回目录</x:v>
      </x:c>
      <x:c r="I435" s="437"/>
      <x:c r="J435" s="437"/>
      <x:c r="K435" s="437" t="str">
        <x:v>待同名检索｜待建档</x:v>
      </x:c>
    </x:row>
    <x:row r="436" ht="22.5" customHeight="1">
      <x:c r="A436" s="36"/>
      <x:c r="B436" s="36"/>
      <x:c r="C436" s="37"/>
      <x:c r="D436" s="36" t="str">
        <x:v>咸山</x:v>
      </x:c>
      <x:c r="E436" s="36" t="str">
        <x:v>山</x:v>
      </x:c>
      <x:c r="F436" s="16"/>
      <x:c r="G436" s="38"/>
      <x:c r="H436" s="39" t="e">
        <x:f>HYPERLINK("#'山海经原文总库'!A3","↩ 返回目录")</x:f>
        <x:v>HYPERLINK is not implemented. linkLocation=#'山海经原文总库'!A3, friendlyName=↩ 返回目录</x:v>
      </x:c>
      <x:c r="I436" s="437"/>
      <x:c r="J436" s="437"/>
      <x:c r="K436" s="437" t="str">
        <x:v>待同名检索｜待建档</x:v>
      </x:c>
    </x:row>
    <x:row r="437" ht="48" customHeight="1">
      <x:c r="A437" s="36" t="str">
        <x:v>SHJ-03-043-2</x:v>
      </x:c>
      <x:c r="B437" s="36" t="str">
        <x:v>卷三 《北山經》</x:v>
      </x:c>
      <x:c r="C437" s="37" t="str">
        <x:v>又東北二百里，曰龍侯之山，無草木，多金玉。決決之水出焉，而東流注於河。其中多人魚，其狀如（魚帝）魚，四足，其音如嬰兒，食之無痴疾。</x:v>
      </x:c>
      <x:c r="D437" s="36" t="str">
        <x:v>龍侯之山</x:v>
      </x:c>
      <x:c r="E437" s="36" t="str">
        <x:v>山</x:v>
      </x:c>
      <x:c r="F437" s="16"/>
      <x:c r="G437" s="38" t="str">
        <x:v>标点与分段参考《山海经校注》；正文对读：https://ctext.org/shan-hai-jing/bei-shan-jing/zh</x:v>
      </x:c>
      <x:c r="H437" s="39" t="e">
        <x:f>HYPERLINK("#'山海经原文总库'!A3","↩ 返回目录")</x:f>
        <x:v>HYPERLINK is not implemented. linkLocation=#'山海经原文总库'!A3, friendlyName=↩ 返回目录</x:v>
      </x:c>
      <x:c r="I437" s="437"/>
      <x:c r="J437" s="437"/>
      <x:c r="K437" s="437" t="str">
        <x:v>待同名检索｜待建档</x:v>
      </x:c>
    </x:row>
    <x:row r="438" ht="22.5" customHeight="1">
      <x:c r="A438" s="36"/>
      <x:c r="B438" s="36"/>
      <x:c r="C438" s="37"/>
      <x:c r="D438" s="36" t="str">
        <x:v>決決之水</x:v>
      </x:c>
      <x:c r="E438" s="36" t="str">
        <x:v>水系</x:v>
      </x:c>
      <x:c r="F438" s="16"/>
      <x:c r="G438" s="38"/>
      <x:c r="H438" s="39" t="e">
        <x:f>HYPERLINK("#'山海经原文总库'!A3","↩ 返回目录")</x:f>
        <x:v>HYPERLINK is not implemented. linkLocation=#'山海经原文总库'!A3, friendlyName=↩ 返回目录</x:v>
      </x:c>
      <x:c r="I438" s="437"/>
      <x:c r="J438" s="437"/>
      <x:c r="K438" s="437" t="str">
        <x:v>待同名检索｜待建档</x:v>
      </x:c>
    </x:row>
    <x:row r="439" ht="22.5" customHeight="1">
      <x:c r="A439" s="36"/>
      <x:c r="B439" s="36"/>
      <x:c r="C439" s="37"/>
      <x:c r="D439" s="36" t="str">
        <x:v>河</x:v>
      </x:c>
      <x:c r="E439" s="36" t="str">
        <x:v>地理名稱</x:v>
      </x:c>
      <x:c r="F439" s="16"/>
      <x:c r="G439" s="38"/>
      <x:c r="H439" s="39" t="e">
        <x:f>HYPERLINK("#'山海经原文总库'!A3","↩ 返回目录")</x:f>
        <x:v>HYPERLINK is not implemented. linkLocation=#'山海经原文总库'!A3, friendlyName=↩ 返回目录</x:v>
      </x:c>
      <x:c r="I439" s="437"/>
      <x:c r="J439" s="437"/>
      <x:c r="K439" s="437" t="str">
        <x:v>待同名检索｜待建档</x:v>
      </x:c>
    </x:row>
    <x:row r="440" ht="64.5" customHeight="1">
      <x:c r="A440" s="36" t="str">
        <x:v>SHJ-03-043-3</x:v>
      </x:c>
      <x:c r="B440" s="36" t="str">
        <x:v>卷三 《北山經》</x:v>
      </x:c>
      <x:c r="C440" s="37" t="str">
        <x:v>又東北二百里，曰馬成之山，其上多文石，其陰多金玉。有獸焉，其狀如白犬而黑頭，見人則飛，其名曰天馬，其鳴自？。有鳥焉，其狀如烏，首白而身青、足黃，是名曰鶌鶋，其鳴自詨，食之不飢，可以已寓。</x:v>
      </x:c>
      <x:c r="D440" s="36" t="str">
        <x:v>馬成之山</x:v>
      </x:c>
      <x:c r="E440" s="36" t="str">
        <x:v>山</x:v>
      </x:c>
      <x:c r="F440" s="16"/>
      <x:c r="G440" s="38" t="str">
        <x:v>标点与分段参考《山海经校注》；正文对读：https://ctext.org/shan-hai-jing/bei-shan-jing/zh</x:v>
      </x:c>
      <x:c r="H440" s="39" t="e">
        <x:f>HYPERLINK("#'山海经原文总库'!A3","↩ 返回目录")</x:f>
        <x:v>HYPERLINK is not implemented. linkLocation=#'山海经原文总库'!A3, friendlyName=↩ 返回目录</x:v>
      </x:c>
      <x:c r="I440" s="437"/>
      <x:c r="J440" s="437"/>
      <x:c r="K440" s="437" t="str">
        <x:v>待同名检索｜待建档</x:v>
      </x:c>
    </x:row>
    <x:row r="441" ht="48" customHeight="1">
      <x:c r="A441" s="36" t="str">
        <x:v>SHJ-03-043-4</x:v>
      </x:c>
      <x:c r="B441" s="36" t="str">
        <x:v>卷三 《北山經》</x:v>
      </x:c>
      <x:c r="C441" s="37" t="str">
        <x:v>又東北七十里，曰咸山，其上有玉，其下多銅，是多松柏，草多茈草。條菅之水出焉，而西南流注於長澤。其中多器酸，三歲一成，食之已癘。</x:v>
      </x:c>
      <x:c r="D441" s="36" t="str">
        <x:v>咸山</x:v>
      </x:c>
      <x:c r="E441" s="36" t="str">
        <x:v>山</x:v>
      </x:c>
      <x:c r="F441" s="16"/>
      <x:c r="G441" s="38" t="str">
        <x:v>标点与分段参考《山海经校注》；正文对读：https://ctext.org/shan-hai-jing/bei-shan-jing/zh</x:v>
      </x:c>
      <x:c r="H441" s="39" t="e">
        <x:f>HYPERLINK("#'山海经原文总库'!A3","↩ 返回目录")</x:f>
        <x:v>HYPERLINK is not implemented. linkLocation=#'山海经原文总库'!A3, friendlyName=↩ 返回目录</x:v>
      </x:c>
      <x:c r="I441" s="437"/>
      <x:c r="J441" s="437"/>
      <x:c r="K441" s="437" t="str">
        <x:v>待同名检索｜待建档</x:v>
      </x:c>
    </x:row>
    <x:row r="442" ht="22.5" customHeight="1">
      <x:c r="A442" s="36"/>
      <x:c r="B442" s="36"/>
      <x:c r="C442" s="37"/>
      <x:c r="D442" s="36" t="str">
        <x:v>條菅之水</x:v>
      </x:c>
      <x:c r="E442" s="36" t="str">
        <x:v>水系</x:v>
      </x:c>
      <x:c r="F442" s="16"/>
      <x:c r="G442" s="38"/>
      <x:c r="H442" s="39" t="e">
        <x:f>HYPERLINK("#'山海经原文总库'!A3","↩ 返回目录")</x:f>
        <x:v>HYPERLINK is not implemented. linkLocation=#'山海经原文总库'!A3, friendlyName=↩ 返回目录</x:v>
      </x:c>
      <x:c r="I442" s="437"/>
      <x:c r="J442" s="437"/>
      <x:c r="K442" s="437" t="str">
        <x:v>待同名检索｜待建档</x:v>
      </x:c>
    </x:row>
    <x:row r="443" ht="22.5" customHeight="1">
      <x:c r="A443" s="36"/>
      <x:c r="B443" s="36"/>
      <x:c r="C443" s="37"/>
      <x:c r="D443" s="36" t="str">
        <x:v>長澤</x:v>
      </x:c>
      <x:c r="E443" s="36" t="str">
        <x:v>水系</x:v>
      </x:c>
      <x:c r="F443" s="16"/>
      <x:c r="G443" s="38"/>
      <x:c r="H443" s="39" t="e">
        <x:f>HYPERLINK("#'山海经原文总库'!A3","↩ 返回目录")</x:f>
        <x:v>HYPERLINK is not implemented. linkLocation=#'山海经原文总库'!A3, friendlyName=↩ 返回目录</x:v>
      </x:c>
      <x:c r="I443" s="437"/>
      <x:c r="J443" s="437"/>
      <x:c r="K443" s="437" t="str">
        <x:v>待同名检索｜待建档</x:v>
      </x:c>
    </x:row>
    <x:row r="444" ht="22.5" customHeight="1">
      <x:c r="A444" s="36"/>
      <x:c r="B444" s="36"/>
      <x:c r="C444" s="37"/>
      <x:c r="D444" s="36" t="str">
        <x:v>而西南流注於長澤</x:v>
      </x:c>
      <x:c r="E444" s="36" t="str">
        <x:v>澤／淵</x:v>
      </x:c>
      <x:c r="F444" s="16"/>
      <x:c r="G444" s="38"/>
      <x:c r="H444" s="39" t="e">
        <x:f>HYPERLINK("#'山海经原文总库'!A3","↩ 返回目录")</x:f>
        <x:v>HYPERLINK is not implemented. linkLocation=#'山海经原文总库'!A3, friendlyName=↩ 返回目录</x:v>
      </x:c>
      <x:c r="I444" s="437"/>
      <x:c r="J444" s="437"/>
      <x:c r="K444" s="437" t="str">
        <x:v>待同名检索｜待建档</x:v>
      </x:c>
    </x:row>
    <x:row r="445" ht="48" customHeight="1">
      <x:c r="A445" s="36" t="str">
        <x:v>SHJ-03-044</x:v>
      </x:c>
      <x:c r="B445" s="36" t="str">
        <x:v>卷三 《北山經》</x:v>
      </x:c>
      <x:c r="C445" s="37" t="str">
        <x:v>又東北二百里，曰天池之山，其上無草木，多文石。有獸焉，其狀如兔而鼠首，以其背飛，其名曰飛鼠。澠水出焉，潛於其下，其中多黃堊。</x:v>
      </x:c>
      <x:c r="D445" s="36" t="str">
        <x:v>天池之山</x:v>
      </x:c>
      <x:c r="E445" s="36" t="str">
        <x:v>山</x:v>
      </x:c>
      <x:c r="F445" s="16"/>
      <x:c r="G445" s="38" t="str">
        <x:v>标点与分段参考《山海经校注》；正文对读：https://ctext.org/shan-hai-jing/bei-shan-jing/zh</x:v>
      </x:c>
      <x:c r="H445" s="39" t="e">
        <x:f>HYPERLINK("#'山海经原文总库'!A3","↩ 返回目录")</x:f>
        <x:v>HYPERLINK is not implemented. linkLocation=#'山海经原文总库'!A3, friendlyName=↩ 返回目录</x:v>
      </x:c>
      <x:c r="I445" s="437"/>
      <x:c r="J445" s="437"/>
      <x:c r="K445" s="437" t="str">
        <x:v>待同名检索｜待建档</x:v>
      </x:c>
    </x:row>
    <x:row r="446" ht="22.5" customHeight="1">
      <x:c r="A446" s="36"/>
      <x:c r="B446" s="36"/>
      <x:c r="C446" s="37"/>
      <x:c r="D446" s="36" t="str">
        <x:v>澠水</x:v>
      </x:c>
      <x:c r="E446" s="36" t="str">
        <x:v>水系</x:v>
      </x:c>
      <x:c r="F446" s="16"/>
      <x:c r="G446" s="38"/>
      <x:c r="H446" s="39" t="e">
        <x:f>HYPERLINK("#'山海经原文总库'!A3","↩ 返回目录")</x:f>
        <x:v>HYPERLINK is not implemented. linkLocation=#'山海经原文总库'!A3, friendlyName=↩ 返回目录</x:v>
      </x:c>
      <x:c r="I446" s="437"/>
      <x:c r="J446" s="437"/>
      <x:c r="K446" s="437" t="str">
        <x:v>待同名检索｜待建档</x:v>
      </x:c>
    </x:row>
    <x:row r="447" ht="64.5" customHeight="1">
      <x:c r="A447" s="36" t="str">
        <x:v>SHJ-03-045</x:v>
      </x:c>
      <x:c r="B447" s="36" t="str">
        <x:v>卷三 《北山經》</x:v>
      </x:c>
      <x:c r="C447" s="37" t="str">
        <x:v>又東三百里，曰陽山，其上多玉，其下多金銅。有獸焉，其狀如牛而赤尾，其頸腎（月改肉），其狀如句瞿，其名曰領胡，其鳴自詨，食之已狂。有鳥焉，其狀如雌雉，而五採以文，是自為牝牡，名曰象蛇，其鳴自詨。留水出焉，而南流注於河。其中有？父之魚，其狀如鮒魚，魚首而彘身，食之已嘔。</x:v>
      </x:c>
      <x:c r="D447" s="36" t="str">
        <x:v>陽山</x:v>
      </x:c>
      <x:c r="E447" s="36" t="str">
        <x:v>山</x:v>
      </x:c>
      <x:c r="F447" s="16"/>
      <x:c r="G447" s="38" t="str">
        <x:v>标点与分段参考《山海经校注》；正文对读：https://ctext.org/shan-hai-jing/bei-shan-jing/zh</x:v>
      </x:c>
      <x:c r="H447" s="39" t="e">
        <x:f>HYPERLINK("#'山海经原文总库'!A3","↩ 返回目录")</x:f>
        <x:v>HYPERLINK is not implemented. linkLocation=#'山海经原文总库'!A3, friendlyName=↩ 返回目录</x:v>
      </x:c>
      <x:c r="I447" s="437"/>
      <x:c r="J447" s="437"/>
      <x:c r="K447" s="437" t="str">
        <x:v>待同名检索｜待建档</x:v>
      </x:c>
    </x:row>
    <x:row r="448" ht="22.5" customHeight="1">
      <x:c r="A448" s="36"/>
      <x:c r="B448" s="36"/>
      <x:c r="C448" s="37"/>
      <x:c r="D448" s="36" t="str">
        <x:v>留水</x:v>
      </x:c>
      <x:c r="E448" s="36" t="str">
        <x:v>水系</x:v>
      </x:c>
      <x:c r="F448" s="16"/>
      <x:c r="G448" s="38"/>
      <x:c r="H448" s="39" t="e">
        <x:f>HYPERLINK("#'山海经原文总库'!A3","↩ 返回目录")</x:f>
        <x:v>HYPERLINK is not implemented. linkLocation=#'山海经原文总库'!A3, friendlyName=↩ 返回目录</x:v>
      </x:c>
      <x:c r="I448" s="437"/>
      <x:c r="J448" s="437"/>
      <x:c r="K448" s="437" t="str">
        <x:v>待同名检索｜待建档</x:v>
      </x:c>
    </x:row>
    <x:row r="449" ht="22.5" customHeight="1">
      <x:c r="A449" s="36"/>
      <x:c r="B449" s="36"/>
      <x:c r="C449" s="37"/>
      <x:c r="D449" s="36" t="str">
        <x:v>河</x:v>
      </x:c>
      <x:c r="E449" s="36" t="str">
        <x:v>地理名稱</x:v>
      </x:c>
      <x:c r="F449" s="16"/>
      <x:c r="G449" s="38"/>
      <x:c r="H449" s="39" t="e">
        <x:f>HYPERLINK("#'山海经原文总库'!A3","↩ 返回目录")</x:f>
        <x:v>HYPERLINK is not implemented. linkLocation=#'山海经原文总库'!A3, friendlyName=↩ 返回目录</x:v>
      </x:c>
      <x:c r="I449" s="437"/>
      <x:c r="J449" s="437"/>
      <x:c r="K449" s="437" t="str">
        <x:v>待同名检索｜待建档</x:v>
      </x:c>
    </x:row>
    <x:row r="450" ht="48" customHeight="1">
      <x:c r="A450" s="36" t="str">
        <x:v>SHJ-03-046</x:v>
      </x:c>
      <x:c r="B450" s="36" t="str">
        <x:v>卷三 《北山經》</x:v>
      </x:c>
      <x:c r="C450" s="37" t="str">
        <x:v>又東三百五十里，曰賁聞之山，其上多蒼玉，其下多黃堊，多涅石。</x:v>
      </x:c>
      <x:c r="D450" s="36" t="str">
        <x:v>賁聞之山</x:v>
      </x:c>
      <x:c r="E450" s="36" t="str">
        <x:v>山</x:v>
      </x:c>
      <x:c r="F450" s="16"/>
      <x:c r="G450" s="38" t="str">
        <x:v>标点与分段参考《山海经校注》；正文对读：https://ctext.org/shan-hai-jing/bei-shan-jing/zh</x:v>
      </x:c>
      <x:c r="H450" s="39" t="e">
        <x:f>HYPERLINK("#'山海经原文总库'!A3","↩ 返回目录")</x:f>
        <x:v>HYPERLINK is not implemented. linkLocation=#'山海经原文总库'!A3, friendlyName=↩ 返回目录</x:v>
      </x:c>
      <x:c r="I450" s="437"/>
      <x:c r="J450" s="437"/>
      <x:c r="K450" s="437" t="str">
        <x:v>待同名检索｜待建档</x:v>
      </x:c>
    </x:row>
    <x:row r="451" ht="48" customHeight="1">
      <x:c r="A451" s="36" t="str">
        <x:v>SHJ-03-047-1</x:v>
      </x:c>
      <x:c r="B451" s="36" t="str">
        <x:v>卷三 《北山經》</x:v>
      </x:c>
      <x:c r="C451" s="37" t="str">
        <x:v>又北百里，曰王屋之山，是多石。水出焉，而西北流於泰澤。</x:v>
      </x:c>
      <x:c r="D451" s="36" t="str">
        <x:v>王屋之山</x:v>
      </x:c>
      <x:c r="E451" s="36" t="str">
        <x:v>山</x:v>
      </x:c>
      <x:c r="F451" s="16"/>
      <x:c r="G451" s="38" t="str">
        <x:v>标点与分段参考《山海经校注》；正文对读：https://ctext.org/shan-hai-jing/bei-shan-jing/zh</x:v>
      </x:c>
      <x:c r="H451" s="39" t="e">
        <x:f>HYPERLINK("#'山海经原文总库'!A3","↩ 返回目录")</x:f>
        <x:v>HYPERLINK is not implemented. linkLocation=#'山海经原文总库'!A3, friendlyName=↩ 返回目录</x:v>
      </x:c>
      <x:c r="I451" s="437"/>
      <x:c r="J451" s="437"/>
      <x:c r="K451" s="437" t="str">
        <x:v>待同名检索｜待建档</x:v>
      </x:c>
    </x:row>
    <x:row r="452" ht="22.5" customHeight="1">
      <x:c r="A452" s="36"/>
      <x:c r="B452" s="36"/>
      <x:c r="C452" s="37"/>
      <x:c r="D452" s="36" t="str">
        <x:v>而西北流於泰澤</x:v>
      </x:c>
      <x:c r="E452" s="36" t="str">
        <x:v>澤／淵</x:v>
      </x:c>
      <x:c r="F452" s="16"/>
      <x:c r="G452" s="38"/>
      <x:c r="H452" s="39" t="e">
        <x:f>HYPERLINK("#'山海经原文总库'!A3","↩ 返回目录")</x:f>
        <x:v>HYPERLINK is not implemented. linkLocation=#'山海经原文总库'!A3, friendlyName=↩ 返回目录</x:v>
      </x:c>
      <x:c r="I452" s="437"/>
      <x:c r="J452" s="437"/>
      <x:c r="K452" s="437" t="str">
        <x:v>待同名检索｜待建档</x:v>
      </x:c>
    </x:row>
    <x:row r="453" ht="48" customHeight="1">
      <x:c r="A453" s="36" t="str">
        <x:v>SHJ-03-047-2</x:v>
      </x:c>
      <x:c r="B453" s="36" t="str">
        <x:v>卷三 《北山經》</x:v>
      </x:c>
      <x:c r="C453" s="37" t="str">
        <x:v>又東北三百里，曰教山，其上多玉而無石。教水出焉，西流注於河，是水冬乾而夏流，實惟乾河。其中有兩山。是山也，廣員三百步，其名曰發丸之山，其上有金玉。</x:v>
      </x:c>
      <x:c r="D453" s="36" t="str">
        <x:v>教山</x:v>
      </x:c>
      <x:c r="E453" s="36" t="str">
        <x:v>山</x:v>
      </x:c>
      <x:c r="F453" s="16"/>
      <x:c r="G453" s="38" t="str">
        <x:v>标点与分段参考《山海经校注》；正文对读：https://ctext.org/shan-hai-jing/bei-shan-jing/zh</x:v>
      </x:c>
      <x:c r="H453" s="39" t="e">
        <x:f>HYPERLINK("#'山海经原文总库'!A3","↩ 返回目录")</x:f>
        <x:v>HYPERLINK is not implemented. linkLocation=#'山海经原文总库'!A3, friendlyName=↩ 返回目录</x:v>
      </x:c>
      <x:c r="I453" s="437"/>
      <x:c r="J453" s="437"/>
      <x:c r="K453" s="437" t="str">
        <x:v>待同名检索｜待建档</x:v>
      </x:c>
    </x:row>
    <x:row r="454" ht="22.5" customHeight="1">
      <x:c r="A454" s="36"/>
      <x:c r="B454" s="36"/>
      <x:c r="C454" s="37"/>
      <x:c r="D454" s="36" t="str">
        <x:v>發丸之山</x:v>
      </x:c>
      <x:c r="E454" s="36" t="str">
        <x:v>山</x:v>
      </x:c>
      <x:c r="F454" s="16"/>
      <x:c r="G454" s="38"/>
      <x:c r="H454" s="39" t="e">
        <x:f>HYPERLINK("#'山海经原文总库'!A3","↩ 返回目录")</x:f>
        <x:v>HYPERLINK is not implemented. linkLocation=#'山海经原文总库'!A3, friendlyName=↩ 返回目录</x:v>
      </x:c>
      <x:c r="I454" s="437"/>
      <x:c r="J454" s="437"/>
      <x:c r="K454" s="437" t="str">
        <x:v>待同名检索｜待建档</x:v>
      </x:c>
    </x:row>
    <x:row r="455" ht="22.5" customHeight="1">
      <x:c r="A455" s="36"/>
      <x:c r="B455" s="36"/>
      <x:c r="C455" s="37"/>
      <x:c r="D455" s="36" t="str">
        <x:v>兩山</x:v>
      </x:c>
      <x:c r="E455" s="36" t="str">
        <x:v>山</x:v>
      </x:c>
      <x:c r="F455" s="16"/>
      <x:c r="G455" s="38"/>
      <x:c r="H455" s="39" t="e">
        <x:f>HYPERLINK("#'山海经原文总库'!A3","↩ 返回目录")</x:f>
        <x:v>HYPERLINK is not implemented. linkLocation=#'山海经原文总库'!A3, friendlyName=↩ 返回目录</x:v>
      </x:c>
      <x:c r="I455" s="437"/>
      <x:c r="J455" s="437"/>
      <x:c r="K455" s="437" t="str">
        <x:v>待同名检索｜待建档</x:v>
      </x:c>
    </x:row>
    <x:row r="456" ht="22.5" customHeight="1">
      <x:c r="A456" s="36"/>
      <x:c r="B456" s="36"/>
      <x:c r="C456" s="37"/>
      <x:c r="D456" s="36" t="str">
        <x:v>教水</x:v>
      </x:c>
      <x:c r="E456" s="36" t="str">
        <x:v>水系</x:v>
      </x:c>
      <x:c r="F456" s="16"/>
      <x:c r="G456" s="38"/>
      <x:c r="H456" s="39" t="e">
        <x:f>HYPERLINK("#'山海经原文总库'!A3","↩ 返回目录")</x:f>
        <x:v>HYPERLINK is not implemented. linkLocation=#'山海经原文总库'!A3, friendlyName=↩ 返回目录</x:v>
      </x:c>
      <x:c r="I456" s="437"/>
      <x:c r="J456" s="437"/>
      <x:c r="K456" s="437" t="str">
        <x:v>待同名检索｜待建档</x:v>
      </x:c>
    </x:row>
    <x:row r="457" ht="22.5" customHeight="1">
      <x:c r="A457" s="36"/>
      <x:c r="B457" s="36"/>
      <x:c r="C457" s="37"/>
      <x:c r="D457" s="36" t="str">
        <x:v>河</x:v>
      </x:c>
      <x:c r="E457" s="36" t="str">
        <x:v>地理名稱</x:v>
      </x:c>
      <x:c r="F457" s="16"/>
      <x:c r="G457" s="38"/>
      <x:c r="H457" s="39" t="e">
        <x:f>HYPERLINK("#'山海经原文总库'!A3","↩ 返回目录")</x:f>
        <x:v>HYPERLINK is not implemented. linkLocation=#'山海经原文总库'!A3, friendlyName=↩ 返回目录</x:v>
      </x:c>
      <x:c r="I457" s="437"/>
      <x:c r="J457" s="437"/>
      <x:c r="K457" s="437" t="str">
        <x:v>待同名检索｜待建档</x:v>
      </x:c>
    </x:row>
    <x:row r="458" ht="48" customHeight="1">
      <x:c r="A458" s="36" t="str">
        <x:v>SHJ-03-048-1</x:v>
      </x:c>
      <x:c r="B458" s="36" t="str">
        <x:v>卷三 《北山經》</x:v>
      </x:c>
      <x:c r="C458" s="37" t="str">
        <x:v>又南三百里，曰景山，南望鹽販之澤，北望少澤，其上多草、藷藇，其草多秦椒，其陰多赭，其陽多玉。有鳥焉，其狀如蛇，而四翼、六目、三足，名曰酸與，其鳴自詨，見則其邑有恐。</x:v>
      </x:c>
      <x:c r="D458" s="36" t="str">
        <x:v>景山</x:v>
      </x:c>
      <x:c r="E458" s="36" t="str">
        <x:v>山</x:v>
      </x:c>
      <x:c r="F458" s="16"/>
      <x:c r="G458" s="38" t="str">
        <x:v>标点与分段参考《山海经校注》；正文对读：https://ctext.org/shan-hai-jing/bei-shan-jing/zh</x:v>
      </x:c>
      <x:c r="H458" s="39" t="e">
        <x:f>HYPERLINK("#'山海经原文总库'!A3","↩ 返回目录")</x:f>
        <x:v>HYPERLINK is not implemented. linkLocation=#'山海经原文总库'!A3, friendlyName=↩ 返回目录</x:v>
      </x:c>
      <x:c r="I458" s="437"/>
      <x:c r="J458" s="437"/>
      <x:c r="K458" s="437" t="str">
        <x:v>待同名检索｜待建档</x:v>
      </x:c>
    </x:row>
    <x:row r="459" ht="22.5" customHeight="1">
      <x:c r="A459" s="36"/>
      <x:c r="B459" s="36"/>
      <x:c r="C459" s="37"/>
      <x:c r="D459" s="36" t="str">
        <x:v>鹽販之澤</x:v>
      </x:c>
      <x:c r="E459" s="36" t="str">
        <x:v>澤／淵</x:v>
      </x:c>
      <x:c r="F459" s="16"/>
      <x:c r="G459" s="38"/>
      <x:c r="H459" s="39" t="e">
        <x:f>HYPERLINK("#'山海经原文总库'!A3","↩ 返回目录")</x:f>
        <x:v>HYPERLINK is not implemented. linkLocation=#'山海经原文总库'!A3, friendlyName=↩ 返回目录</x:v>
      </x:c>
      <x:c r="I459" s="437"/>
      <x:c r="J459" s="437"/>
      <x:c r="K459" s="437" t="str">
        <x:v>待同名检索｜待建档</x:v>
      </x:c>
    </x:row>
    <x:row r="460" ht="22.5" customHeight="1">
      <x:c r="A460" s="36"/>
      <x:c r="B460" s="36"/>
      <x:c r="C460" s="37"/>
      <x:c r="D460" s="36" t="str">
        <x:v>少澤</x:v>
      </x:c>
      <x:c r="E460" s="36" t="str">
        <x:v>澤／淵</x:v>
      </x:c>
      <x:c r="F460" s="16"/>
      <x:c r="G460" s="38"/>
      <x:c r="H460" s="39" t="e">
        <x:f>HYPERLINK("#'山海经原文总库'!A3","↩ 返回目录")</x:f>
        <x:v>HYPERLINK is not implemented. linkLocation=#'山海经原文总库'!A3, friendlyName=↩ 返回目录</x:v>
      </x:c>
      <x:c r="I460" s="437"/>
      <x:c r="J460" s="437"/>
      <x:c r="K460" s="437" t="str">
        <x:v>待同名检索｜待建档</x:v>
      </x:c>
    </x:row>
    <x:row r="461" ht="22.5" customHeight="1">
      <x:c r="A461" s="36"/>
      <x:c r="B461" s="36"/>
      <x:c r="C461" s="37"/>
      <x:c r="D461" s="36" t="str">
        <x:v>販之澤北望少澤</x:v>
      </x:c>
      <x:c r="E461" s="36" t="str">
        <x:v>澤／淵</x:v>
      </x:c>
      <x:c r="F461" s="16"/>
      <x:c r="G461" s="38"/>
      <x:c r="H461" s="39" t="e">
        <x:f>HYPERLINK("#'山海经原文总库'!A3","↩ 返回目录")</x:f>
        <x:v>HYPERLINK is not implemented. linkLocation=#'山海经原文总库'!A3, friendlyName=↩ 返回目录</x:v>
      </x:c>
      <x:c r="I461" s="437"/>
      <x:c r="J461" s="437"/>
      <x:c r="K461" s="437" t="str">
        <x:v>待同名检索｜待建档</x:v>
      </x:c>
    </x:row>
    <x:row r="462" ht="48" customHeight="1">
      <x:c r="A462" s="36" t="str">
        <x:v>SHJ-03-048-2</x:v>
      </x:c>
      <x:c r="B462" s="36" t="str">
        <x:v>卷三 《北山經》</x:v>
      </x:c>
      <x:c r="C462" s="37" t="str">
        <x:v>又東南三百二十里，曰孟門之山，其上多蒼玉，多金，其下多黃堊，多涅石。</x:v>
      </x:c>
      <x:c r="D462" s="36" t="str">
        <x:v>孟門之山</x:v>
      </x:c>
      <x:c r="E462" s="36" t="str">
        <x:v>山</x:v>
      </x:c>
      <x:c r="F462" s="16"/>
      <x:c r="G462" s="38" t="str">
        <x:v>标点与分段参考《山海经校注》；正文对读：https://ctext.org/shan-hai-jing/bei-shan-jing/zh</x:v>
      </x:c>
      <x:c r="H462" s="39" t="e">
        <x:f>HYPERLINK("#'山海经原文总库'!A3","↩ 返回目录")</x:f>
        <x:v>HYPERLINK is not implemented. linkLocation=#'山海经原文总库'!A3, friendlyName=↩ 返回目录</x:v>
      </x:c>
      <x:c r="I462" s="437"/>
      <x:c r="J462" s="437"/>
      <x:c r="K462" s="437" t="str">
        <x:v>待同名检索｜待建档</x:v>
      </x:c>
    </x:row>
    <x:row r="463" ht="48" customHeight="1">
      <x:c r="A463" s="36" t="str">
        <x:v>SHJ-03-048-3</x:v>
      </x:c>
      <x:c r="B463" s="36" t="str">
        <x:v>卷三 《北山經》</x:v>
      </x:c>
      <x:c r="C463" s="37" t="str">
        <x:v>又東南三百二十里，曰平山。平水出於其上，潛於其下，是多美玉。</x:v>
      </x:c>
      <x:c r="D463" s="36" t="str">
        <x:v>平山</x:v>
      </x:c>
      <x:c r="E463" s="36" t="str">
        <x:v>山</x:v>
      </x:c>
      <x:c r="F463" s="16"/>
      <x:c r="G463" s="38" t="str">
        <x:v>标点与分段参考《山海经校注》；正文对读：https://ctext.org/shan-hai-jing/bei-shan-jing/zh</x:v>
      </x:c>
      <x:c r="H463" s="39" t="e">
        <x:f>HYPERLINK("#'山海经原文总库'!A3","↩ 返回目录")</x:f>
        <x:v>HYPERLINK is not implemented. linkLocation=#'山海经原文总库'!A3, friendlyName=↩ 返回目录</x:v>
      </x:c>
      <x:c r="I463" s="437"/>
      <x:c r="J463" s="437"/>
      <x:c r="K463" s="437" t="str">
        <x:v>待同名检索｜待建档</x:v>
      </x:c>
    </x:row>
    <x:row r="464" ht="22.5" customHeight="1">
      <x:c r="A464" s="36"/>
      <x:c r="B464" s="36"/>
      <x:c r="C464" s="37"/>
      <x:c r="D464" s="36" t="str">
        <x:v>平水</x:v>
      </x:c>
      <x:c r="E464" s="36" t="str">
        <x:v>水系</x:v>
      </x:c>
      <x:c r="F464" s="16"/>
      <x:c r="G464" s="38"/>
      <x:c r="H464" s="39" t="e">
        <x:f>HYPERLINK("#'山海经原文总库'!A3","↩ 返回目录")</x:f>
        <x:v>HYPERLINK is not implemented. linkLocation=#'山海经原文总库'!A3, friendlyName=↩ 返回目录</x:v>
      </x:c>
      <x:c r="I464" s="437"/>
      <x:c r="J464" s="437"/>
      <x:c r="K464" s="437" t="str">
        <x:v>待同名检索｜待建档</x:v>
      </x:c>
    </x:row>
    <x:row r="465" ht="48" customHeight="1">
      <x:c r="A465" s="36" t="str">
        <x:v>SHJ-03-049</x:v>
      </x:c>
      <x:c r="B465" s="36" t="str">
        <x:v>卷三 《北山經》</x:v>
      </x:c>
      <x:c r="C465" s="37" t="str">
        <x:v>又東二百里，曰京山，有美玉，多漆木，多竹，其陽有赤銅，其陰有玄（石肅）。高水出焉，南流注於河。</x:v>
      </x:c>
      <x:c r="D465" s="36" t="str">
        <x:v>京山</x:v>
      </x:c>
      <x:c r="E465" s="36" t="str">
        <x:v>山</x:v>
      </x:c>
      <x:c r="F465" s="16"/>
      <x:c r="G465" s="38" t="str">
        <x:v>标点与分段参考《山海经校注》；正文对读：https://ctext.org/shan-hai-jing/bei-shan-jing/zh</x:v>
      </x:c>
      <x:c r="H465" s="39" t="e">
        <x:f>HYPERLINK("#'山海经原文总库'!A3","↩ 返回目录")</x:f>
        <x:v>HYPERLINK is not implemented. linkLocation=#'山海经原文总库'!A3, friendlyName=↩ 返回目录</x:v>
      </x:c>
      <x:c r="I465" s="437"/>
      <x:c r="J465" s="437"/>
      <x:c r="K465" s="437" t="str">
        <x:v>待同名检索｜待建档</x:v>
      </x:c>
    </x:row>
    <x:row r="466" ht="22.5" customHeight="1">
      <x:c r="A466" s="36"/>
      <x:c r="B466" s="36"/>
      <x:c r="C466" s="37"/>
      <x:c r="D466" s="36" t="str">
        <x:v>高水</x:v>
      </x:c>
      <x:c r="E466" s="36" t="str">
        <x:v>水系</x:v>
      </x:c>
      <x:c r="F466" s="16"/>
      <x:c r="G466" s="38"/>
      <x:c r="H466" s="39" t="e">
        <x:f>HYPERLINK("#'山海经原文总库'!A3","↩ 返回目录")</x:f>
        <x:v>HYPERLINK is not implemented. linkLocation=#'山海经原文总库'!A3, friendlyName=↩ 返回目录</x:v>
      </x:c>
      <x:c r="I466" s="437"/>
      <x:c r="J466" s="437"/>
      <x:c r="K466" s="437" t="str">
        <x:v>待同名检索｜待建档</x:v>
      </x:c>
    </x:row>
    <x:row r="467" ht="22.5" customHeight="1">
      <x:c r="A467" s="36"/>
      <x:c r="B467" s="36"/>
      <x:c r="C467" s="37"/>
      <x:c r="D467" s="36" t="str">
        <x:v>河</x:v>
      </x:c>
      <x:c r="E467" s="36" t="str">
        <x:v>地理名稱</x:v>
      </x:c>
      <x:c r="F467" s="16"/>
      <x:c r="G467" s="38"/>
      <x:c r="H467" s="39" t="e">
        <x:f>HYPERLINK("#'山海经原文总库'!A3","↩ 返回目录")</x:f>
        <x:v>HYPERLINK is not implemented. linkLocation=#'山海经原文总库'!A3, friendlyName=↩ 返回目录</x:v>
      </x:c>
      <x:c r="I467" s="437"/>
      <x:c r="J467" s="437"/>
      <x:c r="K467" s="437" t="str">
        <x:v>待同名检索｜待建档</x:v>
      </x:c>
    </x:row>
    <x:row r="468" ht="48" customHeight="1">
      <x:c r="A468" s="36" t="str">
        <x:v>SHJ-03-050</x:v>
      </x:c>
      <x:c r="B468" s="36" t="str">
        <x:v>卷三 《北山經》</x:v>
      </x:c>
      <x:c r="C468" s="37" t="str">
        <x:v>又東二百里，曰蟲尾之山，其上多金玉，其下多竹，多青碧。丹水出焉，南流注於河。薄水出焉，而東南流注於黃澤。</x:v>
      </x:c>
      <x:c r="D468" s="36" t="str">
        <x:v>蟲尾之山</x:v>
      </x:c>
      <x:c r="E468" s="36" t="str">
        <x:v>山</x:v>
      </x:c>
      <x:c r="F468" s="16"/>
      <x:c r="G468" s="38" t="str">
        <x:v>标点与分段参考《山海经校注》；正文对读：https://ctext.org/shan-hai-jing/bei-shan-jing/zh</x:v>
      </x:c>
      <x:c r="H468" s="39" t="e">
        <x:f>HYPERLINK("#'山海经原文总库'!A3","↩ 返回目录")</x:f>
        <x:v>HYPERLINK is not implemented. linkLocation=#'山海经原文总库'!A3, friendlyName=↩ 返回目录</x:v>
      </x:c>
      <x:c r="I468" s="437"/>
      <x:c r="J468" s="437"/>
      <x:c r="K468" s="437" t="str">
        <x:v>待同名检索｜待建档</x:v>
      </x:c>
    </x:row>
    <x:row r="469" ht="22.5" customHeight="1">
      <x:c r="A469" s="36"/>
      <x:c r="B469" s="36"/>
      <x:c r="C469" s="37"/>
      <x:c r="D469" s="36" t="str">
        <x:v>丹水</x:v>
      </x:c>
      <x:c r="E469" s="36" t="str">
        <x:v>水系</x:v>
      </x:c>
      <x:c r="F469" s="16"/>
      <x:c r="G469" s="38"/>
      <x:c r="H469" s="39" t="e">
        <x:f>HYPERLINK("#'山海经原文总库'!A3","↩ 返回目录")</x:f>
        <x:v>HYPERLINK is not implemented. linkLocation=#'山海经原文总库'!A3, friendlyName=↩ 返回目录</x:v>
      </x:c>
      <x:c r="I469" s="437"/>
      <x:c r="J469" s="437"/>
      <x:c r="K469" s="437" t="str">
        <x:v>待同名检索｜待建档</x:v>
      </x:c>
    </x:row>
    <x:row r="470" ht="22.5" customHeight="1">
      <x:c r="A470" s="36"/>
      <x:c r="B470" s="36"/>
      <x:c r="C470" s="37"/>
      <x:c r="D470" s="36" t="str">
        <x:v>薄水</x:v>
      </x:c>
      <x:c r="E470" s="36" t="str">
        <x:v>水系</x:v>
      </x:c>
      <x:c r="F470" s="16"/>
      <x:c r="G470" s="38"/>
      <x:c r="H470" s="39" t="e">
        <x:f>HYPERLINK("#'山海经原文总库'!A3","↩ 返回目录")</x:f>
        <x:v>HYPERLINK is not implemented. linkLocation=#'山海经原文总库'!A3, friendlyName=↩ 返回目录</x:v>
      </x:c>
      <x:c r="I470" s="437"/>
      <x:c r="J470" s="437"/>
      <x:c r="K470" s="437" t="str">
        <x:v>待同名检索｜待建档</x:v>
      </x:c>
    </x:row>
    <x:row r="471" ht="22.5" customHeight="1">
      <x:c r="A471" s="36"/>
      <x:c r="B471" s="36"/>
      <x:c r="C471" s="37"/>
      <x:c r="D471" s="36" t="str">
        <x:v>黃澤</x:v>
      </x:c>
      <x:c r="E471" s="36" t="str">
        <x:v>水系</x:v>
      </x:c>
      <x:c r="F471" s="16"/>
      <x:c r="G471" s="38"/>
      <x:c r="H471" s="39" t="e">
        <x:f>HYPERLINK("#'山海经原文总库'!A3","↩ 返回目录")</x:f>
        <x:v>HYPERLINK is not implemented. linkLocation=#'山海经原文总库'!A3, friendlyName=↩ 返回目录</x:v>
      </x:c>
      <x:c r="I471" s="437"/>
      <x:c r="J471" s="437"/>
      <x:c r="K471" s="437" t="str">
        <x:v>待同名检索｜待建档</x:v>
      </x:c>
    </x:row>
    <x:row r="472" ht="22.5" customHeight="1">
      <x:c r="A472" s="36"/>
      <x:c r="B472" s="36"/>
      <x:c r="C472" s="37"/>
      <x:c r="D472" s="36" t="str">
        <x:v>而東南流注於黃澤</x:v>
      </x:c>
      <x:c r="E472" s="36" t="str">
        <x:v>澤／淵</x:v>
      </x:c>
      <x:c r="F472" s="16"/>
      <x:c r="G472" s="38"/>
      <x:c r="H472" s="39" t="e">
        <x:f>HYPERLINK("#'山海经原文总库'!A3","↩ 返回目录")</x:f>
        <x:v>HYPERLINK is not implemented. linkLocation=#'山海经原文总库'!A3, friendlyName=↩ 返回目录</x:v>
      </x:c>
      <x:c r="I472" s="437"/>
      <x:c r="J472" s="437"/>
      <x:c r="K472" s="437" t="str">
        <x:v>待同名检索｜待建档</x:v>
      </x:c>
    </x:row>
    <x:row r="473" ht="22.5" customHeight="1">
      <x:c r="A473" s="36"/>
      <x:c r="B473" s="36"/>
      <x:c r="C473" s="37"/>
      <x:c r="D473" s="36" t="str">
        <x:v>河</x:v>
      </x:c>
      <x:c r="E473" s="36" t="str">
        <x:v>地理名稱</x:v>
      </x:c>
      <x:c r="F473" s="16"/>
      <x:c r="G473" s="38"/>
      <x:c r="H473" s="39" t="e">
        <x:f>HYPERLINK("#'山海经原文总库'!A3","↩ 返回目录")</x:f>
        <x:v>HYPERLINK is not implemented. linkLocation=#'山海经原文总库'!A3, friendlyName=↩ 返回目录</x:v>
      </x:c>
      <x:c r="I473" s="437"/>
      <x:c r="J473" s="437"/>
      <x:c r="K473" s="437" t="str">
        <x:v>待同名检索｜待建档</x:v>
      </x:c>
    </x:row>
    <x:row r="474" ht="48" customHeight="1">
      <x:c r="A474" s="36" t="str">
        <x:v>SHJ-03-051</x:v>
      </x:c>
      <x:c r="B474" s="36" t="str">
        <x:v>卷三 《北山經》</x:v>
      </x:c>
      <x:c r="C474" s="37" t="str">
        <x:v>又東三百里，曰彭毗之山，其上無草木，多金玉，其下多水。蚤林之水出焉，東南流注於河。肥水出焉，而南流注於床水，其中多肥遺之蛇。</x:v>
      </x:c>
      <x:c r="D474" s="36" t="str">
        <x:v>彭毗之山</x:v>
      </x:c>
      <x:c r="E474" s="36" t="str">
        <x:v>山</x:v>
      </x:c>
      <x:c r="F474" s="16"/>
      <x:c r="G474" s="38" t="str">
        <x:v>标点与分段参考《山海经校注》；正文对读：https://ctext.org/shan-hai-jing/bei-shan-jing/zh</x:v>
      </x:c>
      <x:c r="H474" s="39" t="e">
        <x:f>HYPERLINK("#'山海经原文总库'!A3","↩ 返回目录")</x:f>
        <x:v>HYPERLINK is not implemented. linkLocation=#'山海经原文总库'!A3, friendlyName=↩ 返回目录</x:v>
      </x:c>
      <x:c r="I474" s="437"/>
      <x:c r="J474" s="437"/>
      <x:c r="K474" s="437" t="str">
        <x:v>待同名检索｜待建档</x:v>
      </x:c>
    </x:row>
    <x:row r="475" ht="22.5" customHeight="1">
      <x:c r="A475" s="36"/>
      <x:c r="B475" s="36"/>
      <x:c r="C475" s="37"/>
      <x:c r="D475" s="36" t="str">
        <x:v>蚤林之水</x:v>
      </x:c>
      <x:c r="E475" s="36" t="str">
        <x:v>水系</x:v>
      </x:c>
      <x:c r="F475" s="16"/>
      <x:c r="G475" s="38"/>
      <x:c r="H475" s="39" t="e">
        <x:f>HYPERLINK("#'山海经原文总库'!A3","↩ 返回目录")</x:f>
        <x:v>HYPERLINK is not implemented. linkLocation=#'山海经原文总库'!A3, friendlyName=↩ 返回目录</x:v>
      </x:c>
      <x:c r="I475" s="437"/>
      <x:c r="J475" s="437"/>
      <x:c r="K475" s="437" t="str">
        <x:v>待同名检索｜待建档</x:v>
      </x:c>
    </x:row>
    <x:row r="476" ht="22.5" customHeight="1">
      <x:c r="A476" s="36"/>
      <x:c r="B476" s="36"/>
      <x:c r="C476" s="37"/>
      <x:c r="D476" s="36" t="str">
        <x:v>肥水</x:v>
      </x:c>
      <x:c r="E476" s="36" t="str">
        <x:v>水系</x:v>
      </x:c>
      <x:c r="F476" s="16"/>
      <x:c r="G476" s="38"/>
      <x:c r="H476" s="39" t="e">
        <x:f>HYPERLINK("#'山海经原文总库'!A3","↩ 返回目录")</x:f>
        <x:v>HYPERLINK is not implemented. linkLocation=#'山海经原文总库'!A3, friendlyName=↩ 返回目录</x:v>
      </x:c>
      <x:c r="I476" s="437"/>
      <x:c r="J476" s="437"/>
      <x:c r="K476" s="437" t="str">
        <x:v>待同名检索｜待建档</x:v>
      </x:c>
    </x:row>
    <x:row r="477" ht="22.5" customHeight="1">
      <x:c r="A477" s="36"/>
      <x:c r="B477" s="36"/>
      <x:c r="C477" s="37"/>
      <x:c r="D477" s="36" t="str">
        <x:v>床水</x:v>
      </x:c>
      <x:c r="E477" s="36" t="str">
        <x:v>水系</x:v>
      </x:c>
      <x:c r="F477" s="16"/>
      <x:c r="G477" s="38"/>
      <x:c r="H477" s="39" t="e">
        <x:f>HYPERLINK("#'山海经原文总库'!A3","↩ 返回目录")</x:f>
        <x:v>HYPERLINK is not implemented. linkLocation=#'山海经原文总库'!A3, friendlyName=↩ 返回目录</x:v>
      </x:c>
      <x:c r="I477" s="437"/>
      <x:c r="J477" s="437"/>
      <x:c r="K477" s="437" t="str">
        <x:v>待同名检索｜待建档</x:v>
      </x:c>
    </x:row>
    <x:row r="478" ht="22.5" customHeight="1">
      <x:c r="A478" s="36"/>
      <x:c r="B478" s="36"/>
      <x:c r="C478" s="37"/>
      <x:c r="D478" s="36" t="str">
        <x:v>蚤林</x:v>
      </x:c>
      <x:c r="E478" s="36" t="str">
        <x:v>區域</x:v>
      </x:c>
      <x:c r="F478" s="16"/>
      <x:c r="G478" s="38"/>
      <x:c r="H478" s="39" t="e">
        <x:f>HYPERLINK("#'山海经原文总库'!A3","↩ 返回目录")</x:f>
        <x:v>HYPERLINK is not implemented. linkLocation=#'山海经原文总库'!A3, friendlyName=↩ 返回目录</x:v>
      </x:c>
      <x:c r="I478" s="437"/>
      <x:c r="J478" s="437"/>
      <x:c r="K478" s="437" t="str">
        <x:v>待同名检索｜待建档</x:v>
      </x:c>
    </x:row>
    <x:row r="479" ht="22.5" customHeight="1">
      <x:c r="A479" s="36"/>
      <x:c r="B479" s="36"/>
      <x:c r="C479" s="37"/>
      <x:c r="D479" s="36" t="str">
        <x:v>河</x:v>
      </x:c>
      <x:c r="E479" s="36" t="str">
        <x:v>地理名稱</x:v>
      </x:c>
      <x:c r="F479" s="16"/>
      <x:c r="G479" s="38"/>
      <x:c r="H479" s="39" t="e">
        <x:f>HYPERLINK("#'山海经原文总库'!A3","↩ 返回目录")</x:f>
        <x:v>HYPERLINK is not implemented. linkLocation=#'山海经原文总库'!A3, friendlyName=↩ 返回目录</x:v>
      </x:c>
      <x:c r="I479" s="437"/>
      <x:c r="J479" s="437"/>
      <x:c r="K479" s="437" t="str">
        <x:v>待同名检索｜待建档</x:v>
      </x:c>
    </x:row>
    <x:row r="480" ht="48" customHeight="1">
      <x:c r="A480" s="36" t="str">
        <x:v>SHJ-03-052</x:v>
      </x:c>
      <x:c r="B480" s="36" t="str">
        <x:v>卷三 《北山經》</x:v>
      </x:c>
      <x:c r="C480" s="37" t="str">
        <x:v>又東百八十里，曰小侯之山。明漳之水出焉，南流注於黃澤。有鳥焉，其狀如烏而白文，名曰鴣（習鳥），食之不灂。</x:v>
      </x:c>
      <x:c r="D480" s="36" t="str">
        <x:v>小侯之山</x:v>
      </x:c>
      <x:c r="E480" s="36" t="str">
        <x:v>山</x:v>
      </x:c>
      <x:c r="F480" s="16"/>
      <x:c r="G480" s="38" t="str">
        <x:v>标点与分段参考《山海经校注》；正文对读：https://ctext.org/shan-hai-jing/bei-shan-jing/zh</x:v>
      </x:c>
      <x:c r="H480" s="39" t="e">
        <x:f>HYPERLINK("#'山海经原文总库'!A3","↩ 返回目录")</x:f>
        <x:v>HYPERLINK is not implemented. linkLocation=#'山海经原文总库'!A3, friendlyName=↩ 返回目录</x:v>
      </x:c>
      <x:c r="I480" s="437"/>
      <x:c r="J480" s="437"/>
      <x:c r="K480" s="437" t="str">
        <x:v>待同名检索｜待建档</x:v>
      </x:c>
    </x:row>
    <x:row r="481" ht="22.5" customHeight="1">
      <x:c r="A481" s="36"/>
      <x:c r="B481" s="36"/>
      <x:c r="C481" s="37"/>
      <x:c r="D481" s="36" t="str">
        <x:v>明漳之水</x:v>
      </x:c>
      <x:c r="E481" s="36" t="str">
        <x:v>水系</x:v>
      </x:c>
      <x:c r="F481" s="16"/>
      <x:c r="G481" s="38"/>
      <x:c r="H481" s="39" t="e">
        <x:f>HYPERLINK("#'山海经原文总库'!A3","↩ 返回目录")</x:f>
        <x:v>HYPERLINK is not implemented. linkLocation=#'山海经原文总库'!A3, friendlyName=↩ 返回目录</x:v>
      </x:c>
      <x:c r="I481" s="437"/>
      <x:c r="J481" s="437"/>
      <x:c r="K481" s="437" t="str">
        <x:v>待同名检索｜待建档</x:v>
      </x:c>
    </x:row>
    <x:row r="482" ht="22.5" customHeight="1">
      <x:c r="A482" s="36"/>
      <x:c r="B482" s="36"/>
      <x:c r="C482" s="37"/>
      <x:c r="D482" s="36" t="str">
        <x:v>黃澤</x:v>
      </x:c>
      <x:c r="E482" s="36" t="str">
        <x:v>水系</x:v>
      </x:c>
      <x:c r="F482" s="16"/>
      <x:c r="G482" s="38"/>
      <x:c r="H482" s="39" t="e">
        <x:f>HYPERLINK("#'山海经原文总库'!A3","↩ 返回目录")</x:f>
        <x:v>HYPERLINK is not implemented. linkLocation=#'山海经原文总库'!A3, friendlyName=↩ 返回目录</x:v>
      </x:c>
      <x:c r="I482" s="437"/>
      <x:c r="J482" s="437"/>
      <x:c r="K482" s="437" t="str">
        <x:v>待同名检索｜待建档</x:v>
      </x:c>
    </x:row>
    <x:row r="483" ht="22.5" customHeight="1">
      <x:c r="A483" s="36"/>
      <x:c r="B483" s="36"/>
      <x:c r="C483" s="37"/>
      <x:c r="D483" s="36" t="str">
        <x:v>黄澤</x:v>
      </x:c>
      <x:c r="E483" s="36" t="str">
        <x:v>澤／淵</x:v>
      </x:c>
      <x:c r="F483" s="16"/>
      <x:c r="G483" s="38"/>
      <x:c r="H483" s="39" t="e">
        <x:f>HYPERLINK("#'山海经原文总库'!A3","↩ 返回目录")</x:f>
        <x:v>HYPERLINK is not implemented. linkLocation=#'山海经原文总库'!A3, friendlyName=↩ 返回目录</x:v>
      </x:c>
      <x:c r="I483" s="437"/>
      <x:c r="J483" s="437"/>
      <x:c r="K483" s="437" t="str">
        <x:v>待同名检索｜待建档</x:v>
      </x:c>
    </x:row>
    <x:row r="484" ht="48" customHeight="1">
      <x:c r="A484" s="36" t="str">
        <x:v>SHJ-03-053-1</x:v>
      </x:c>
      <x:c r="B484" s="36" t="str">
        <x:v>卷三 《北山經》</x:v>
      </x:c>
      <x:c r="C484" s="37" t="str">
        <x:v>又東三百七十里，曰泰頭之山。共水出焉，南注於虖池。其上多金玉，其下多竹箭。</x:v>
      </x:c>
      <x:c r="D484" s="36" t="str">
        <x:v>泰頭之山</x:v>
      </x:c>
      <x:c r="E484" s="36" t="str">
        <x:v>山</x:v>
      </x:c>
      <x:c r="F484" s="16"/>
      <x:c r="G484" s="38" t="str">
        <x:v>标点与分段参考《山海经校注》；正文对读：https://ctext.org/shan-hai-jing/bei-shan-jing/zh</x:v>
      </x:c>
      <x:c r="H484" s="39" t="e">
        <x:f>HYPERLINK("#'山海经原文总库'!A3","↩ 返回目录")</x:f>
        <x:v>HYPERLINK is not implemented. linkLocation=#'山海经原文总库'!A3, friendlyName=↩ 返回目录</x:v>
      </x:c>
      <x:c r="I484" s="437"/>
      <x:c r="J484" s="437"/>
      <x:c r="K484" s="437" t="str">
        <x:v>待同名检索｜待建档</x:v>
      </x:c>
    </x:row>
    <x:row r="485" ht="22.5" customHeight="1">
      <x:c r="A485" s="36"/>
      <x:c r="B485" s="36"/>
      <x:c r="C485" s="37"/>
      <x:c r="D485" s="36" t="str">
        <x:v>共水</x:v>
      </x:c>
      <x:c r="E485" s="36" t="str">
        <x:v>水系</x:v>
      </x:c>
      <x:c r="F485" s="16"/>
      <x:c r="G485" s="38"/>
      <x:c r="H485" s="39" t="e">
        <x:f>HYPERLINK("#'山海经原文总库'!A3","↩ 返回目录")</x:f>
        <x:v>HYPERLINK is not implemented. linkLocation=#'山海经原文总库'!A3, friendlyName=↩ 返回目录</x:v>
      </x:c>
      <x:c r="I485" s="437"/>
      <x:c r="J485" s="437"/>
      <x:c r="K485" s="437" t="str">
        <x:v>待同名检索｜待建档</x:v>
      </x:c>
    </x:row>
    <x:row r="486" ht="22.5" customHeight="1">
      <x:c r="A486" s="36"/>
      <x:c r="B486" s="36"/>
      <x:c r="C486" s="37"/>
      <x:c r="D486" s="36" t="str">
        <x:v>虖池</x:v>
      </x:c>
      <x:c r="E486" s="36" t="str">
        <x:v>水系</x:v>
      </x:c>
      <x:c r="F486" s="16"/>
      <x:c r="G486" s="38"/>
      <x:c r="H486" s="39" t="e">
        <x:f>HYPERLINK("#'山海经原文总库'!A3","↩ 返回目录")</x:f>
        <x:v>HYPERLINK is not implemented. linkLocation=#'山海经原文总库'!A3, friendlyName=↩ 返回目录</x:v>
      </x:c>
      <x:c r="I486" s="437"/>
      <x:c r="J486" s="437"/>
      <x:c r="K486" s="437" t="str">
        <x:v>待同名检索｜待建档</x:v>
      </x:c>
    </x:row>
    <x:row r="487" ht="48" customHeight="1">
      <x:c r="A487" s="36" t="str">
        <x:v>SHJ-03-053-2</x:v>
      </x:c>
      <x:c r="B487" s="36" t="str">
        <x:v>卷三 《北山經》</x:v>
      </x:c>
      <x:c r="C487" s="37" t="str">
        <x:v>又東北二百里，曰軒轅之山，其上多銅，其下多竹。有鳥焉，其狀如梟而白首，其名曰黃鳥，其鳴自詨，食之不妒。</x:v>
      </x:c>
      <x:c r="D487" s="36" t="str">
        <x:v>軒轅之山</x:v>
      </x:c>
      <x:c r="E487" s="36" t="str">
        <x:v>山</x:v>
      </x:c>
      <x:c r="F487" s="16"/>
      <x:c r="G487" s="38" t="str">
        <x:v>标点与分段参考《山海经校注》；正文对读：https://ctext.org/shan-hai-jing/bei-shan-jing/zh</x:v>
      </x:c>
      <x:c r="H487" s="39" t="e">
        <x:f>HYPERLINK("#'山海经原文总库'!A3","↩ 返回目录")</x:f>
        <x:v>HYPERLINK is not implemented. linkLocation=#'山海经原文总库'!A3, friendlyName=↩ 返回目录</x:v>
      </x:c>
      <x:c r="I487" s="437"/>
      <x:c r="J487" s="437"/>
      <x:c r="K487" s="437" t="str">
        <x:v>待同名检索｜待建档</x:v>
      </x:c>
    </x:row>
    <x:row r="488" ht="48" customHeight="1">
      <x:c r="A488" s="36" t="str">
        <x:v>SHJ-03-054</x:v>
      </x:c>
      <x:c r="B488" s="36" t="str">
        <x:v>卷三 《北山經》</x:v>
      </x:c>
      <x:c r="C488" s="37" t="str">
        <x:v>又北二百里，曰謁戾之山，其上多松柏，有金玉。沁水出焉，南流注於河。其東有林焉，名曰丹林。丹林之水出焉，南流注於河。嬰侯之水出焉，北流注於泛水。</x:v>
      </x:c>
      <x:c r="D488" s="36" t="str">
        <x:v>謁戾之山</x:v>
      </x:c>
      <x:c r="E488" s="36" t="str">
        <x:v>山</x:v>
      </x:c>
      <x:c r="F488" s="16"/>
      <x:c r="G488" s="38" t="str">
        <x:v>标点与分段参考《山海经校注》；正文对读：https://ctext.org/shan-hai-jing/bei-shan-jing/zh</x:v>
      </x:c>
      <x:c r="H488" s="39" t="e">
        <x:f>HYPERLINK("#'山海经原文总库'!A3","↩ 返回目录")</x:f>
        <x:v>HYPERLINK is not implemented. linkLocation=#'山海经原文总库'!A3, friendlyName=↩ 返回目录</x:v>
      </x:c>
      <x:c r="I488" s="437"/>
      <x:c r="J488" s="437"/>
      <x:c r="K488" s="437" t="str">
        <x:v>待同名检索｜待建档</x:v>
      </x:c>
    </x:row>
    <x:row r="489" ht="22.5" customHeight="1">
      <x:c r="A489" s="36"/>
      <x:c r="B489" s="36"/>
      <x:c r="C489" s="37"/>
      <x:c r="D489" s="36" t="str">
        <x:v>沁水</x:v>
      </x:c>
      <x:c r="E489" s="36" t="str">
        <x:v>水系</x:v>
      </x:c>
      <x:c r="F489" s="16"/>
      <x:c r="G489" s="38"/>
      <x:c r="H489" s="39" t="e">
        <x:f>HYPERLINK("#'山海经原文总库'!A3","↩ 返回目录")</x:f>
        <x:v>HYPERLINK is not implemented. linkLocation=#'山海经原文总库'!A3, friendlyName=↩ 返回目录</x:v>
      </x:c>
      <x:c r="I489" s="437"/>
      <x:c r="J489" s="437"/>
      <x:c r="K489" s="437" t="str">
        <x:v>待同名检索｜待建档</x:v>
      </x:c>
    </x:row>
    <x:row r="490" ht="22.5" customHeight="1">
      <x:c r="A490" s="36"/>
      <x:c r="B490" s="36"/>
      <x:c r="C490" s="37"/>
      <x:c r="D490" s="36" t="str">
        <x:v>丹林之水</x:v>
      </x:c>
      <x:c r="E490" s="36" t="str">
        <x:v>水系</x:v>
      </x:c>
      <x:c r="F490" s="16"/>
      <x:c r="G490" s="38"/>
      <x:c r="H490" s="39" t="e">
        <x:f>HYPERLINK("#'山海经原文总库'!A3","↩ 返回目录")</x:f>
        <x:v>HYPERLINK is not implemented. linkLocation=#'山海经原文总库'!A3, friendlyName=↩ 返回目录</x:v>
      </x:c>
      <x:c r="I490" s="437"/>
      <x:c r="J490" s="437"/>
      <x:c r="K490" s="437" t="str">
        <x:v>待同名检索｜待建档</x:v>
      </x:c>
    </x:row>
    <x:row r="491" ht="22.5" customHeight="1">
      <x:c r="A491" s="36"/>
      <x:c r="B491" s="36"/>
      <x:c r="C491" s="37"/>
      <x:c r="D491" s="36" t="str">
        <x:v>嬰侯之水</x:v>
      </x:c>
      <x:c r="E491" s="36" t="str">
        <x:v>水系</x:v>
      </x:c>
      <x:c r="F491" s="16"/>
      <x:c r="G491" s="38"/>
      <x:c r="H491" s="39" t="e">
        <x:f>HYPERLINK("#'山海经原文总库'!A3","↩ 返回目录")</x:f>
        <x:v>HYPERLINK is not implemented. linkLocation=#'山海经原文总库'!A3, friendlyName=↩ 返回目录</x:v>
      </x:c>
      <x:c r="I491" s="437"/>
      <x:c r="J491" s="437"/>
      <x:c r="K491" s="437" t="str">
        <x:v>待同名检索｜待建档</x:v>
      </x:c>
    </x:row>
    <x:row r="492" ht="22.5" customHeight="1">
      <x:c r="A492" s="36"/>
      <x:c r="B492" s="36"/>
      <x:c r="C492" s="37"/>
      <x:c r="D492" s="36" t="str">
        <x:v>泛水</x:v>
      </x:c>
      <x:c r="E492" s="36" t="str">
        <x:v>水系</x:v>
      </x:c>
      <x:c r="F492" s="16"/>
      <x:c r="G492" s="38"/>
      <x:c r="H492" s="39" t="e">
        <x:f>HYPERLINK("#'山海经原文总库'!A3","↩ 返回目录")</x:f>
        <x:v>HYPERLINK is not implemented. linkLocation=#'山海经原文总库'!A3, friendlyName=↩ 返回目录</x:v>
      </x:c>
      <x:c r="I492" s="437"/>
      <x:c r="J492" s="437"/>
      <x:c r="K492" s="437" t="str">
        <x:v>待同名检索｜待建档</x:v>
      </x:c>
    </x:row>
    <x:row r="493" ht="22.5" customHeight="1">
      <x:c r="A493" s="36"/>
      <x:c r="B493" s="36"/>
      <x:c r="C493" s="37"/>
      <x:c r="D493" s="36" t="str">
        <x:v>丹林</x:v>
      </x:c>
      <x:c r="E493" s="36" t="str">
        <x:v>區域</x:v>
      </x:c>
      <x:c r="F493" s="16"/>
      <x:c r="G493" s="38"/>
      <x:c r="H493" s="39" t="e">
        <x:f>HYPERLINK("#'山海经原文总库'!A3","↩ 返回目录")</x:f>
        <x:v>HYPERLINK is not implemented. linkLocation=#'山海经原文总库'!A3, friendlyName=↩ 返回目录</x:v>
      </x:c>
      <x:c r="I493" s="437"/>
      <x:c r="J493" s="437"/>
      <x:c r="K493" s="437" t="str">
        <x:v>待同名检索｜待建档</x:v>
      </x:c>
    </x:row>
    <x:row r="494" ht="22.5" customHeight="1">
      <x:c r="A494" s="36"/>
      <x:c r="B494" s="36"/>
      <x:c r="C494" s="37"/>
      <x:c r="D494" s="36" t="str">
        <x:v>河</x:v>
      </x:c>
      <x:c r="E494" s="36" t="str">
        <x:v>地理名稱</x:v>
      </x:c>
      <x:c r="F494" s="16"/>
      <x:c r="G494" s="38"/>
      <x:c r="H494" s="39" t="e">
        <x:f>HYPERLINK("#'山海经原文总库'!A3","↩ 返回目录")</x:f>
        <x:v>HYPERLINK is not implemented. linkLocation=#'山海经原文总库'!A3, friendlyName=↩ 返回目录</x:v>
      </x:c>
      <x:c r="I494" s="437"/>
      <x:c r="J494" s="437"/>
      <x:c r="K494" s="437" t="str">
        <x:v>待同名检索｜待建档</x:v>
      </x:c>
    </x:row>
    <x:row r="495" ht="48" customHeight="1">
      <x:c r="A495" s="36" t="str">
        <x:v>SHJ-03-055</x:v>
      </x:c>
      <x:c r="B495" s="36" t="str">
        <x:v>卷三 《北山經》</x:v>
      </x:c>
      <x:c r="C495" s="37" t="str">
        <x:v>東三百里，曰沮洳之山，無草木，有金玉。濝水出焉，南流注於河。</x:v>
      </x:c>
      <x:c r="D495" s="36" t="str">
        <x:v>沮洳之山</x:v>
      </x:c>
      <x:c r="E495" s="36" t="str">
        <x:v>山</x:v>
      </x:c>
      <x:c r="F495" s="16"/>
      <x:c r="G495" s="38" t="str">
        <x:v>标点与分段参考《山海经校注》；正文对读：https://ctext.org/shan-hai-jing/bei-shan-jing/zh</x:v>
      </x:c>
      <x:c r="H495" s="39" t="e">
        <x:f>HYPERLINK("#'山海经原文总库'!A3","↩ 返回目录")</x:f>
        <x:v>HYPERLINK is not implemented. linkLocation=#'山海经原文总库'!A3, friendlyName=↩ 返回目录</x:v>
      </x:c>
      <x:c r="I495" s="437"/>
      <x:c r="J495" s="437"/>
      <x:c r="K495" s="437" t="str">
        <x:v>待同名检索｜待建档</x:v>
      </x:c>
    </x:row>
    <x:row r="496" ht="22.5" customHeight="1">
      <x:c r="A496" s="36"/>
      <x:c r="B496" s="36"/>
      <x:c r="C496" s="37"/>
      <x:c r="D496" s="36" t="str">
        <x:v>濝水</x:v>
      </x:c>
      <x:c r="E496" s="36" t="str">
        <x:v>水系</x:v>
      </x:c>
      <x:c r="F496" s="16"/>
      <x:c r="G496" s="38"/>
      <x:c r="H496" s="39" t="e">
        <x:f>HYPERLINK("#'山海经原文总库'!A3","↩ 返回目录")</x:f>
        <x:v>HYPERLINK is not implemented. linkLocation=#'山海经原文总库'!A3, friendlyName=↩ 返回目录</x:v>
      </x:c>
      <x:c r="I496" s="437"/>
      <x:c r="J496" s="437"/>
      <x:c r="K496" s="437" t="str">
        <x:v>待同名检索｜待建档</x:v>
      </x:c>
    </x:row>
    <x:row r="497" ht="22.5" customHeight="1">
      <x:c r="A497" s="36"/>
      <x:c r="B497" s="36"/>
      <x:c r="C497" s="37"/>
      <x:c r="D497" s="36" t="str">
        <x:v>河</x:v>
      </x:c>
      <x:c r="E497" s="36" t="str">
        <x:v>地理名稱</x:v>
      </x:c>
      <x:c r="F497" s="16"/>
      <x:c r="G497" s="38"/>
      <x:c r="H497" s="39" t="e">
        <x:f>HYPERLINK("#'山海经原文总库'!A3","↩ 返回目录")</x:f>
        <x:v>HYPERLINK is not implemented. linkLocation=#'山海经原文总库'!A3, friendlyName=↩ 返回目录</x:v>
      </x:c>
      <x:c r="I497" s="437"/>
      <x:c r="J497" s="437"/>
      <x:c r="K497" s="437" t="str">
        <x:v>待同名检索｜待建档</x:v>
      </x:c>
    </x:row>
    <x:row r="498" ht="48" customHeight="1">
      <x:c r="A498" s="36" t="str">
        <x:v>SHJ-03-056</x:v>
      </x:c>
      <x:c r="B498" s="36" t="str">
        <x:v>卷三 《北山經》</x:v>
      </x:c>
      <x:c r="C498" s="37" t="str">
        <x:v>又北三百里，曰神囷之山，其上有文石，其下有白蛇，有飛蟲。黃水出焉，而東流注於洹。滏水出焉，而東流注於歐水。</x:v>
      </x:c>
      <x:c r="D498" s="36" t="str">
        <x:v>神囷之山</x:v>
      </x:c>
      <x:c r="E498" s="36" t="str">
        <x:v>山</x:v>
      </x:c>
      <x:c r="F498" s="16"/>
      <x:c r="G498" s="38" t="str">
        <x:v>标点与分段参考《山海经校注》；正文对读：https://ctext.org/shan-hai-jing/bei-shan-jing/zh</x:v>
      </x:c>
      <x:c r="H498" s="39" t="e">
        <x:f>HYPERLINK("#'山海经原文总库'!A3","↩ 返回目录")</x:f>
        <x:v>HYPERLINK is not implemented. linkLocation=#'山海经原文总库'!A3, friendlyName=↩ 返回目录</x:v>
      </x:c>
      <x:c r="I498" s="437"/>
      <x:c r="J498" s="437"/>
      <x:c r="K498" s="437" t="str">
        <x:v>待同名检索｜待建档</x:v>
      </x:c>
    </x:row>
    <x:row r="499" ht="22.5" customHeight="1">
      <x:c r="A499" s="36"/>
      <x:c r="B499" s="36"/>
      <x:c r="C499" s="37"/>
      <x:c r="D499" s="36" t="str">
        <x:v>黃水</x:v>
      </x:c>
      <x:c r="E499" s="36" t="str">
        <x:v>水系</x:v>
      </x:c>
      <x:c r="F499" s="16"/>
      <x:c r="G499" s="38"/>
      <x:c r="H499" s="39" t="e">
        <x:f>HYPERLINK("#'山海经原文总库'!A3","↩ 返回目录")</x:f>
        <x:v>HYPERLINK is not implemented. linkLocation=#'山海经原文总库'!A3, friendlyName=↩ 返回目录</x:v>
      </x:c>
      <x:c r="I499" s="437"/>
      <x:c r="J499" s="437"/>
      <x:c r="K499" s="437" t="str">
        <x:v>待同名检索｜待建档</x:v>
      </x:c>
    </x:row>
    <x:row r="500" ht="22.5" customHeight="1">
      <x:c r="A500" s="36"/>
      <x:c r="B500" s="36"/>
      <x:c r="C500" s="37"/>
      <x:c r="D500" s="36" t="str">
        <x:v>滏水</x:v>
      </x:c>
      <x:c r="E500" s="36" t="str">
        <x:v>水系</x:v>
      </x:c>
      <x:c r="F500" s="16"/>
      <x:c r="G500" s="38"/>
      <x:c r="H500" s="39" t="e">
        <x:f>HYPERLINK("#'山海经原文总库'!A3","↩ 返回目录")</x:f>
        <x:v>HYPERLINK is not implemented. linkLocation=#'山海经原文总库'!A3, friendlyName=↩ 返回目录</x:v>
      </x:c>
      <x:c r="I500" s="437"/>
      <x:c r="J500" s="437"/>
      <x:c r="K500" s="437" t="str">
        <x:v>待同名检索｜待建档</x:v>
      </x:c>
    </x:row>
    <x:row r="501" ht="22.5" customHeight="1">
      <x:c r="A501" s="36"/>
      <x:c r="B501" s="36"/>
      <x:c r="C501" s="37"/>
      <x:c r="D501" s="36" t="str">
        <x:v>歐水</x:v>
      </x:c>
      <x:c r="E501" s="36" t="str">
        <x:v>水系</x:v>
      </x:c>
      <x:c r="F501" s="16"/>
      <x:c r="G501" s="38"/>
      <x:c r="H501" s="39" t="e">
        <x:f>HYPERLINK("#'山海经原文总库'!A3","↩ 返回目录")</x:f>
        <x:v>HYPERLINK is not implemented. linkLocation=#'山海经原文总库'!A3, friendlyName=↩ 返回目录</x:v>
      </x:c>
      <x:c r="I501" s="437"/>
      <x:c r="J501" s="437"/>
      <x:c r="K501" s="437" t="str">
        <x:v>待同名检索｜待建档</x:v>
      </x:c>
    </x:row>
    <x:row r="502" ht="64.5" customHeight="1">
      <x:c r="A502" s="36" t="str">
        <x:v>SHJ-03-057-1</x:v>
      </x:c>
      <x:c r="B502" s="36" t="str">
        <x:v>卷三 《北山經》</x:v>
      </x:c>
      <x:c r="C502" s="37" t="str">
        <x:v>又北二百里，曰發鳩之山，其上多柘木。有鳥焉，其狀如烏，文首、白喙、赤足，名曰精衛，其鳴自詨。是炎帝之少女名曰女娃，女娃游於東海，溺而不返，故為精衛，常銜西山之木石，以堙於東海。漳水出焉，東流注於河。</x:v>
      </x:c>
      <x:c r="D502" s="36" t="str">
        <x:v>發鳩之山</x:v>
      </x:c>
      <x:c r="E502" s="36" t="str">
        <x:v>山</x:v>
      </x:c>
      <x:c r="F502" s="16"/>
      <x:c r="G502" s="38" t="str">
        <x:v>标点与分段参考《山海经校注》；正文对读：https://ctext.org/shan-hai-jing/bei-shan-jing/zh</x:v>
      </x:c>
      <x:c r="H502" s="39" t="e">
        <x:f>HYPERLINK("#'山海经原文总库'!A3","↩ 返回目录")</x:f>
        <x:v>HYPERLINK is not implemented. linkLocation=#'山海经原文总库'!A3, friendlyName=↩ 返回目录</x:v>
      </x:c>
      <x:c r="I502" s="437"/>
      <x:c r="J502" s="437"/>
      <x:c r="K502" s="437" t="str">
        <x:v>待同名检索｜待建档</x:v>
      </x:c>
    </x:row>
    <x:row r="503" ht="22.5" customHeight="1">
      <x:c r="A503" s="36"/>
      <x:c r="B503" s="36"/>
      <x:c r="C503" s="37"/>
      <x:c r="D503" s="36" t="str">
        <x:v>漳水</x:v>
      </x:c>
      <x:c r="E503" s="36" t="str">
        <x:v>水系</x:v>
      </x:c>
      <x:c r="F503" s="16"/>
      <x:c r="G503" s="38"/>
      <x:c r="H503" s="39" t="e">
        <x:f>HYPERLINK("#'山海经原文总库'!A3","↩ 返回目录")</x:f>
        <x:v>HYPERLINK is not implemented. linkLocation=#'山海经原文总库'!A3, friendlyName=↩ 返回目录</x:v>
      </x:c>
      <x:c r="I503" s="437"/>
      <x:c r="J503" s="437"/>
      <x:c r="K503" s="437" t="str">
        <x:v>待同名检索｜待建档</x:v>
      </x:c>
    </x:row>
    <x:row r="504" ht="22.5" customHeight="1">
      <x:c r="A504" s="36"/>
      <x:c r="B504" s="36"/>
      <x:c r="C504" s="37"/>
      <x:c r="D504" s="36" t="str">
        <x:v>河</x:v>
      </x:c>
      <x:c r="E504" s="36" t="str">
        <x:v>地理名稱</x:v>
      </x:c>
      <x:c r="F504" s="16"/>
      <x:c r="G504" s="38"/>
      <x:c r="H504" s="39" t="e">
        <x:f>HYPERLINK("#'山海经原文总库'!A3","↩ 返回目录")</x:f>
        <x:v>HYPERLINK is not implemented. linkLocation=#'山海经原文总库'!A3, friendlyName=↩ 返回目录</x:v>
      </x:c>
      <x:c r="I504" s="437"/>
      <x:c r="J504" s="437"/>
      <x:c r="K504" s="437" t="str">
        <x:v>待同名检索｜待建档</x:v>
      </x:c>
    </x:row>
    <x:row r="505" ht="22.5" customHeight="1">
      <x:c r="A505" s="36"/>
      <x:c r="B505" s="36"/>
      <x:c r="C505" s="37"/>
      <x:c r="D505" s="36" t="str">
        <x:v>東海</x:v>
      </x:c>
      <x:c r="E505" s="36" t="str">
        <x:v>海域</x:v>
      </x:c>
      <x:c r="F505" s="16"/>
      <x:c r="G505" s="38"/>
      <x:c r="H505" s="39" t="e">
        <x:f>HYPERLINK("#'山海经原文总库'!A3","↩ 返回目录")</x:f>
        <x:v>HYPERLINK is not implemented. linkLocation=#'山海经原文总库'!A3, friendlyName=↩ 返回目录</x:v>
      </x:c>
      <x:c r="I505" s="437"/>
      <x:c r="J505" s="437"/>
      <x:c r="K505" s="437" t="str">
        <x:v>待同名检索｜待建档</x:v>
      </x:c>
    </x:row>
    <x:row r="506" ht="48" customHeight="1">
      <x:c r="A506" s="36" t="str">
        <x:v>SHJ-03-057-2</x:v>
      </x:c>
      <x:c r="B506" s="36" t="str">
        <x:v>卷三 《北山經》</x:v>
      </x:c>
      <x:c r="C506" s="37" t="str">
        <x:v>又東北百二十里，曰少山，其上有金玉，其下有銅。清漳之水出焉，東流於濁漳之水。</x:v>
      </x:c>
      <x:c r="D506" s="36" t="str">
        <x:v>少山</x:v>
      </x:c>
      <x:c r="E506" s="36" t="str">
        <x:v>山</x:v>
      </x:c>
      <x:c r="F506" s="16"/>
      <x:c r="G506" s="38" t="str">
        <x:v>标点与分段参考《山海经校注》；正文对读：https://ctext.org/shan-hai-jing/bei-shan-jing/zh</x:v>
      </x:c>
      <x:c r="H506" s="39" t="e">
        <x:f>HYPERLINK("#'山海经原文总库'!A3","↩ 返回目录")</x:f>
        <x:v>HYPERLINK is not implemented. linkLocation=#'山海经原文总库'!A3, friendlyName=↩ 返回目录</x:v>
      </x:c>
      <x:c r="I506" s="437"/>
      <x:c r="J506" s="437"/>
      <x:c r="K506" s="437" t="str">
        <x:v>待同名检索｜待建档</x:v>
      </x:c>
    </x:row>
    <x:row r="507" ht="22.5" customHeight="1">
      <x:c r="A507" s="36"/>
      <x:c r="B507" s="36"/>
      <x:c r="C507" s="37"/>
      <x:c r="D507" s="36" t="str">
        <x:v>清漳之水</x:v>
      </x:c>
      <x:c r="E507" s="36" t="str">
        <x:v>水系</x:v>
      </x:c>
      <x:c r="F507" s="16"/>
      <x:c r="G507" s="38"/>
      <x:c r="H507" s="39" t="e">
        <x:f>HYPERLINK("#'山海经原文总库'!A3","↩ 返回目录")</x:f>
        <x:v>HYPERLINK is not implemented. linkLocation=#'山海经原文总库'!A3, friendlyName=↩ 返回目录</x:v>
      </x:c>
      <x:c r="I507" s="437"/>
      <x:c r="J507" s="437"/>
      <x:c r="K507" s="437" t="str">
        <x:v>待同名检索｜待建档</x:v>
      </x:c>
    </x:row>
    <x:row r="508" ht="48" customHeight="1">
      <x:c r="A508" s="36" t="str">
        <x:v>SHJ-03-057-3</x:v>
      </x:c>
      <x:c r="B508" s="36" t="str">
        <x:v>卷三 《北山經》</x:v>
      </x:c>
      <x:c r="C508" s="37" t="str">
        <x:v>又東北二百里，曰錫山，其上多玉，其下有砥。牛首之水出焉，而東流注於滏水。</x:v>
      </x:c>
      <x:c r="D508" s="36" t="str">
        <x:v>錫山</x:v>
      </x:c>
      <x:c r="E508" s="36" t="str">
        <x:v>山</x:v>
      </x:c>
      <x:c r="F508" s="16"/>
      <x:c r="G508" s="38" t="str">
        <x:v>标点与分段参考《山海经校注》；正文对读：https://ctext.org/shan-hai-jing/bei-shan-jing/zh</x:v>
      </x:c>
      <x:c r="H508" s="39" t="e">
        <x:f>HYPERLINK("#'山海经原文总库'!A3","↩ 返回目录")</x:f>
        <x:v>HYPERLINK is not implemented. linkLocation=#'山海经原文总库'!A3, friendlyName=↩ 返回目录</x:v>
      </x:c>
      <x:c r="I508" s="437"/>
      <x:c r="J508" s="437"/>
      <x:c r="K508" s="437" t="str">
        <x:v>待同名检索｜待建档</x:v>
      </x:c>
    </x:row>
    <x:row r="509" ht="22.5" customHeight="1">
      <x:c r="A509" s="36"/>
      <x:c r="B509" s="36"/>
      <x:c r="C509" s="37"/>
      <x:c r="D509" s="36" t="str">
        <x:v>牛首之水</x:v>
      </x:c>
      <x:c r="E509" s="36" t="str">
        <x:v>水系</x:v>
      </x:c>
      <x:c r="F509" s="16"/>
      <x:c r="G509" s="38"/>
      <x:c r="H509" s="39" t="e">
        <x:f>HYPERLINK("#'山海经原文总库'!A3","↩ 返回目录")</x:f>
        <x:v>HYPERLINK is not implemented. linkLocation=#'山海经原文总库'!A3, friendlyName=↩ 返回目录</x:v>
      </x:c>
      <x:c r="I509" s="437"/>
      <x:c r="J509" s="437"/>
      <x:c r="K509" s="437" t="str">
        <x:v>待同名检索｜待建档</x:v>
      </x:c>
    </x:row>
    <x:row r="510" ht="22.5" customHeight="1">
      <x:c r="A510" s="36"/>
      <x:c r="B510" s="36"/>
      <x:c r="C510" s="37"/>
      <x:c r="D510" s="36" t="str">
        <x:v>滏水</x:v>
      </x:c>
      <x:c r="E510" s="36" t="str">
        <x:v>水系</x:v>
      </x:c>
      <x:c r="F510" s="16"/>
      <x:c r="G510" s="38"/>
      <x:c r="H510" s="39" t="e">
        <x:f>HYPERLINK("#'山海经原文总库'!A3","↩ 返回目录")</x:f>
        <x:v>HYPERLINK is not implemented. linkLocation=#'山海经原文总库'!A3, friendlyName=↩ 返回目录</x:v>
      </x:c>
      <x:c r="I510" s="437"/>
      <x:c r="J510" s="437"/>
      <x:c r="K510" s="437" t="str">
        <x:v>待同名检索｜待建档</x:v>
      </x:c>
    </x:row>
    <x:row r="511" ht="48" customHeight="1">
      <x:c r="A511" s="36" t="str">
        <x:v>SHJ-03-058</x:v>
      </x:c>
      <x:c r="B511" s="36" t="str">
        <x:v>卷三 《北山經》</x:v>
      </x:c>
      <x:c r="C511" s="37" t="str">
        <x:v>又北二百里，曰景山，有美玉。景水出焉，東南流注於海澤。</x:v>
      </x:c>
      <x:c r="D511" s="36" t="str">
        <x:v>景山</x:v>
      </x:c>
      <x:c r="E511" s="36" t="str">
        <x:v>山</x:v>
      </x:c>
      <x:c r="F511" s="16"/>
      <x:c r="G511" s="38" t="str">
        <x:v>标点与分段参考《山海经校注》；正文对读：https://ctext.org/shan-hai-jing/bei-shan-jing/zh</x:v>
      </x:c>
      <x:c r="H511" s="39" t="e">
        <x:f>HYPERLINK("#'山海经原文总库'!A3","↩ 返回目录")</x:f>
        <x:v>HYPERLINK is not implemented. linkLocation=#'山海经原文总库'!A3, friendlyName=↩ 返回目录</x:v>
      </x:c>
      <x:c r="I511" s="437"/>
      <x:c r="J511" s="437"/>
      <x:c r="K511" s="437" t="str">
        <x:v>待同名检索｜待建档</x:v>
      </x:c>
    </x:row>
    <x:row r="512" ht="22.5" customHeight="1">
      <x:c r="A512" s="36"/>
      <x:c r="B512" s="36"/>
      <x:c r="C512" s="37"/>
      <x:c r="D512" s="36" t="str">
        <x:v>景水</x:v>
      </x:c>
      <x:c r="E512" s="36" t="str">
        <x:v>水系</x:v>
      </x:c>
      <x:c r="F512" s="16"/>
      <x:c r="G512" s="38"/>
      <x:c r="H512" s="39" t="e">
        <x:f>HYPERLINK("#'山海经原文总库'!A3","↩ 返回目录")</x:f>
        <x:v>HYPERLINK is not implemented. linkLocation=#'山海经原文总库'!A3, friendlyName=↩ 返回目录</x:v>
      </x:c>
      <x:c r="I512" s="437"/>
      <x:c r="J512" s="437"/>
      <x:c r="K512" s="437" t="str">
        <x:v>待同名检索｜待建档</x:v>
      </x:c>
    </x:row>
    <x:row r="513" ht="22.5" customHeight="1">
      <x:c r="A513" s="36"/>
      <x:c r="B513" s="36"/>
      <x:c r="C513" s="37"/>
      <x:c r="D513" s="36" t="str">
        <x:v>海澤</x:v>
      </x:c>
      <x:c r="E513" s="36" t="str">
        <x:v>水系</x:v>
      </x:c>
      <x:c r="F513" s="16"/>
      <x:c r="G513" s="38"/>
      <x:c r="H513" s="39" t="e">
        <x:f>HYPERLINK("#'山海经原文总库'!A3","↩ 返回目录")</x:f>
        <x:v>HYPERLINK is not implemented. linkLocation=#'山海经原文总库'!A3, friendlyName=↩ 返回目录</x:v>
      </x:c>
      <x:c r="I513" s="437"/>
      <x:c r="J513" s="437"/>
      <x:c r="K513" s="437" t="str">
        <x:v>待同名检索｜待建档</x:v>
      </x:c>
    </x:row>
    <x:row r="514" ht="22.5" customHeight="1">
      <x:c r="A514" s="36"/>
      <x:c r="B514" s="36"/>
      <x:c r="C514" s="37"/>
      <x:c r="D514" s="36" t="str">
        <x:v>流注於海澤</x:v>
      </x:c>
      <x:c r="E514" s="36" t="str">
        <x:v>澤／淵</x:v>
      </x:c>
      <x:c r="F514" s="16"/>
      <x:c r="G514" s="38"/>
      <x:c r="H514" s="39" t="e">
        <x:f>HYPERLINK("#'山海经原文总库'!A3","↩ 返回目录")</x:f>
        <x:v>HYPERLINK is not implemented. linkLocation=#'山海经原文总库'!A3, friendlyName=↩ 返回目录</x:v>
      </x:c>
      <x:c r="I514" s="437"/>
      <x:c r="J514" s="437"/>
      <x:c r="K514" s="437" t="str">
        <x:v>待同名检索｜待建档</x:v>
      </x:c>
    </x:row>
    <x:row r="515" ht="48" customHeight="1">
      <x:c r="A515" s="36" t="str">
        <x:v>SHJ-03-059</x:v>
      </x:c>
      <x:c r="B515" s="36" t="str">
        <x:v>卷三 《北山經》</x:v>
      </x:c>
      <x:c r="C515" s="37" t="str">
        <x:v>又北百里，曰題首之山，有玉焉，多石，無水。</x:v>
      </x:c>
      <x:c r="D515" s="36" t="str">
        <x:v>題首之山</x:v>
      </x:c>
      <x:c r="E515" s="36" t="str">
        <x:v>山</x:v>
      </x:c>
      <x:c r="F515" s="16"/>
      <x:c r="G515" s="38" t="str">
        <x:v>标点与分段参考《山海经校注》；正文对读：https://ctext.org/shan-hai-jing/bei-shan-jing/zh</x:v>
      </x:c>
      <x:c r="H515" s="39" t="e">
        <x:f>HYPERLINK("#'山海经原文总库'!A3","↩ 返回目录")</x:f>
        <x:v>HYPERLINK is not implemented. linkLocation=#'山海经原文总库'!A3, friendlyName=↩ 返回目录</x:v>
      </x:c>
      <x:c r="I515" s="437"/>
      <x:c r="J515" s="437"/>
      <x:c r="K515" s="437" t="str">
        <x:v>待同名检索｜待建档</x:v>
      </x:c>
    </x:row>
    <x:row r="516" ht="48" customHeight="1">
      <x:c r="A516" s="36" t="str">
        <x:v>SHJ-03-060</x:v>
      </x:c>
      <x:c r="B516" s="36" t="str">
        <x:v>卷三 《北山經》</x:v>
      </x:c>
      <x:c r="C516" s="37" t="str">
        <x:v>又北百里，曰繡山，其上有玉、青碧，其木多栒，其草多芍藥、芎藭。洧水出焉，而東流注於河。其中有？、黽。</x:v>
      </x:c>
      <x:c r="D516" s="36" t="str">
        <x:v>繡山</x:v>
      </x:c>
      <x:c r="E516" s="36" t="str">
        <x:v>山</x:v>
      </x:c>
      <x:c r="F516" s="16"/>
      <x:c r="G516" s="38" t="str">
        <x:v>标点与分段参考《山海经校注》；正文对读：https://ctext.org/shan-hai-jing/bei-shan-jing/zh</x:v>
      </x:c>
      <x:c r="H516" s="39" t="e">
        <x:f>HYPERLINK("#'山海经原文总库'!A3","↩ 返回目录")</x:f>
        <x:v>HYPERLINK is not implemented. linkLocation=#'山海经原文总库'!A3, friendlyName=↩ 返回目录</x:v>
      </x:c>
      <x:c r="I516" s="437"/>
      <x:c r="J516" s="437"/>
      <x:c r="K516" s="437" t="str">
        <x:v>待同名检索｜待建档</x:v>
      </x:c>
    </x:row>
    <x:row r="517" ht="22.5" customHeight="1">
      <x:c r="A517" s="36"/>
      <x:c r="B517" s="36"/>
      <x:c r="C517" s="37"/>
      <x:c r="D517" s="36" t="str">
        <x:v>洧水</x:v>
      </x:c>
      <x:c r="E517" s="36" t="str">
        <x:v>水系</x:v>
      </x:c>
      <x:c r="F517" s="16"/>
      <x:c r="G517" s="38"/>
      <x:c r="H517" s="39" t="e">
        <x:f>HYPERLINK("#'山海经原文总库'!A3","↩ 返回目录")</x:f>
        <x:v>HYPERLINK is not implemented. linkLocation=#'山海经原文总库'!A3, friendlyName=↩ 返回目录</x:v>
      </x:c>
      <x:c r="I517" s="437"/>
      <x:c r="J517" s="437"/>
      <x:c r="K517" s="437" t="str">
        <x:v>待同名检索｜待建档</x:v>
      </x:c>
    </x:row>
    <x:row r="518" ht="22.5" customHeight="1">
      <x:c r="A518" s="36"/>
      <x:c r="B518" s="36"/>
      <x:c r="C518" s="37"/>
      <x:c r="D518" s="36" t="str">
        <x:v>河</x:v>
      </x:c>
      <x:c r="E518" s="36" t="str">
        <x:v>地理名稱</x:v>
      </x:c>
      <x:c r="F518" s="16"/>
      <x:c r="G518" s="38"/>
      <x:c r="H518" s="39" t="e">
        <x:f>HYPERLINK("#'山海经原文总库'!A3","↩ 返回目录")</x:f>
        <x:v>HYPERLINK is not implemented. linkLocation=#'山海经原文总库'!A3, friendlyName=↩ 返回目录</x:v>
      </x:c>
      <x:c r="I518" s="437"/>
      <x:c r="J518" s="437"/>
      <x:c r="K518" s="437" t="str">
        <x:v>待同名检索｜待建档</x:v>
      </x:c>
    </x:row>
    <x:row r="519" ht="48" customHeight="1">
      <x:c r="A519" s="36" t="str">
        <x:v>SHJ-03-061</x:v>
      </x:c>
      <x:c r="B519" s="36" t="str">
        <x:v>卷三 《北山經》</x:v>
      </x:c>
      <x:c r="C519" s="37" t="str">
        <x:v>又北百二十里，曰松山，陽水出焉，東北流注於河。</x:v>
      </x:c>
      <x:c r="D519" s="36" t="str">
        <x:v>松山</x:v>
      </x:c>
      <x:c r="E519" s="36" t="str">
        <x:v>山</x:v>
      </x:c>
      <x:c r="F519" s="16"/>
      <x:c r="G519" s="38" t="str">
        <x:v>标点与分段参考《山海经校注》；正文对读：https://ctext.org/shan-hai-jing/bei-shan-jing/zh</x:v>
      </x:c>
      <x:c r="H519" s="39" t="e">
        <x:f>HYPERLINK("#'山海经原文总库'!A3","↩ 返回目录")</x:f>
        <x:v>HYPERLINK is not implemented. linkLocation=#'山海经原文总库'!A3, friendlyName=↩ 返回目录</x:v>
      </x:c>
      <x:c r="I519" s="437"/>
      <x:c r="J519" s="437"/>
      <x:c r="K519" s="437" t="str">
        <x:v>待同名检索｜待建档</x:v>
      </x:c>
    </x:row>
    <x:row r="520" ht="22.5" customHeight="1">
      <x:c r="A520" s="36"/>
      <x:c r="B520" s="36"/>
      <x:c r="C520" s="37"/>
      <x:c r="D520" s="36" t="str">
        <x:v>陽水</x:v>
      </x:c>
      <x:c r="E520" s="36" t="str">
        <x:v>水系</x:v>
      </x:c>
      <x:c r="F520" s="16"/>
      <x:c r="G520" s="38"/>
      <x:c r="H520" s="39" t="e">
        <x:f>HYPERLINK("#'山海经原文总库'!A3","↩ 返回目录")</x:f>
        <x:v>HYPERLINK is not implemented. linkLocation=#'山海经原文总库'!A3, friendlyName=↩ 返回目录</x:v>
      </x:c>
      <x:c r="I520" s="437"/>
      <x:c r="J520" s="437"/>
      <x:c r="K520" s="437" t="str">
        <x:v>待同名检索｜待建档</x:v>
      </x:c>
    </x:row>
    <x:row r="521" ht="22.5" customHeight="1">
      <x:c r="A521" s="36"/>
      <x:c r="B521" s="36"/>
      <x:c r="C521" s="37"/>
      <x:c r="D521" s="36" t="str">
        <x:v>河</x:v>
      </x:c>
      <x:c r="E521" s="36" t="str">
        <x:v>地理名稱</x:v>
      </x:c>
      <x:c r="F521" s="16"/>
      <x:c r="G521" s="38"/>
      <x:c r="H521" s="39" t="e">
        <x:f>HYPERLINK("#'山海经原文总库'!A3","↩ 返回目录")</x:f>
        <x:v>HYPERLINK is not implemented. linkLocation=#'山海经原文总库'!A3, friendlyName=↩ 返回目录</x:v>
      </x:c>
      <x:c r="I521" s="437"/>
      <x:c r="J521" s="437"/>
      <x:c r="K521" s="437" t="str">
        <x:v>待同名检索｜待建档</x:v>
      </x:c>
    </x:row>
    <x:row r="522" ht="48" customHeight="1">
      <x:c r="A522" s="36" t="str">
        <x:v>SHJ-03-062</x:v>
      </x:c>
      <x:c r="B522" s="36" t="str">
        <x:v>卷三 《北山經》</x:v>
      </x:c>
      <x:c r="C522" s="37" t="str">
        <x:v>又北百二十里，曰敦與之山，其上無草木，有金玉。溹水出於其陽，而東流注於泰陸之水；泜水出於其陰，而東流注於彭水。槐水出焉，而東流注於泜澤。</x:v>
      </x:c>
      <x:c r="D522" s="36" t="str">
        <x:v>敦與之山</x:v>
      </x:c>
      <x:c r="E522" s="36" t="str">
        <x:v>山</x:v>
      </x:c>
      <x:c r="F522" s="16"/>
      <x:c r="G522" s="38" t="str">
        <x:v>标点与分段参考《山海经校注》；正文对读：https://ctext.org/shan-hai-jing/bei-shan-jing/zh</x:v>
      </x:c>
      <x:c r="H522" s="39" t="e">
        <x:f>HYPERLINK("#'山海经原文总库'!A3","↩ 返回目录")</x:f>
        <x:v>HYPERLINK is not implemented. linkLocation=#'山海经原文总库'!A3, friendlyName=↩ 返回目录</x:v>
      </x:c>
      <x:c r="I522" s="437"/>
      <x:c r="J522" s="437"/>
      <x:c r="K522" s="437" t="str">
        <x:v>待同名检索｜待建档</x:v>
      </x:c>
    </x:row>
    <x:row r="523" ht="22.5" customHeight="1">
      <x:c r="A523" s="36"/>
      <x:c r="B523" s="36"/>
      <x:c r="C523" s="37"/>
      <x:c r="D523" s="36" t="str">
        <x:v>溹水</x:v>
      </x:c>
      <x:c r="E523" s="36" t="str">
        <x:v>水系</x:v>
      </x:c>
      <x:c r="F523" s="16"/>
      <x:c r="G523" s="38"/>
      <x:c r="H523" s="39" t="e">
        <x:f>HYPERLINK("#'山海经原文总库'!A3","↩ 返回目录")</x:f>
        <x:v>HYPERLINK is not implemented. linkLocation=#'山海经原文总库'!A3, friendlyName=↩ 返回目录</x:v>
      </x:c>
      <x:c r="I523" s="437"/>
      <x:c r="J523" s="437"/>
      <x:c r="K523" s="437" t="str">
        <x:v>待同名检索｜待建档</x:v>
      </x:c>
    </x:row>
    <x:row r="524" ht="22.5" customHeight="1">
      <x:c r="A524" s="36"/>
      <x:c r="B524" s="36"/>
      <x:c r="C524" s="37"/>
      <x:c r="D524" s="36" t="str">
        <x:v>泜水</x:v>
      </x:c>
      <x:c r="E524" s="36" t="str">
        <x:v>水系</x:v>
      </x:c>
      <x:c r="F524" s="16"/>
      <x:c r="G524" s="38"/>
      <x:c r="H524" s="39" t="e">
        <x:f>HYPERLINK("#'山海经原文总库'!A3","↩ 返回目录")</x:f>
        <x:v>HYPERLINK is not implemented. linkLocation=#'山海经原文总库'!A3, friendlyName=↩ 返回目录</x:v>
      </x:c>
      <x:c r="I524" s="437"/>
      <x:c r="J524" s="437"/>
      <x:c r="K524" s="437" t="str">
        <x:v>待同名检索｜待建档</x:v>
      </x:c>
    </x:row>
    <x:row r="525" ht="22.5" customHeight="1">
      <x:c r="A525" s="36"/>
      <x:c r="B525" s="36"/>
      <x:c r="C525" s="37"/>
      <x:c r="D525" s="36" t="str">
        <x:v>槐水</x:v>
      </x:c>
      <x:c r="E525" s="36" t="str">
        <x:v>水系</x:v>
      </x:c>
      <x:c r="F525" s="16"/>
      <x:c r="G525" s="38"/>
      <x:c r="H525" s="39" t="e">
        <x:f>HYPERLINK("#'山海经原文总库'!A3","↩ 返回目录")</x:f>
        <x:v>HYPERLINK is not implemented. linkLocation=#'山海经原文总库'!A3, friendlyName=↩ 返回目录</x:v>
      </x:c>
      <x:c r="I525" s="437"/>
      <x:c r="J525" s="437"/>
      <x:c r="K525" s="437" t="str">
        <x:v>待同名检索｜待建档</x:v>
      </x:c>
    </x:row>
    <x:row r="526" ht="22.5" customHeight="1">
      <x:c r="A526" s="36"/>
      <x:c r="B526" s="36"/>
      <x:c r="C526" s="37"/>
      <x:c r="D526" s="36" t="str">
        <x:v>泰陸之水</x:v>
      </x:c>
      <x:c r="E526" s="36" t="str">
        <x:v>水系</x:v>
      </x:c>
      <x:c r="F526" s="16"/>
      <x:c r="G526" s="38"/>
      <x:c r="H526" s="39" t="e">
        <x:f>HYPERLINK("#'山海经原文总库'!A3","↩ 返回目录")</x:f>
        <x:v>HYPERLINK is not implemented. linkLocation=#'山海经原文总库'!A3, friendlyName=↩ 返回目录</x:v>
      </x:c>
      <x:c r="I526" s="437"/>
      <x:c r="J526" s="437"/>
      <x:c r="K526" s="437" t="str">
        <x:v>待同名检索｜待建档</x:v>
      </x:c>
    </x:row>
    <x:row r="527" ht="22.5" customHeight="1">
      <x:c r="A527" s="36"/>
      <x:c r="B527" s="36"/>
      <x:c r="C527" s="37"/>
      <x:c r="D527" s="36" t="str">
        <x:v>彭水</x:v>
      </x:c>
      <x:c r="E527" s="36" t="str">
        <x:v>水系</x:v>
      </x:c>
      <x:c r="F527" s="16"/>
      <x:c r="G527" s="38"/>
      <x:c r="H527" s="39" t="e">
        <x:f>HYPERLINK("#'山海经原文总库'!A3","↩ 返回目录")</x:f>
        <x:v>HYPERLINK is not implemented. linkLocation=#'山海经原文总库'!A3, friendlyName=↩ 返回目录</x:v>
      </x:c>
      <x:c r="I527" s="437"/>
      <x:c r="J527" s="437"/>
      <x:c r="K527" s="437" t="str">
        <x:v>待同名检索｜待建档</x:v>
      </x:c>
    </x:row>
    <x:row r="528" ht="22.5" customHeight="1">
      <x:c r="A528" s="36"/>
      <x:c r="B528" s="36"/>
      <x:c r="C528" s="37"/>
      <x:c r="D528" s="36" t="str">
        <x:v>泜澤</x:v>
      </x:c>
      <x:c r="E528" s="36" t="str">
        <x:v>水系</x:v>
      </x:c>
      <x:c r="F528" s="16"/>
      <x:c r="G528" s="38"/>
      <x:c r="H528" s="39" t="e">
        <x:f>HYPERLINK("#'山海经原文总库'!A3","↩ 返回目录")</x:f>
        <x:v>HYPERLINK is not implemented. linkLocation=#'山海经原文总库'!A3, friendlyName=↩ 返回目录</x:v>
      </x:c>
      <x:c r="I528" s="437"/>
      <x:c r="J528" s="437"/>
      <x:c r="K528" s="437" t="str">
        <x:v>待同名检索｜待建档</x:v>
      </x:c>
    </x:row>
    <x:row r="529" ht="48" customHeight="1">
      <x:c r="A529" s="36" t="str">
        <x:v>SHJ-03-063</x:v>
      </x:c>
      <x:c r="B529" s="36" t="str">
        <x:v>卷三 《北山經》</x:v>
      </x:c>
      <x:c r="C529" s="37" t="str">
        <x:v>又北百七十里，曰柘山，其陽有金玉，其陰有鐵。歷聚之水出焉，而北流注於洧水。</x:v>
      </x:c>
      <x:c r="D529" s="36" t="str">
        <x:v>柘山</x:v>
      </x:c>
      <x:c r="E529" s="36" t="str">
        <x:v>山</x:v>
      </x:c>
      <x:c r="F529" s="16"/>
      <x:c r="G529" s="38" t="str">
        <x:v>标点与分段参考《山海经校注》；正文对读：https://ctext.org/shan-hai-jing/bei-shan-jing/zh</x:v>
      </x:c>
      <x:c r="H529" s="39" t="e">
        <x:f>HYPERLINK("#'山海经原文总库'!A3","↩ 返回目录")</x:f>
        <x:v>HYPERLINK is not implemented. linkLocation=#'山海经原文总库'!A3, friendlyName=↩ 返回目录</x:v>
      </x:c>
      <x:c r="I529" s="437"/>
      <x:c r="J529" s="437"/>
      <x:c r="K529" s="437" t="str">
        <x:v>待同名检索｜待建档</x:v>
      </x:c>
    </x:row>
    <x:row r="530" ht="22.5" customHeight="1">
      <x:c r="A530" s="36"/>
      <x:c r="B530" s="36"/>
      <x:c r="C530" s="37"/>
      <x:c r="D530" s="36" t="str">
        <x:v>歷聚之水</x:v>
      </x:c>
      <x:c r="E530" s="36" t="str">
        <x:v>水系</x:v>
      </x:c>
      <x:c r="F530" s="16"/>
      <x:c r="G530" s="38"/>
      <x:c r="H530" s="39" t="e">
        <x:f>HYPERLINK("#'山海经原文总库'!A3","↩ 返回目录")</x:f>
        <x:v>HYPERLINK is not implemented. linkLocation=#'山海经原文总库'!A3, friendlyName=↩ 返回目录</x:v>
      </x:c>
      <x:c r="I530" s="437"/>
      <x:c r="J530" s="437"/>
      <x:c r="K530" s="437" t="str">
        <x:v>待同名检索｜待建档</x:v>
      </x:c>
    </x:row>
    <x:row r="531" ht="22.5" customHeight="1">
      <x:c r="A531" s="36"/>
      <x:c r="B531" s="36"/>
      <x:c r="C531" s="37"/>
      <x:c r="D531" s="36" t="str">
        <x:v>洧水</x:v>
      </x:c>
      <x:c r="E531" s="36" t="str">
        <x:v>水系</x:v>
      </x:c>
      <x:c r="F531" s="16"/>
      <x:c r="G531" s="38"/>
      <x:c r="H531" s="39" t="e">
        <x:f>HYPERLINK("#'山海经原文总库'!A3","↩ 返回目录")</x:f>
        <x:v>HYPERLINK is not implemented. linkLocation=#'山海经原文总库'!A3, friendlyName=↩ 返回目录</x:v>
      </x:c>
      <x:c r="I531" s="437"/>
      <x:c r="J531" s="437"/>
      <x:c r="K531" s="437" t="str">
        <x:v>待同名检索｜待建档</x:v>
      </x:c>
    </x:row>
    <x:row r="532" ht="48" customHeight="1">
      <x:c r="A532" s="36" t="str">
        <x:v>SHJ-03-064</x:v>
      </x:c>
      <x:c r="B532" s="36" t="str">
        <x:v>卷三 《北山經》</x:v>
      </x:c>
      <x:c r="C532" s="37" t="str">
        <x:v>又北三百里，曰維龍之山，其上有碧玉，其陽有金，其陰有鐵。肥水出焉，而東流注於皋澤，其中多礨石。敞鐵之水出焉，而北流注於大澤。</x:v>
      </x:c>
      <x:c r="D532" s="36" t="str">
        <x:v>維龍之山</x:v>
      </x:c>
      <x:c r="E532" s="36" t="str">
        <x:v>山</x:v>
      </x:c>
      <x:c r="F532" s="16"/>
      <x:c r="G532" s="38" t="str">
        <x:v>标点与分段参考《山海经校注》；正文对读：https://ctext.org/shan-hai-jing/bei-shan-jing/zh</x:v>
      </x:c>
      <x:c r="H532" s="39" t="e">
        <x:f>HYPERLINK("#'山海经原文总库'!A3","↩ 返回目录")</x:f>
        <x:v>HYPERLINK is not implemented. linkLocation=#'山海经原文总库'!A3, friendlyName=↩ 返回目录</x:v>
      </x:c>
      <x:c r="I532" s="437"/>
      <x:c r="J532" s="437"/>
      <x:c r="K532" s="437" t="str">
        <x:v>待同名检索｜待建档</x:v>
      </x:c>
    </x:row>
    <x:row r="533" ht="22.5" customHeight="1">
      <x:c r="A533" s="36"/>
      <x:c r="B533" s="36"/>
      <x:c r="C533" s="37"/>
      <x:c r="D533" s="36" t="str">
        <x:v>肥水</x:v>
      </x:c>
      <x:c r="E533" s="36" t="str">
        <x:v>水系</x:v>
      </x:c>
      <x:c r="F533" s="16"/>
      <x:c r="G533" s="38"/>
      <x:c r="H533" s="39" t="e">
        <x:f>HYPERLINK("#'山海经原文总库'!A3","↩ 返回目录")</x:f>
        <x:v>HYPERLINK is not implemented. linkLocation=#'山海经原文总库'!A3, friendlyName=↩ 返回目录</x:v>
      </x:c>
      <x:c r="I533" s="437"/>
      <x:c r="J533" s="437"/>
      <x:c r="K533" s="437" t="str">
        <x:v>待同名检索｜待建档</x:v>
      </x:c>
    </x:row>
    <x:row r="534" ht="22.5" customHeight="1">
      <x:c r="A534" s="36"/>
      <x:c r="B534" s="36"/>
      <x:c r="C534" s="37"/>
      <x:c r="D534" s="36" t="str">
        <x:v>敞鐵之水</x:v>
      </x:c>
      <x:c r="E534" s="36" t="str">
        <x:v>水系</x:v>
      </x:c>
      <x:c r="F534" s="16"/>
      <x:c r="G534" s="38"/>
      <x:c r="H534" s="39" t="e">
        <x:f>HYPERLINK("#'山海经原文总库'!A3","↩ 返回目录")</x:f>
        <x:v>HYPERLINK is not implemented. linkLocation=#'山海经原文总库'!A3, friendlyName=↩ 返回目录</x:v>
      </x:c>
      <x:c r="I534" s="437"/>
      <x:c r="J534" s="437"/>
      <x:c r="K534" s="437" t="str">
        <x:v>待同名检索｜待建档</x:v>
      </x:c>
    </x:row>
    <x:row r="535" ht="22.5" customHeight="1">
      <x:c r="A535" s="36"/>
      <x:c r="B535" s="36"/>
      <x:c r="C535" s="37"/>
      <x:c r="D535" s="36" t="str">
        <x:v>皋澤</x:v>
      </x:c>
      <x:c r="E535" s="36" t="str">
        <x:v>水系</x:v>
      </x:c>
      <x:c r="F535" s="16"/>
      <x:c r="G535" s="38"/>
      <x:c r="H535" s="39" t="e">
        <x:f>HYPERLINK("#'山海经原文总库'!A3","↩ 返回目录")</x:f>
        <x:v>HYPERLINK is not implemented. linkLocation=#'山海经原文总库'!A3, friendlyName=↩ 返回目录</x:v>
      </x:c>
      <x:c r="I535" s="437"/>
      <x:c r="J535" s="437"/>
      <x:c r="K535" s="437" t="str">
        <x:v>待同名检索｜待建档</x:v>
      </x:c>
    </x:row>
    <x:row r="536" ht="22.5" customHeight="1">
      <x:c r="A536" s="36"/>
      <x:c r="B536" s="36"/>
      <x:c r="C536" s="37"/>
      <x:c r="D536" s="36" t="str">
        <x:v>大澤</x:v>
      </x:c>
      <x:c r="E536" s="36" t="str">
        <x:v>水系</x:v>
      </x:c>
      <x:c r="F536" s="16"/>
      <x:c r="G536" s="38"/>
      <x:c r="H536" s="39" t="e">
        <x:f>HYPERLINK("#'山海经原文总库'!A3","↩ 返回目录")</x:f>
        <x:v>HYPERLINK is not implemented. linkLocation=#'山海经原文总库'!A3, friendlyName=↩ 返回目录</x:v>
      </x:c>
      <x:c r="I536" s="437"/>
      <x:c r="J536" s="437"/>
      <x:c r="K536" s="437" t="str">
        <x:v>待同名检索｜待建档</x:v>
      </x:c>
    </x:row>
    <x:row r="537" ht="48" customHeight="1">
      <x:c r="A537" s="36" t="str">
        <x:v>SHJ-03-065</x:v>
      </x:c>
      <x:c r="B537" s="36" t="str">
        <x:v>卷三 《北山經》</x:v>
      </x:c>
      <x:c r="C537" s="37" t="str">
        <x:v>又北百八十里，曰白馬之山，其陽多石玉，其陰多鐵，多赤銅。木馬之水出焉，而東北流注於虖沱。</x:v>
      </x:c>
      <x:c r="D537" s="36" t="str">
        <x:v>白馬之山</x:v>
      </x:c>
      <x:c r="E537" s="36" t="str">
        <x:v>山</x:v>
      </x:c>
      <x:c r="F537" s="16"/>
      <x:c r="G537" s="38" t="str">
        <x:v>标点与分段参考《山海经校注》；正文对读：https://ctext.org/shan-hai-jing/bei-shan-jing/zh</x:v>
      </x:c>
      <x:c r="H537" s="39" t="e">
        <x:f>HYPERLINK("#'山海经原文总库'!A3","↩ 返回目录")</x:f>
        <x:v>HYPERLINK is not implemented. linkLocation=#'山海经原文总库'!A3, friendlyName=↩ 返回目录</x:v>
      </x:c>
      <x:c r="I537" s="437"/>
      <x:c r="J537" s="437"/>
      <x:c r="K537" s="437" t="str">
        <x:v>待同名检索｜待建档</x:v>
      </x:c>
    </x:row>
    <x:row r="538" ht="22.5" customHeight="1">
      <x:c r="A538" s="36"/>
      <x:c r="B538" s="36"/>
      <x:c r="C538" s="37"/>
      <x:c r="D538" s="36" t="str">
        <x:v>木馬之水</x:v>
      </x:c>
      <x:c r="E538" s="36" t="str">
        <x:v>水系</x:v>
      </x:c>
      <x:c r="F538" s="16"/>
      <x:c r="G538" s="38"/>
      <x:c r="H538" s="39" t="e">
        <x:f>HYPERLINK("#'山海经原文总库'!A3","↩ 返回目录")</x:f>
        <x:v>HYPERLINK is not implemented. linkLocation=#'山海经原文总库'!A3, friendlyName=↩ 返回目录</x:v>
      </x:c>
      <x:c r="I538" s="437"/>
      <x:c r="J538" s="437"/>
      <x:c r="K538" s="437" t="str">
        <x:v>待同名检索｜待建档</x:v>
      </x:c>
    </x:row>
    <x:row r="539" ht="22.5" customHeight="1">
      <x:c r="A539" s="36"/>
      <x:c r="B539" s="36"/>
      <x:c r="C539" s="37"/>
      <x:c r="D539" s="36" t="str">
        <x:v>虖沱</x:v>
      </x:c>
      <x:c r="E539" s="36" t="str">
        <x:v>地理名稱</x:v>
      </x:c>
      <x:c r="F539" s="16"/>
      <x:c r="G539" s="38"/>
      <x:c r="H539" s="39" t="e">
        <x:f>HYPERLINK("#'山海经原文总库'!A3","↩ 返回目录")</x:f>
        <x:v>HYPERLINK is not implemented. linkLocation=#'山海经原文总库'!A3, friendlyName=↩ 返回目录</x:v>
      </x:c>
      <x:c r="I539" s="437"/>
      <x:c r="J539" s="437"/>
      <x:c r="K539" s="437" t="str">
        <x:v>待同名检索｜待建档</x:v>
      </x:c>
    </x:row>
    <x:row r="540" ht="48" customHeight="1">
      <x:c r="A540" s="36" t="str">
        <x:v>SHJ-03-066</x:v>
      </x:c>
      <x:c r="B540" s="36" t="str">
        <x:v>卷三 《北山經》</x:v>
      </x:c>
      <x:c r="C540" s="37" t="str">
        <x:v>又北二百里，曰空桑之山，無草木，冬夏有雪。空桑之水出焉，東流注於虖沱。</x:v>
      </x:c>
      <x:c r="D540" s="36" t="str">
        <x:v>空桑之山</x:v>
      </x:c>
      <x:c r="E540" s="36" t="str">
        <x:v>山</x:v>
      </x:c>
      <x:c r="F540" s="16"/>
      <x:c r="G540" s="38" t="str">
        <x:v>标点与分段参考《山海经校注》；正文对读：https://ctext.org/shan-hai-jing/bei-shan-jing/zh</x:v>
      </x:c>
      <x:c r="H540" s="39" t="e">
        <x:f>HYPERLINK("#'山海经原文总库'!A3","↩ 返回目录")</x:f>
        <x:v>HYPERLINK is not implemented. linkLocation=#'山海经原文总库'!A3, friendlyName=↩ 返回目录</x:v>
      </x:c>
      <x:c r="I540" s="437"/>
      <x:c r="J540" s="437"/>
      <x:c r="K540" s="437" t="str">
        <x:v>待同名检索｜待建档</x:v>
      </x:c>
    </x:row>
    <x:row r="541" ht="22.5" customHeight="1">
      <x:c r="A541" s="36"/>
      <x:c r="B541" s="36"/>
      <x:c r="C541" s="37"/>
      <x:c r="D541" s="36" t="str">
        <x:v>空桑之水</x:v>
      </x:c>
      <x:c r="E541" s="36" t="str">
        <x:v>水系</x:v>
      </x:c>
      <x:c r="F541" s="16"/>
      <x:c r="G541" s="38"/>
      <x:c r="H541" s="39" t="e">
        <x:f>HYPERLINK("#'山海经原文总库'!A3","↩ 返回目录")</x:f>
        <x:v>HYPERLINK is not implemented. linkLocation=#'山海经原文总库'!A3, friendlyName=↩ 返回目录</x:v>
      </x:c>
      <x:c r="I541" s="437"/>
      <x:c r="J541" s="437"/>
      <x:c r="K541" s="437" t="str">
        <x:v>待同名检索｜待建档</x:v>
      </x:c>
    </x:row>
    <x:row r="542" ht="22.5" customHeight="1">
      <x:c r="A542" s="36"/>
      <x:c r="B542" s="36"/>
      <x:c r="C542" s="37"/>
      <x:c r="D542" s="36" t="str">
        <x:v>虖沱</x:v>
      </x:c>
      <x:c r="E542" s="36" t="str">
        <x:v>地理名稱</x:v>
      </x:c>
      <x:c r="F542" s="16"/>
      <x:c r="G542" s="38"/>
      <x:c r="H542" s="39" t="e">
        <x:f>HYPERLINK("#'山海经原文总库'!A3","↩ 返回目录")</x:f>
        <x:v>HYPERLINK is not implemented. linkLocation=#'山海经原文总库'!A3, friendlyName=↩ 返回目录</x:v>
      </x:c>
      <x:c r="I542" s="437"/>
      <x:c r="J542" s="437"/>
      <x:c r="K542" s="437" t="str">
        <x:v>待同名检索｜待建档</x:v>
      </x:c>
    </x:row>
    <x:row r="543" ht="48" customHeight="1">
      <x:c r="A543" s="36" t="str">
        <x:v>SHJ-03-067</x:v>
      </x:c>
      <x:c r="B543" s="36" t="str">
        <x:v>卷三 《北山經》</x:v>
      </x:c>
      <x:c r="C543" s="37" t="str">
        <x:v>又北三百里，曰泰戲之山，無草木，多金玉。有獸焉，其狀如羊，一角一目，目在耳後，其名曰（羊東）（羊東），其鳴自？。虖沱之水出焉，而東流注於漊水。液女之水出於其陽，南流注於沁水。</x:v>
      </x:c>
      <x:c r="D543" s="36" t="str">
        <x:v>泰戲之山</x:v>
      </x:c>
      <x:c r="E543" s="36" t="str">
        <x:v>山</x:v>
      </x:c>
      <x:c r="F543" s="16"/>
      <x:c r="G543" s="38" t="str">
        <x:v>标点与分段参考《山海经校注》；正文对读：https://ctext.org/shan-hai-jing/bei-shan-jing/zh</x:v>
      </x:c>
      <x:c r="H543" s="39" t="e">
        <x:f>HYPERLINK("#'山海经原文总库'!A3","↩ 返回目录")</x:f>
        <x:v>HYPERLINK is not implemented. linkLocation=#'山海经原文总库'!A3, friendlyName=↩ 返回目录</x:v>
      </x:c>
      <x:c r="I543" s="437"/>
      <x:c r="J543" s="437"/>
      <x:c r="K543" s="437" t="str">
        <x:v>待同名检索｜待建档</x:v>
      </x:c>
    </x:row>
    <x:row r="544" ht="22.5" customHeight="1">
      <x:c r="A544" s="36"/>
      <x:c r="B544" s="36"/>
      <x:c r="C544" s="37"/>
      <x:c r="D544" s="36" t="str">
        <x:v>虖沱之水</x:v>
      </x:c>
      <x:c r="E544" s="36" t="str">
        <x:v>水系</x:v>
      </x:c>
      <x:c r="F544" s="16"/>
      <x:c r="G544" s="38"/>
      <x:c r="H544" s="39" t="e">
        <x:f>HYPERLINK("#'山海经原文总库'!A3","↩ 返回目录")</x:f>
        <x:v>HYPERLINK is not implemented. linkLocation=#'山海经原文总库'!A3, friendlyName=↩ 返回目录</x:v>
      </x:c>
      <x:c r="I544" s="437"/>
      <x:c r="J544" s="437"/>
      <x:c r="K544" s="437" t="str">
        <x:v>待同名检索｜待建档</x:v>
      </x:c>
    </x:row>
    <x:row r="545" ht="22.5" customHeight="1">
      <x:c r="A545" s="36"/>
      <x:c r="B545" s="36"/>
      <x:c r="C545" s="37"/>
      <x:c r="D545" s="36" t="str">
        <x:v>液女之水</x:v>
      </x:c>
      <x:c r="E545" s="36" t="str">
        <x:v>水系</x:v>
      </x:c>
      <x:c r="F545" s="16"/>
      <x:c r="G545" s="38"/>
      <x:c r="H545" s="39" t="e">
        <x:f>HYPERLINK("#'山海经原文总库'!A3","↩ 返回目录")</x:f>
        <x:v>HYPERLINK is not implemented. linkLocation=#'山海经原文总库'!A3, friendlyName=↩ 返回目录</x:v>
      </x:c>
      <x:c r="I545" s="437"/>
      <x:c r="J545" s="437"/>
      <x:c r="K545" s="437" t="str">
        <x:v>待同名检索｜待建档</x:v>
      </x:c>
    </x:row>
    <x:row r="546" ht="22.5" customHeight="1">
      <x:c r="A546" s="36"/>
      <x:c r="B546" s="36"/>
      <x:c r="C546" s="37"/>
      <x:c r="D546" s="36" t="str">
        <x:v>漊水</x:v>
      </x:c>
      <x:c r="E546" s="36" t="str">
        <x:v>水系</x:v>
      </x:c>
      <x:c r="F546" s="16"/>
      <x:c r="G546" s="38"/>
      <x:c r="H546" s="39" t="e">
        <x:f>HYPERLINK("#'山海经原文总库'!A3","↩ 返回目录")</x:f>
        <x:v>HYPERLINK is not implemented. linkLocation=#'山海经原文总库'!A3, friendlyName=↩ 返回目录</x:v>
      </x:c>
      <x:c r="I546" s="437"/>
      <x:c r="J546" s="437"/>
      <x:c r="K546" s="437" t="str">
        <x:v>待同名检索｜待建档</x:v>
      </x:c>
    </x:row>
    <x:row r="547" ht="22.5" customHeight="1">
      <x:c r="A547" s="36"/>
      <x:c r="B547" s="36"/>
      <x:c r="C547" s="37"/>
      <x:c r="D547" s="36" t="str">
        <x:v>沁水</x:v>
      </x:c>
      <x:c r="E547" s="36" t="str">
        <x:v>水系</x:v>
      </x:c>
      <x:c r="F547" s="16"/>
      <x:c r="G547" s="38"/>
      <x:c r="H547" s="39" t="e">
        <x:f>HYPERLINK("#'山海经原文总库'!A3","↩ 返回目录")</x:f>
        <x:v>HYPERLINK is not implemented. linkLocation=#'山海经原文总库'!A3, friendlyName=↩ 返回目录</x:v>
      </x:c>
      <x:c r="I547" s="437"/>
      <x:c r="J547" s="437"/>
      <x:c r="K547" s="437" t="str">
        <x:v>待同名检索｜待建档</x:v>
      </x:c>
    </x:row>
    <x:row r="548" ht="22.5" customHeight="1">
      <x:c r="A548" s="36"/>
      <x:c r="B548" s="36"/>
      <x:c r="C548" s="37"/>
      <x:c r="D548" s="36" t="str">
        <x:v>虖池之水</x:v>
      </x:c>
      <x:c r="E548" s="36" t="str">
        <x:v>水系</x:v>
      </x:c>
      <x:c r="F548" s="16"/>
      <x:c r="G548" s="38"/>
      <x:c r="H548" s="39" t="e">
        <x:f>HYPERLINK("#'山海经原文总库'!A3","↩ 返回目录")</x:f>
        <x:v>HYPERLINK is not implemented. linkLocation=#'山海经原文总库'!A3, friendlyName=↩ 返回目录</x:v>
      </x:c>
      <x:c r="I548" s="437"/>
      <x:c r="J548" s="437"/>
      <x:c r="K548" s="437" t="str">
        <x:v>待同名检索｜待建档</x:v>
      </x:c>
    </x:row>
    <x:row r="549" ht="48" customHeight="1">
      <x:c r="A549" s="36" t="str">
        <x:v>SHJ-03-068</x:v>
      </x:c>
      <x:c r="B549" s="36" t="str">
        <x:v>卷三 《北山經》</x:v>
      </x:c>
      <x:c r="C549" s="37" t="str">
        <x:v>又北三百里，曰石山，多藏金玉。濩濩之水出焉，而東流注於虖沱；鮮于之水出焉，而南流注於虖沱。</x:v>
      </x:c>
      <x:c r="D549" s="36" t="str">
        <x:v>石山</x:v>
      </x:c>
      <x:c r="E549" s="36" t="str">
        <x:v>山</x:v>
      </x:c>
      <x:c r="F549" s="16"/>
      <x:c r="G549" s="38" t="str">
        <x:v>标点与分段参考《山海经校注》；正文对读：https://ctext.org/shan-hai-jing/bei-shan-jing/zh</x:v>
      </x:c>
      <x:c r="H549" s="39" t="e">
        <x:f>HYPERLINK("#'山海经原文总库'!A3","↩ 返回目录")</x:f>
        <x:v>HYPERLINK is not implemented. linkLocation=#'山海经原文总库'!A3, friendlyName=↩ 返回目录</x:v>
      </x:c>
      <x:c r="I549" s="437"/>
      <x:c r="J549" s="437"/>
      <x:c r="K549" s="437" t="str">
        <x:v>待同名检索｜待建档</x:v>
      </x:c>
    </x:row>
    <x:row r="550" ht="22.5" customHeight="1">
      <x:c r="A550" s="36"/>
      <x:c r="B550" s="36"/>
      <x:c r="C550" s="37"/>
      <x:c r="D550" s="36" t="str">
        <x:v>濩濩之水</x:v>
      </x:c>
      <x:c r="E550" s="36" t="str">
        <x:v>水系</x:v>
      </x:c>
      <x:c r="F550" s="16"/>
      <x:c r="G550" s="38"/>
      <x:c r="H550" s="39" t="e">
        <x:f>HYPERLINK("#'山海经原文总库'!A3","↩ 返回目录")</x:f>
        <x:v>HYPERLINK is not implemented. linkLocation=#'山海经原文总库'!A3, friendlyName=↩ 返回目录</x:v>
      </x:c>
      <x:c r="I550" s="437"/>
      <x:c r="J550" s="437"/>
      <x:c r="K550" s="437" t="str">
        <x:v>待同名检索｜待建档</x:v>
      </x:c>
    </x:row>
    <x:row r="551" ht="22.5" customHeight="1">
      <x:c r="A551" s="36"/>
      <x:c r="B551" s="36"/>
      <x:c r="C551" s="37"/>
      <x:c r="D551" s="36" t="str">
        <x:v>鮮于之水</x:v>
      </x:c>
      <x:c r="E551" s="36" t="str">
        <x:v>水系</x:v>
      </x:c>
      <x:c r="F551" s="16"/>
      <x:c r="G551" s="38"/>
      <x:c r="H551" s="39" t="e">
        <x:f>HYPERLINK("#'山海经原文总库'!A3","↩ 返回目录")</x:f>
        <x:v>HYPERLINK is not implemented. linkLocation=#'山海经原文总库'!A3, friendlyName=↩ 返回目录</x:v>
      </x:c>
      <x:c r="I551" s="437"/>
      <x:c r="J551" s="437"/>
      <x:c r="K551" s="437" t="str">
        <x:v>待同名检索｜待建档</x:v>
      </x:c>
    </x:row>
    <x:row r="552" ht="22.5" customHeight="1">
      <x:c r="A552" s="36"/>
      <x:c r="B552" s="36"/>
      <x:c r="C552" s="37"/>
      <x:c r="D552" s="36" t="str">
        <x:v>虖沱</x:v>
      </x:c>
      <x:c r="E552" s="36" t="str">
        <x:v>地理名稱</x:v>
      </x:c>
      <x:c r="F552" s="16"/>
      <x:c r="G552" s="38"/>
      <x:c r="H552" s="39" t="e">
        <x:f>HYPERLINK("#'山海经原文总库'!A3","↩ 返回目录")</x:f>
        <x:v>HYPERLINK is not implemented. linkLocation=#'山海经原文总库'!A3, friendlyName=↩ 返回目录</x:v>
      </x:c>
      <x:c r="I552" s="437"/>
      <x:c r="J552" s="437"/>
      <x:c r="K552" s="437" t="str">
        <x:v>待同名检索｜待建档</x:v>
      </x:c>
    </x:row>
    <x:row r="553" ht="48" customHeight="1">
      <x:c r="A553" s="36" t="str">
        <x:v>SHJ-03-069</x:v>
      </x:c>
      <x:c r="B553" s="36" t="str">
        <x:v>卷三 《北山經》</x:v>
      </x:c>
      <x:c r="C553" s="37" t="str">
        <x:v>又北二百里，曰童戎之山。皋塗之水出焉，而東流注於漊液水。</x:v>
      </x:c>
      <x:c r="D553" s="36" t="str">
        <x:v>童戎之山</x:v>
      </x:c>
      <x:c r="E553" s="36" t="str">
        <x:v>山</x:v>
      </x:c>
      <x:c r="F553" s="16"/>
      <x:c r="G553" s="38" t="str">
        <x:v>标点与分段参考《山海经校注》；正文对读：https://ctext.org/shan-hai-jing/bei-shan-jing/zh</x:v>
      </x:c>
      <x:c r="H553" s="39" t="e">
        <x:f>HYPERLINK("#'山海经原文总库'!A3","↩ 返回目录")</x:f>
        <x:v>HYPERLINK is not implemented. linkLocation=#'山海经原文总库'!A3, friendlyName=↩ 返回目录</x:v>
      </x:c>
      <x:c r="I553" s="437"/>
      <x:c r="J553" s="437"/>
      <x:c r="K553" s="437" t="str">
        <x:v>待同名检索｜待建档</x:v>
      </x:c>
    </x:row>
    <x:row r="554" ht="22.5" customHeight="1">
      <x:c r="A554" s="36"/>
      <x:c r="B554" s="36"/>
      <x:c r="C554" s="37"/>
      <x:c r="D554" s="36" t="str">
        <x:v>皋塗之水</x:v>
      </x:c>
      <x:c r="E554" s="36" t="str">
        <x:v>水系</x:v>
      </x:c>
      <x:c r="F554" s="16"/>
      <x:c r="G554" s="38"/>
      <x:c r="H554" s="39" t="e">
        <x:f>HYPERLINK("#'山海经原文总库'!A3","↩ 返回目录")</x:f>
        <x:v>HYPERLINK is not implemented. linkLocation=#'山海经原文总库'!A3, friendlyName=↩ 返回目录</x:v>
      </x:c>
      <x:c r="I554" s="437"/>
      <x:c r="J554" s="437"/>
      <x:c r="K554" s="437" t="str">
        <x:v>待同名检索｜待建档</x:v>
      </x:c>
    </x:row>
    <x:row r="555" ht="22.5" customHeight="1">
      <x:c r="A555" s="36"/>
      <x:c r="B555" s="36"/>
      <x:c r="C555" s="37"/>
      <x:c r="D555" s="36" t="str">
        <x:v>漊液水</x:v>
      </x:c>
      <x:c r="E555" s="36" t="str">
        <x:v>水系</x:v>
      </x:c>
      <x:c r="F555" s="16"/>
      <x:c r="G555" s="38"/>
      <x:c r="H555" s="39" t="e">
        <x:f>HYPERLINK("#'山海经原文总库'!A3","↩ 返回目录")</x:f>
        <x:v>HYPERLINK is not implemented. linkLocation=#'山海经原文总库'!A3, friendlyName=↩ 返回目录</x:v>
      </x:c>
      <x:c r="I555" s="437"/>
      <x:c r="J555" s="437"/>
      <x:c r="K555" s="437" t="str">
        <x:v>待同名检索｜待建档</x:v>
      </x:c>
    </x:row>
    <x:row r="556" ht="22.5" customHeight="1">
      <x:c r="A556" s="36"/>
      <x:c r="B556" s="36"/>
      <x:c r="C556" s="37"/>
      <x:c r="D556" s="36" t="str">
        <x:v>液水</x:v>
      </x:c>
      <x:c r="E556" s="36" t="str">
        <x:v>水系</x:v>
      </x:c>
      <x:c r="F556" s="16"/>
      <x:c r="G556" s="38"/>
      <x:c r="H556" s="39" t="e">
        <x:f>HYPERLINK("#'山海经原文总库'!A3","↩ 返回目录")</x:f>
        <x:v>HYPERLINK is not implemented. linkLocation=#'山海经原文总库'!A3, friendlyName=↩ 返回目录</x:v>
      </x:c>
      <x:c r="I556" s="437"/>
      <x:c r="J556" s="437"/>
      <x:c r="K556" s="437" t="str">
        <x:v>待同名检索｜待建档</x:v>
      </x:c>
    </x:row>
    <x:row r="557" ht="48" customHeight="1">
      <x:c r="A557" s="36" t="str">
        <x:v>SHJ-03-070</x:v>
      </x:c>
      <x:c r="B557" s="36" t="str">
        <x:v>卷三 《北山經》</x:v>
      </x:c>
      <x:c r="C557" s="37" t="str">
        <x:v>又北三百里，曰高是之山。滋水出焉，而南流注於虖沱，其木多棕，其草多條。滱水出焉，東流注於河。</x:v>
      </x:c>
      <x:c r="D557" s="36" t="str">
        <x:v>高是之山</x:v>
      </x:c>
      <x:c r="E557" s="36" t="str">
        <x:v>山</x:v>
      </x:c>
      <x:c r="F557" s="16"/>
      <x:c r="G557" s="38" t="str">
        <x:v>标点与分段参考《山海经校注》；正文对读：https://ctext.org/shan-hai-jing/bei-shan-jing/zh</x:v>
      </x:c>
      <x:c r="H557" s="39" t="e">
        <x:f>HYPERLINK("#'山海经原文总库'!A3","↩ 返回目录")</x:f>
        <x:v>HYPERLINK is not implemented. linkLocation=#'山海经原文总库'!A3, friendlyName=↩ 返回目录</x:v>
      </x:c>
      <x:c r="I557" s="437"/>
      <x:c r="J557" s="437"/>
      <x:c r="K557" s="437" t="str">
        <x:v>待同名检索｜待建档</x:v>
      </x:c>
    </x:row>
    <x:row r="558" ht="22.5" customHeight="1">
      <x:c r="A558" s="36"/>
      <x:c r="B558" s="36"/>
      <x:c r="C558" s="37"/>
      <x:c r="D558" s="36" t="str">
        <x:v>滋水</x:v>
      </x:c>
      <x:c r="E558" s="36" t="str">
        <x:v>水系</x:v>
      </x:c>
      <x:c r="F558" s="16"/>
      <x:c r="G558" s="38"/>
      <x:c r="H558" s="39" t="e">
        <x:f>HYPERLINK("#'山海经原文总库'!A3","↩ 返回目录")</x:f>
        <x:v>HYPERLINK is not implemented. linkLocation=#'山海经原文总库'!A3, friendlyName=↩ 返回目录</x:v>
      </x:c>
      <x:c r="I558" s="437"/>
      <x:c r="J558" s="437"/>
      <x:c r="K558" s="437" t="str">
        <x:v>待同名检索｜待建档</x:v>
      </x:c>
    </x:row>
    <x:row r="559" ht="22.5" customHeight="1">
      <x:c r="A559" s="36"/>
      <x:c r="B559" s="36"/>
      <x:c r="C559" s="37"/>
      <x:c r="D559" s="36" t="str">
        <x:v>滱水</x:v>
      </x:c>
      <x:c r="E559" s="36" t="str">
        <x:v>水系</x:v>
      </x:c>
      <x:c r="F559" s="16"/>
      <x:c r="G559" s="38"/>
      <x:c r="H559" s="39" t="e">
        <x:f>HYPERLINK("#'山海经原文总库'!A3","↩ 返回目录")</x:f>
        <x:v>HYPERLINK is not implemented. linkLocation=#'山海经原文总库'!A3, friendlyName=↩ 返回目录</x:v>
      </x:c>
      <x:c r="I559" s="437"/>
      <x:c r="J559" s="437"/>
      <x:c r="K559" s="437" t="str">
        <x:v>待同名检索｜待建档</x:v>
      </x:c>
    </x:row>
    <x:row r="560" ht="22.5" customHeight="1">
      <x:c r="A560" s="36"/>
      <x:c r="B560" s="36"/>
      <x:c r="C560" s="37"/>
      <x:c r="D560" s="36" t="str">
        <x:v>虖沱</x:v>
      </x:c>
      <x:c r="E560" s="36" t="str">
        <x:v>地理名稱</x:v>
      </x:c>
      <x:c r="F560" s="16"/>
      <x:c r="G560" s="38"/>
      <x:c r="H560" s="39" t="e">
        <x:f>HYPERLINK("#'山海经原文总库'!A3","↩ 返回目录")</x:f>
        <x:v>HYPERLINK is not implemented. linkLocation=#'山海经原文总库'!A3, friendlyName=↩ 返回目录</x:v>
      </x:c>
      <x:c r="I560" s="437"/>
      <x:c r="J560" s="437"/>
      <x:c r="K560" s="437" t="str">
        <x:v>待同名检索｜待建档</x:v>
      </x:c>
    </x:row>
    <x:row r="561" ht="22.5" customHeight="1">
      <x:c r="A561" s="36"/>
      <x:c r="B561" s="36"/>
      <x:c r="C561" s="37"/>
      <x:c r="D561" s="36" t="str">
        <x:v>河</x:v>
      </x:c>
      <x:c r="E561" s="36" t="str">
        <x:v>地理名稱</x:v>
      </x:c>
      <x:c r="F561" s="16"/>
      <x:c r="G561" s="38"/>
      <x:c r="H561" s="39" t="e">
        <x:f>HYPERLINK("#'山海经原文总库'!A3","↩ 返回目录")</x:f>
        <x:v>HYPERLINK is not implemented. linkLocation=#'山海经原文总库'!A3, friendlyName=↩ 返回目录</x:v>
      </x:c>
      <x:c r="I561" s="437"/>
      <x:c r="J561" s="437"/>
      <x:c r="K561" s="437" t="str">
        <x:v>待同名检索｜待建档</x:v>
      </x:c>
    </x:row>
    <x:row r="562" ht="48" customHeight="1">
      <x:c r="A562" s="36" t="str">
        <x:v>SHJ-03-071</x:v>
      </x:c>
      <x:c r="B562" s="36" t="str">
        <x:v>卷三 《北山經》</x:v>
      </x:c>
      <x:c r="C562" s="37" t="str">
        <x:v>又北三百里，曰陸山，多美玉。（姜邑）水出焉，而東流注於河。</x:v>
      </x:c>
      <x:c r="D562" s="36" t="str">
        <x:v>陸山</x:v>
      </x:c>
      <x:c r="E562" s="36" t="str">
        <x:v>山</x:v>
      </x:c>
      <x:c r="F562" s="16"/>
      <x:c r="G562" s="38" t="str">
        <x:v>标点与分段参考《山海经校注》；正文对读：https://ctext.org/shan-hai-jing/bei-shan-jing/zh</x:v>
      </x:c>
      <x:c r="H562" s="39" t="e">
        <x:f>HYPERLINK("#'山海经原文总库'!A3","↩ 返回目录")</x:f>
        <x:v>HYPERLINK is not implemented. linkLocation=#'山海经原文总库'!A3, friendlyName=↩ 返回目录</x:v>
      </x:c>
      <x:c r="I562" s="437"/>
      <x:c r="J562" s="437"/>
      <x:c r="K562" s="437" t="str">
        <x:v>待同名检索｜待建档</x:v>
      </x:c>
    </x:row>
    <x:row r="563" ht="22.5" customHeight="1">
      <x:c r="A563" s="36"/>
      <x:c r="B563" s="36"/>
      <x:c r="C563" s="37"/>
      <x:c r="D563" s="36" t="str">
        <x:v>河</x:v>
      </x:c>
      <x:c r="E563" s="36" t="str">
        <x:v>地理名稱</x:v>
      </x:c>
      <x:c r="F563" s="16"/>
      <x:c r="G563" s="38"/>
      <x:c r="H563" s="39" t="e">
        <x:f>HYPERLINK("#'山海经原文总库'!A3","↩ 返回目录")</x:f>
        <x:v>HYPERLINK is not implemented. linkLocation=#'山海经原文总库'!A3, friendlyName=↩ 返回目录</x:v>
      </x:c>
      <x:c r="I563" s="437"/>
      <x:c r="J563" s="437"/>
      <x:c r="K563" s="437" t="str">
        <x:v>待同名检索｜待建档</x:v>
      </x:c>
    </x:row>
    <x:row r="564" ht="22.5" customHeight="1">
      <x:c r="A564" s="36"/>
      <x:c r="B564" s="36"/>
      <x:c r="C564" s="37"/>
      <x:c r="D564" s="36" t="str">
        <x:v>𨜰水</x:v>
      </x:c>
      <x:c r="E564" s="36" t="str">
        <x:v>水系</x:v>
      </x:c>
      <x:c r="F564" s="16"/>
      <x:c r="G564" s="38"/>
      <x:c r="H564" s="39" t="e">
        <x:f>HYPERLINK("#'山海经原文总库'!A3","↩ 返回目录")</x:f>
        <x:v>HYPERLINK is not implemented. linkLocation=#'山海经原文总库'!A3, friendlyName=↩ 返回目录</x:v>
      </x:c>
      <x:c r="I564" s="437"/>
      <x:c r="J564" s="437"/>
      <x:c r="K564" s="437" t="str">
        <x:v>待同名检索｜待建档</x:v>
      </x:c>
    </x:row>
    <x:row r="565" ht="48" customHeight="1">
      <x:c r="A565" s="36" t="str">
        <x:v>SHJ-03-072</x:v>
      </x:c>
      <x:c r="B565" s="36" t="str">
        <x:v>卷三 《北山經》</x:v>
      </x:c>
      <x:c r="C565" s="37" t="str">
        <x:v>又北二百里，曰沂山。般水出焉，而東流注於河。</x:v>
      </x:c>
      <x:c r="D565" s="36" t="str">
        <x:v>沂山</x:v>
      </x:c>
      <x:c r="E565" s="36" t="str">
        <x:v>山</x:v>
      </x:c>
      <x:c r="F565" s="16"/>
      <x:c r="G565" s="38" t="str">
        <x:v>标点与分段参考《山海经校注》；正文对读：https://ctext.org/shan-hai-jing/bei-shan-jing/zh</x:v>
      </x:c>
      <x:c r="H565" s="39" t="e">
        <x:f>HYPERLINK("#'山海经原文总库'!A3","↩ 返回目录")</x:f>
        <x:v>HYPERLINK is not implemented. linkLocation=#'山海经原文总库'!A3, friendlyName=↩ 返回目录</x:v>
      </x:c>
      <x:c r="I565" s="437"/>
      <x:c r="J565" s="437"/>
      <x:c r="K565" s="437" t="str">
        <x:v>待同名检索｜待建档</x:v>
      </x:c>
    </x:row>
    <x:row r="566" ht="22.5" customHeight="1">
      <x:c r="A566" s="36"/>
      <x:c r="B566" s="36"/>
      <x:c r="C566" s="37"/>
      <x:c r="D566" s="36" t="str">
        <x:v>般水</x:v>
      </x:c>
      <x:c r="E566" s="36" t="str">
        <x:v>水系</x:v>
      </x:c>
      <x:c r="F566" s="16"/>
      <x:c r="G566" s="38"/>
      <x:c r="H566" s="39" t="e">
        <x:f>HYPERLINK("#'山海经原文总库'!A3","↩ 返回目录")</x:f>
        <x:v>HYPERLINK is not implemented. linkLocation=#'山海经原文总库'!A3, friendlyName=↩ 返回目录</x:v>
      </x:c>
      <x:c r="I566" s="437"/>
      <x:c r="J566" s="437"/>
      <x:c r="K566" s="437" t="str">
        <x:v>待同名检索｜待建档</x:v>
      </x:c>
    </x:row>
    <x:row r="567" ht="22.5" customHeight="1">
      <x:c r="A567" s="36"/>
      <x:c r="B567" s="36"/>
      <x:c r="C567" s="37"/>
      <x:c r="D567" s="36" t="str">
        <x:v>河</x:v>
      </x:c>
      <x:c r="E567" s="36" t="str">
        <x:v>地理名稱</x:v>
      </x:c>
      <x:c r="F567" s="16"/>
      <x:c r="G567" s="38"/>
      <x:c r="H567" s="39" t="e">
        <x:f>HYPERLINK("#'山海经原文总库'!A3","↩ 返回目录")</x:f>
        <x:v>HYPERLINK is not implemented. linkLocation=#'山海经原文总库'!A3, friendlyName=↩ 返回目录</x:v>
      </x:c>
      <x:c r="I567" s="437"/>
      <x:c r="J567" s="437"/>
      <x:c r="K567" s="437" t="str">
        <x:v>待同名检索｜待建档</x:v>
      </x:c>
    </x:row>
    <x:row r="568" ht="48" customHeight="1">
      <x:c r="A568" s="36" t="str">
        <x:v>SHJ-03-073-1</x:v>
      </x:c>
      <x:c r="B568" s="36" t="str">
        <x:v>卷三 《北山經》</x:v>
      </x:c>
      <x:c r="C568" s="37" t="str">
        <x:v>北百二十里，曰燕山，多嬰石。燕水出焉，東流注於河。</x:v>
      </x:c>
      <x:c r="D568" s="36" t="str">
        <x:v>燕山</x:v>
      </x:c>
      <x:c r="E568" s="36" t="str">
        <x:v>山</x:v>
      </x:c>
      <x:c r="F568" s="16"/>
      <x:c r="G568" s="38" t="str">
        <x:v>标点与分段参考《山海经校注》；正文对读：https://ctext.org/shan-hai-jing/bei-shan-jing/zh</x:v>
      </x:c>
      <x:c r="H568" s="39" t="e">
        <x:f>HYPERLINK("#'山海经原文总库'!A3","↩ 返回目录")</x:f>
        <x:v>HYPERLINK is not implemented. linkLocation=#'山海经原文总库'!A3, friendlyName=↩ 返回目录</x:v>
      </x:c>
      <x:c r="I568" s="437"/>
      <x:c r="J568" s="437"/>
      <x:c r="K568" s="437" t="str">
        <x:v>待同名检索｜待建档</x:v>
      </x:c>
    </x:row>
    <x:row r="569" ht="22.5" customHeight="1">
      <x:c r="A569" s="36"/>
      <x:c r="B569" s="36"/>
      <x:c r="C569" s="37"/>
      <x:c r="D569" s="36" t="str">
        <x:v>燕水</x:v>
      </x:c>
      <x:c r="E569" s="36" t="str">
        <x:v>水系</x:v>
      </x:c>
      <x:c r="F569" s="16"/>
      <x:c r="G569" s="38"/>
      <x:c r="H569" s="39" t="e">
        <x:f>HYPERLINK("#'山海经原文总库'!A3","↩ 返回目录")</x:f>
        <x:v>HYPERLINK is not implemented. linkLocation=#'山海经原文总库'!A3, friendlyName=↩ 返回目录</x:v>
      </x:c>
      <x:c r="I569" s="437"/>
      <x:c r="J569" s="437"/>
      <x:c r="K569" s="437" t="str">
        <x:v>待同名检索｜待建档</x:v>
      </x:c>
    </x:row>
    <x:row r="570" ht="22.5" customHeight="1">
      <x:c r="A570" s="36"/>
      <x:c r="B570" s="36"/>
      <x:c r="C570" s="37"/>
      <x:c r="D570" s="36" t="str">
        <x:v>河</x:v>
      </x:c>
      <x:c r="E570" s="36" t="str">
        <x:v>地理名稱</x:v>
      </x:c>
      <x:c r="F570" s="16"/>
      <x:c r="G570" s="38"/>
      <x:c r="H570" s="39" t="e">
        <x:f>HYPERLINK("#'山海经原文总库'!A3","↩ 返回目录")</x:f>
        <x:v>HYPERLINK is not implemented. linkLocation=#'山海经原文总库'!A3, friendlyName=↩ 返回目录</x:v>
      </x:c>
      <x:c r="I570" s="437"/>
      <x:c r="J570" s="437"/>
      <x:c r="K570" s="437" t="str">
        <x:v>待同名检索｜待建档</x:v>
      </x:c>
    </x:row>
    <x:row r="571" ht="48" customHeight="1">
      <x:c r="A571" s="36" t="str">
        <x:v>SHJ-03-073-2</x:v>
      </x:c>
      <x:c r="B571" s="36" t="str">
        <x:v>卷三 《北山經》</x:v>
      </x:c>
      <x:c r="C571" s="37" t="str">
        <x:v>又北山行五百里，水行五百里，至於饒山。是無草木，多瑤碧，其獸多橐，其鳥多鶹。歷虢之水出焉，而東流注於河。其中有師魚，食之殺人。</x:v>
      </x:c>
      <x:c r="D571" s="36" t="str">
        <x:v>饒山</x:v>
      </x:c>
      <x:c r="E571" s="36" t="str">
        <x:v>山</x:v>
      </x:c>
      <x:c r="F571" s="16"/>
      <x:c r="G571" s="38" t="str">
        <x:v>标点与分段参考《山海经校注》；正文对读：https://ctext.org/shan-hai-jing/bei-shan-jing/zh</x:v>
      </x:c>
      <x:c r="H571" s="39" t="e">
        <x:f>HYPERLINK("#'山海经原文总库'!A3","↩ 返回目录")</x:f>
        <x:v>HYPERLINK is not implemented. linkLocation=#'山海经原文总库'!A3, friendlyName=↩ 返回目录</x:v>
      </x:c>
      <x:c r="I571" s="437"/>
      <x:c r="J571" s="437"/>
      <x:c r="K571" s="437" t="str">
        <x:v>待同名检索｜待建档</x:v>
      </x:c>
    </x:row>
    <x:row r="572" ht="22.5" customHeight="1">
      <x:c r="A572" s="36"/>
      <x:c r="B572" s="36"/>
      <x:c r="C572" s="37"/>
      <x:c r="D572" s="36" t="str">
        <x:v>歷虢之水</x:v>
      </x:c>
      <x:c r="E572" s="36" t="str">
        <x:v>水系</x:v>
      </x:c>
      <x:c r="F572" s="16"/>
      <x:c r="G572" s="38"/>
      <x:c r="H572" s="39" t="e">
        <x:f>HYPERLINK("#'山海经原文总库'!A3","↩ 返回目录")</x:f>
        <x:v>HYPERLINK is not implemented. linkLocation=#'山海经原文总库'!A3, friendlyName=↩ 返回目录</x:v>
      </x:c>
      <x:c r="I572" s="437"/>
      <x:c r="J572" s="437"/>
      <x:c r="K572" s="437" t="str">
        <x:v>待同名检索｜待建档</x:v>
      </x:c>
    </x:row>
    <x:row r="573" ht="22.5" customHeight="1">
      <x:c r="A573" s="36"/>
      <x:c r="B573" s="36"/>
      <x:c r="C573" s="37"/>
      <x:c r="D573" s="36" t="str">
        <x:v>河</x:v>
      </x:c>
      <x:c r="E573" s="36" t="str">
        <x:v>地理名稱</x:v>
      </x:c>
      <x:c r="F573" s="16"/>
      <x:c r="G573" s="38"/>
      <x:c r="H573" s="39" t="e">
        <x:f>HYPERLINK("#'山海经原文总库'!A3","↩ 返回目录")</x:f>
        <x:v>HYPERLINK is not implemented. linkLocation=#'山海经原文总库'!A3, friendlyName=↩ 返回目录</x:v>
      </x:c>
      <x:c r="I573" s="437"/>
      <x:c r="J573" s="437"/>
      <x:c r="K573" s="437" t="str">
        <x:v>待同名检索｜待建档</x:v>
      </x:c>
    </x:row>
    <x:row r="574" ht="48" customHeight="1">
      <x:c r="A574" s="36" t="str">
        <x:v>SHJ-03-074</x:v>
      </x:c>
      <x:c r="B574" s="36" t="str">
        <x:v>卷三 《北山經》</x:v>
      </x:c>
      <x:c r="C574" s="37" t="str">
        <x:v>又北四百里，曰乾山，無草木，其陽有金玉，其陰有鐵而無水。有獸焉，其狀如牛而三足，其名曰獂，其鳴自詨。</x:v>
      </x:c>
      <x:c r="D574" s="36" t="str">
        <x:v>乾山</x:v>
      </x:c>
      <x:c r="E574" s="36" t="str">
        <x:v>山</x:v>
      </x:c>
      <x:c r="F574" s="16"/>
      <x:c r="G574" s="38" t="str">
        <x:v>标点与分段参考《山海经校注》；正文对读：https://ctext.org/shan-hai-jing/bei-shan-jing/zh</x:v>
      </x:c>
      <x:c r="H574" s="39" t="e">
        <x:f>HYPERLINK("#'山海经原文总库'!A3","↩ 返回目录")</x:f>
        <x:v>HYPERLINK is not implemented. linkLocation=#'山海经原文总库'!A3, friendlyName=↩ 返回目录</x:v>
      </x:c>
      <x:c r="I574" s="437"/>
      <x:c r="J574" s="437"/>
      <x:c r="K574" s="437" t="str">
        <x:v>待同名检索｜待建档</x:v>
      </x:c>
    </x:row>
    <x:row r="575" ht="48" customHeight="1">
      <x:c r="A575" s="36" t="str">
        <x:v>SHJ-03-075</x:v>
      </x:c>
      <x:c r="B575" s="36" t="str">
        <x:v>卷三 《北山經》</x:v>
      </x:c>
      <x:c r="C575" s="37" t="str">
        <x:v>又北五百里，曰倫山。倫水出焉，而東流注於河。有獸焉，其狀如麋，其川在尾上，其名曰羆。</x:v>
      </x:c>
      <x:c r="D575" s="36" t="str">
        <x:v>倫山</x:v>
      </x:c>
      <x:c r="E575" s="36" t="str">
        <x:v>山</x:v>
      </x:c>
      <x:c r="F575" s="16"/>
      <x:c r="G575" s="38" t="str">
        <x:v>标点与分段参考《山海经校注》；正文对读：https://ctext.org/shan-hai-jing/bei-shan-jing/zh</x:v>
      </x:c>
      <x:c r="H575" s="39" t="e">
        <x:f>HYPERLINK("#'山海经原文总库'!A3","↩ 返回目录")</x:f>
        <x:v>HYPERLINK is not implemented. linkLocation=#'山海经原文总库'!A3, friendlyName=↩ 返回目录</x:v>
      </x:c>
      <x:c r="I575" s="437"/>
      <x:c r="J575" s="437"/>
      <x:c r="K575" s="437" t="str">
        <x:v>待同名检索｜待建档</x:v>
      </x:c>
    </x:row>
    <x:row r="576" ht="22.5" customHeight="1">
      <x:c r="A576" s="36"/>
      <x:c r="B576" s="36"/>
      <x:c r="C576" s="37"/>
      <x:c r="D576" s="36" t="str">
        <x:v>倫水</x:v>
      </x:c>
      <x:c r="E576" s="36" t="str">
        <x:v>水系</x:v>
      </x:c>
      <x:c r="F576" s="16"/>
      <x:c r="G576" s="38"/>
      <x:c r="H576" s="39" t="e">
        <x:f>HYPERLINK("#'山海经原文总库'!A3","↩ 返回目录")</x:f>
        <x:v>HYPERLINK is not implemented. linkLocation=#'山海经原文总库'!A3, friendlyName=↩ 返回目录</x:v>
      </x:c>
      <x:c r="I576" s="437"/>
      <x:c r="J576" s="437"/>
      <x:c r="K576" s="437" t="str">
        <x:v>待同名检索｜待建档</x:v>
      </x:c>
    </x:row>
    <x:row r="577" ht="22.5" customHeight="1">
      <x:c r="A577" s="36"/>
      <x:c r="B577" s="36"/>
      <x:c r="C577" s="37"/>
      <x:c r="D577" s="36" t="str">
        <x:v>河</x:v>
      </x:c>
      <x:c r="E577" s="36" t="str">
        <x:v>地理名稱</x:v>
      </x:c>
      <x:c r="F577" s="16"/>
      <x:c r="G577" s="38"/>
      <x:c r="H577" s="39" t="e">
        <x:f>HYPERLINK("#'山海经原文总库'!A3","↩ 返回目录")</x:f>
        <x:v>HYPERLINK is not implemented. linkLocation=#'山海经原文总库'!A3, friendlyName=↩ 返回目录</x:v>
      </x:c>
      <x:c r="I577" s="437"/>
      <x:c r="J577" s="437"/>
      <x:c r="K577" s="437" t="str">
        <x:v>待同名检索｜待建档</x:v>
      </x:c>
    </x:row>
    <x:row r="578" ht="48" customHeight="1">
      <x:c r="A578" s="36" t="str">
        <x:v>SHJ-03-076-1</x:v>
      </x:c>
      <x:c r="B578" s="36" t="str">
        <x:v>卷三 《北山經》</x:v>
      </x:c>
      <x:c r="C578" s="37" t="str">
        <x:v>又北五百里，曰碣石之山。繩水出焉，而東流注於河，其中多蒲夷之魚。其上有玉，其下多青碧。</x:v>
      </x:c>
      <x:c r="D578" s="36" t="str">
        <x:v>碣石之山</x:v>
      </x:c>
      <x:c r="E578" s="36" t="str">
        <x:v>山</x:v>
      </x:c>
      <x:c r="F578" s="16"/>
      <x:c r="G578" s="38" t="str">
        <x:v>标点与分段参考《山海经校注》；正文对读：https://ctext.org/shan-hai-jing/bei-shan-jing/zh</x:v>
      </x:c>
      <x:c r="H578" s="39" t="e">
        <x:f>HYPERLINK("#'山海经原文总库'!A3","↩ 返回目录")</x:f>
        <x:v>HYPERLINK is not implemented. linkLocation=#'山海经原文总库'!A3, friendlyName=↩ 返回目录</x:v>
      </x:c>
      <x:c r="I578" s="437"/>
      <x:c r="J578" s="437"/>
      <x:c r="K578" s="437" t="str">
        <x:v>待同名检索｜待建档</x:v>
      </x:c>
    </x:row>
    <x:row r="579" ht="22.5" customHeight="1">
      <x:c r="A579" s="36"/>
      <x:c r="B579" s="36"/>
      <x:c r="C579" s="37"/>
      <x:c r="D579" s="36" t="str">
        <x:v>繩水</x:v>
      </x:c>
      <x:c r="E579" s="36" t="str">
        <x:v>水系</x:v>
      </x:c>
      <x:c r="F579" s="16"/>
      <x:c r="G579" s="38"/>
      <x:c r="H579" s="39" t="e">
        <x:f>HYPERLINK("#'山海经原文总库'!A3","↩ 返回目录")</x:f>
        <x:v>HYPERLINK is not implemented. linkLocation=#'山海经原文总库'!A3, friendlyName=↩ 返回目录</x:v>
      </x:c>
      <x:c r="I579" s="437"/>
      <x:c r="J579" s="437"/>
      <x:c r="K579" s="437" t="str">
        <x:v>待同名检索｜待建档</x:v>
      </x:c>
    </x:row>
    <x:row r="580" ht="22.5" customHeight="1">
      <x:c r="A580" s="36"/>
      <x:c r="B580" s="36"/>
      <x:c r="C580" s="37"/>
      <x:c r="D580" s="36" t="str">
        <x:v>河</x:v>
      </x:c>
      <x:c r="E580" s="36" t="str">
        <x:v>地理名稱</x:v>
      </x:c>
      <x:c r="F580" s="16"/>
      <x:c r="G580" s="38"/>
      <x:c r="H580" s="39" t="e">
        <x:f>HYPERLINK("#'山海经原文总库'!A3","↩ 返回目录")</x:f>
        <x:v>HYPERLINK is not implemented. linkLocation=#'山海经原文总库'!A3, friendlyName=↩ 返回目录</x:v>
      </x:c>
      <x:c r="I580" s="437"/>
      <x:c r="J580" s="437"/>
      <x:c r="K580" s="437" t="str">
        <x:v>待同名检索｜待建档</x:v>
      </x:c>
    </x:row>
    <x:row r="581" ht="48" customHeight="1">
      <x:c r="A581" s="36" t="str">
        <x:v>SHJ-03-076-2</x:v>
      </x:c>
      <x:c r="B581" s="36" t="str">
        <x:v>卷三 《北山經》</x:v>
      </x:c>
      <x:c r="C581" s="37" t="str">
        <x:v>又北水行五百里，至於鴈門之山，無草木。</x:v>
      </x:c>
      <x:c r="D581" s="36" t="str">
        <x:v>鴈門之山</x:v>
      </x:c>
      <x:c r="E581" s="36" t="str">
        <x:v>山</x:v>
      </x:c>
      <x:c r="F581" s="16"/>
      <x:c r="G581" s="38" t="str">
        <x:v>标点与分段参考《山海经校注》；正文对读：https://ctext.org/shan-hai-jing/bei-shan-jing/zh</x:v>
      </x:c>
      <x:c r="H581" s="39" t="e">
        <x:f>HYPERLINK("#'山海经原文总库'!A3","↩ 返回目录")</x:f>
        <x:v>HYPERLINK is not implemented. linkLocation=#'山海经原文总库'!A3, friendlyName=↩ 返回目录</x:v>
      </x:c>
      <x:c r="I581" s="437"/>
      <x:c r="J581" s="437"/>
      <x:c r="K581" s="437" t="str">
        <x:v>待同名检索｜待建档</x:v>
      </x:c>
    </x:row>
    <x:row r="582" ht="48" customHeight="1">
      <x:c r="A582" s="36" t="str">
        <x:v>SHJ-03-076-3</x:v>
      </x:c>
      <x:c r="B582" s="36" t="str">
        <x:v>卷三 《北山經》</x:v>
      </x:c>
      <x:c r="C582" s="37" t="str">
        <x:v>又北水行四百里，至於泰澤。其中有山焉，曰帝都之山，廣員百里，無草木，有金玉。</x:v>
      </x:c>
      <x:c r="D582" s="36" t="str">
        <x:v>帝都之山</x:v>
      </x:c>
      <x:c r="E582" s="36" t="str">
        <x:v>山</x:v>
      </x:c>
      <x:c r="F582" s="16"/>
      <x:c r="G582" s="38" t="str">
        <x:v>标点与分段参考《山海经校注》；正文对读：https://ctext.org/shan-hai-jing/bei-shan-jing/zh</x:v>
      </x:c>
      <x:c r="H582" s="39" t="e">
        <x:f>HYPERLINK("#'山海经原文总库'!A3","↩ 返回目录")</x:f>
        <x:v>HYPERLINK is not implemented. linkLocation=#'山海经原文总库'!A3, friendlyName=↩ 返回目录</x:v>
      </x:c>
      <x:c r="I582" s="437"/>
      <x:c r="J582" s="437"/>
      <x:c r="K582" s="437" t="str">
        <x:v>待同名检索｜待建档</x:v>
      </x:c>
    </x:row>
    <x:row r="583" ht="22.5" customHeight="1">
      <x:c r="A583" s="36"/>
      <x:c r="B583" s="36"/>
      <x:c r="C583" s="37"/>
      <x:c r="D583" s="36" t="str">
        <x:v>泰澤</x:v>
      </x:c>
      <x:c r="E583" s="36" t="str">
        <x:v>澤／淵</x:v>
      </x:c>
      <x:c r="F583" s="16"/>
      <x:c r="G583" s="38"/>
      <x:c r="H583" s="39" t="e">
        <x:f>HYPERLINK("#'山海经原文总库'!A3","↩ 返回目录")</x:f>
        <x:v>HYPERLINK is not implemented. linkLocation=#'山海经原文总库'!A3, friendlyName=↩ 返回目录</x:v>
      </x:c>
      <x:c r="I583" s="437"/>
      <x:c r="J583" s="437"/>
      <x:c r="K583" s="437" t="str">
        <x:v>待同名检索｜待建档</x:v>
      </x:c>
    </x:row>
    <x:row r="584" ht="22.5" customHeight="1">
      <x:c r="A584" s="36"/>
      <x:c r="B584" s="36"/>
      <x:c r="C584" s="37"/>
      <x:c r="D584" s="36" t="str">
        <x:v>帝都</x:v>
      </x:c>
      <x:c r="E584" s="36" t="str">
        <x:v>聚落／區域</x:v>
      </x:c>
      <x:c r="F584" s="16"/>
      <x:c r="G584" s="38"/>
      <x:c r="H584" s="39" t="e">
        <x:f>HYPERLINK("#'山海经原文总库'!A3","↩ 返回目录")</x:f>
        <x:v>HYPERLINK is not implemented. linkLocation=#'山海经原文总库'!A3, friendlyName=↩ 返回目录</x:v>
      </x:c>
      <x:c r="I584" s="437"/>
      <x:c r="J584" s="437"/>
      <x:c r="K584" s="437" t="str">
        <x:v>待同名检索｜待建档</x:v>
      </x:c>
    </x:row>
    <x:row r="585" ht="48" customHeight="1">
      <x:c r="A585" s="36" t="str">
        <x:v>SHJ-03-077</x:v>
      </x:c>
      <x:c r="B585" s="36" t="str">
        <x:v>卷三 《北山經》</x:v>
      </x:c>
      <x:c r="C585" s="37" t="str">
        <x:v>又北五百里，曰錞於毋逢之山，北望雞號之山，其風如（風劦）。西望幽都之山，浴水出焉。是有大蛇，赤首白身，其音如牛，見則其邑大旱。</x:v>
      </x:c>
      <x:c r="D585" s="36" t="str">
        <x:v>錞於毋逢之山</x:v>
      </x:c>
      <x:c r="E585" s="36" t="str">
        <x:v>山</x:v>
      </x:c>
      <x:c r="F585" s="16"/>
      <x:c r="G585" s="38" t="str">
        <x:v>标点与分段参考《山海经校注》；正文对读：https://ctext.org/shan-hai-jing/bei-shan-jing/zh</x:v>
      </x:c>
      <x:c r="H585" s="39" t="e">
        <x:f>HYPERLINK("#'山海经原文总库'!A3","↩ 返回目录")</x:f>
        <x:v>HYPERLINK is not implemented. linkLocation=#'山海经原文总库'!A3, friendlyName=↩ 返回目录</x:v>
      </x:c>
      <x:c r="I585" s="437"/>
      <x:c r="J585" s="437"/>
      <x:c r="K585" s="437" t="str">
        <x:v>待同名检索｜待建档</x:v>
      </x:c>
    </x:row>
    <x:row r="586" ht="22.5" customHeight="1">
      <x:c r="A586" s="36"/>
      <x:c r="B586" s="36"/>
      <x:c r="C586" s="37"/>
      <x:c r="D586" s="36" t="str">
        <x:v>浴水</x:v>
      </x:c>
      <x:c r="E586" s="36" t="str">
        <x:v>水系</x:v>
      </x:c>
      <x:c r="F586" s="16"/>
      <x:c r="G586" s="38"/>
      <x:c r="H586" s="39" t="e">
        <x:f>HYPERLINK("#'山海经原文总库'!A3","↩ 返回目录")</x:f>
        <x:v>HYPERLINK is not implemented. linkLocation=#'山海经原文总库'!A3, friendlyName=↩ 返回目录</x:v>
      </x:c>
      <x:c r="I586" s="437"/>
      <x:c r="J586" s="437"/>
      <x:c r="K586" s="437" t="str">
        <x:v>待同名检索｜待建档</x:v>
      </x:c>
    </x:row>
    <x:row r="587" ht="22.5" customHeight="1">
      <x:c r="A587" s="36"/>
      <x:c r="B587" s="36"/>
      <x:c r="C587" s="37"/>
      <x:c r="D587" s="36" t="str">
        <x:v>幽都</x:v>
      </x:c>
      <x:c r="E587" s="36" t="str">
        <x:v>聚落／區域</x:v>
      </x:c>
      <x:c r="F587" s="16"/>
      <x:c r="G587" s="38"/>
      <x:c r="H587" s="39" t="e">
        <x:f>HYPERLINK("#'山海经原文总库'!A3","↩ 返回目录")</x:f>
        <x:v>HYPERLINK is not implemented. linkLocation=#'山海经原文总库'!A3, friendlyName=↩ 返回目录</x:v>
      </x:c>
      <x:c r="I587" s="437"/>
      <x:c r="J587" s="437"/>
      <x:c r="K587" s="437" t="str">
        <x:v>待同名检索｜待建档</x:v>
      </x:c>
    </x:row>
    <x:row r="588" ht="22.5" customHeight="1">
      <x:c r="A588" s="36"/>
      <x:c r="B588" s="36"/>
      <x:c r="C588" s="37"/>
      <x:c r="D588" s="36" t="str">
        <x:v>雞號之山</x:v>
      </x:c>
      <x:c r="E588" s="36" t="str">
        <x:v>地理名稱</x:v>
      </x:c>
      <x:c r="F588" s="16"/>
      <x:c r="G588" s="38"/>
      <x:c r="H588" s="39" t="e">
        <x:f>HYPERLINK("#'山海经原文总库'!A3","↩ 返回目录")</x:f>
        <x:v>HYPERLINK is not implemented. linkLocation=#'山海经原文总库'!A3, friendlyName=↩ 返回目录</x:v>
      </x:c>
      <x:c r="I588" s="437"/>
      <x:c r="J588" s="437"/>
      <x:c r="K588" s="437" t="str">
        <x:v>待同名检索｜待建档</x:v>
      </x:c>
    </x:row>
    <x:row r="589" ht="22.5" customHeight="1">
      <x:c r="A589" s="36"/>
      <x:c r="B589" s="36"/>
      <x:c r="C589" s="37"/>
      <x:c r="D589" s="36" t="str">
        <x:v>幽都之山</x:v>
      </x:c>
      <x:c r="E589" s="36" t="str">
        <x:v>地理名稱</x:v>
      </x:c>
      <x:c r="F589" s="16"/>
      <x:c r="G589" s="38"/>
      <x:c r="H589" s="39" t="e">
        <x:f>HYPERLINK("#'山海经原文总库'!A3","↩ 返回目录")</x:f>
        <x:v>HYPERLINK is not implemented. linkLocation=#'山海经原文总库'!A3, friendlyName=↩ 返回目录</x:v>
      </x:c>
      <x:c r="I589" s="437"/>
      <x:c r="J589" s="437"/>
      <x:c r="K589" s="437" t="str">
        <x:v>待同名检索｜待建档</x:v>
      </x:c>
    </x:row>
    <x:row r="590" ht="22.5" customHeight="1">
      <x:c r="A590" s="36"/>
      <x:c r="B590" s="36"/>
      <x:c r="C590" s="37"/>
      <x:c r="D590" s="36" t="str">
        <x:v>錞于母逢之山</x:v>
      </x:c>
      <x:c r="E590" s="36" t="str">
        <x:v>山</x:v>
      </x:c>
      <x:c r="F590" s="16"/>
      <x:c r="G590" s="38"/>
      <x:c r="H590" s="39" t="e">
        <x:f>HYPERLINK("#'山海经原文总库'!A3","↩ 返回目录")</x:f>
        <x:v>HYPERLINK is not implemented. linkLocation=#'山海经原文总库'!A3, friendlyName=↩ 返回目录</x:v>
      </x:c>
      <x:c r="I590" s="437"/>
      <x:c r="J590" s="437"/>
      <x:c r="K590" s="437" t="str">
        <x:v>待同名检索｜待建档</x:v>
      </x:c>
    </x:row>
    <x:row r="591" ht="64.5" customHeight="1">
      <x:c r="A591" s="36" t="str">
        <x:v>SHJ-03-078</x:v>
      </x:c>
      <x:c r="B591" s="36" t="str">
        <x:v>卷三 《北山經》</x:v>
      </x:c>
      <x:c r="C591" s="37" t="str">
        <x:v>凡北次三經之首，自太行之山以至於無逢之山，凡四十六山，萬二千三百五十里。其神狀皆馬身而人面者廿神。其祠之，皆用一藻茞瘞之。其十四神狀皆彘身而載玉。其祠之，皆玉，不瘞。其十神狀皆彘身而八足蛇尾。其祠之，皆用一璧瘞之。大凡四十四神，皆用稌糈米祠之，此皆不火食。</x:v>
      </x:c>
      <x:c r="D591" s="36" t="str">
        <x:v>太行之山以至於無逢之山</x:v>
      </x:c>
      <x:c r="E591" s="36" t="str">
        <x:v>山</x:v>
      </x:c>
      <x:c r="F591" s="16"/>
      <x:c r="G591" s="38" t="str">
        <x:v>标点与分段参考《山海经校注》；正文对读：https://ctext.org/shan-hai-jing/bei-shan-jing/zh</x:v>
      </x:c>
      <x:c r="H591" s="39" t="e">
        <x:f>HYPERLINK("#'山海经原文总库'!A3","↩ 返回目录")</x:f>
        <x:v>HYPERLINK is not implemented. linkLocation=#'山海经原文总库'!A3, friendlyName=↩ 返回目录</x:v>
      </x:c>
      <x:c r="I591" s="437"/>
      <x:c r="J591" s="437"/>
      <x:c r="K591" s="437" t="str">
        <x:v>待同名检索｜待建档</x:v>
      </x:c>
    </x:row>
    <x:row r="592" ht="48" customHeight="1">
      <x:c r="A592" s="36" t="str">
        <x:v>SHJ-03-079</x:v>
      </x:c>
      <x:c r="B592" s="36" t="str">
        <x:v>卷三 《北山經》</x:v>
      </x:c>
      <x:c r="C592" s="37" t="str">
        <x:v>右北經之山志，凡八十七山，二萬三千二百三十里。</x:v>
      </x:c>
      <x:c r="D592" s="36"/>
      <x:c r="E592" s="36"/>
      <x:c r="F592" s="16"/>
      <x:c r="G592" s="38" t="str">
        <x:v>标点与分段参考《山海经校注》；正文对读：https://ctext.org/shan-hai-jing/bei-shan-jing/zh</x:v>
      </x:c>
      <x:c r="H592" s="39" t="e">
        <x:f>HYPERLINK("#'山海经原文总库'!A3","↩ 返回目录")</x:f>
        <x:v>HYPERLINK is not implemented. linkLocation=#'山海经原文总库'!A3, friendlyName=↩ 返回目录</x:v>
      </x:c>
      <x:c r="I592" s="437"/>
      <x:c r="J592" s="437"/>
      <x:c r="K592" s="437" t="str">
        <x:v>经文已收录｜非地点行</x:v>
      </x:c>
    </x:row>
    <x:row r="593" ht="48" customHeight="1">
      <x:c r="A593" s="40" t="str">
        <x:v>SHJ-04-001</x:v>
      </x:c>
      <x:c r="B593" s="40" t="str">
        <x:v>卷四 《東山經》</x:v>
      </x:c>
      <x:c r="C593" s="41" t="str">
        <x:v>東山經之首，曰樕蟊（矛改朱）之山，北臨乾昧。食水出焉，而東北流注於海。其中多之魚，其狀如犁牛，其音如彘鳴。</x:v>
      </x:c>
      <x:c r="D593" s="40" t="str">
        <x:v>食水</x:v>
      </x:c>
      <x:c r="E593" s="40" t="str">
        <x:v>水系</x:v>
      </x:c>
      <x:c r="F593" s="17"/>
      <x:c r="G593" s="42" t="str">
        <x:v>标点与分段参考《山海经校注》；正文对读：https://ctext.org/shan-hai-jing/dong-shan-jing/zh</x:v>
      </x:c>
      <x:c r="H593" s="43" t="e">
        <x:f>HYPERLINK("#'山海经原文总库'!A3","↩ 返回目录")</x:f>
        <x:v>HYPERLINK is not implemented. linkLocation=#'山海经原文总库'!A3, friendlyName=↩ 返回目录</x:v>
      </x:c>
      <x:c r="I593" s="437"/>
      <x:c r="J593" s="437"/>
      <x:c r="K593" s="437" t="str">
        <x:v>待同名检索｜待建档</x:v>
      </x:c>
    </x:row>
    <x:row r="594" ht="22.5" customHeight="1">
      <x:c r="A594" s="40"/>
      <x:c r="B594" s="40"/>
      <x:c r="C594" s="41"/>
      <x:c r="D594" s="40" t="str">
        <x:v>乾昧</x:v>
      </x:c>
      <x:c r="E594" s="40" t="str">
        <x:v>地理名稱</x:v>
      </x:c>
      <x:c r="F594" s="17"/>
      <x:c r="G594" s="42"/>
      <x:c r="H594" s="43" t="e">
        <x:f>HYPERLINK("#'山海经原文总库'!A3","↩ 返回目录")</x:f>
        <x:v>HYPERLINK is not implemented. linkLocation=#'山海经原文总库'!A3, friendlyName=↩ 返回目录</x:v>
      </x:c>
      <x:c r="I594" s="437"/>
      <x:c r="J594" s="437"/>
      <x:c r="K594" s="437" t="str">
        <x:v>待同名检索｜待建档</x:v>
      </x:c>
    </x:row>
    <x:row r="595" ht="22.5" customHeight="1">
      <x:c r="A595" s="40"/>
      <x:c r="B595" s="40"/>
      <x:c r="C595" s="41"/>
      <x:c r="D595" s="40" t="str">
        <x:v>樕𧑤之山</x:v>
      </x:c>
      <x:c r="E595" s="40" t="str">
        <x:v>山</x:v>
      </x:c>
      <x:c r="F595" s="17"/>
      <x:c r="G595" s="42"/>
      <x:c r="H595" s="43" t="e">
        <x:f>HYPERLINK("#'山海经原文总库'!A3","↩ 返回目录")</x:f>
        <x:v>HYPERLINK is not implemented. linkLocation=#'山海经原文总库'!A3, friendlyName=↩ 返回目录</x:v>
      </x:c>
      <x:c r="I595" s="437"/>
      <x:c r="J595" s="437"/>
      <x:c r="K595" s="437" t="str">
        <x:v>待同名检索｜待建档</x:v>
      </x:c>
    </x:row>
    <x:row r="596" ht="48" customHeight="1">
      <x:c r="A596" s="40" t="str">
        <x:v>SHJ-04-002</x:v>
      </x:c>
      <x:c r="B596" s="40" t="str">
        <x:v>卷四 《東山經》</x:v>
      </x:c>
      <x:c r="C596" s="41" t="str">
        <x:v>又南三百里，曰藟山，其上有玉，其下有金。湖水出焉，東流注於食水，其中多活師。</x:v>
      </x:c>
      <x:c r="D596" s="40" t="str">
        <x:v>藟山</x:v>
      </x:c>
      <x:c r="E596" s="40" t="str">
        <x:v>山</x:v>
      </x:c>
      <x:c r="F596" s="17"/>
      <x:c r="G596" s="42" t="str">
        <x:v>标点与分段参考《山海经校注》；正文对读：https://ctext.org/shan-hai-jing/dong-shan-jing/zh</x:v>
      </x:c>
      <x:c r="H596" s="43" t="e">
        <x:f>HYPERLINK("#'山海经原文总库'!A3","↩ 返回目录")</x:f>
        <x:v>HYPERLINK is not implemented. linkLocation=#'山海经原文总库'!A3, friendlyName=↩ 返回目录</x:v>
      </x:c>
      <x:c r="I596" s="437"/>
      <x:c r="J596" s="437"/>
      <x:c r="K596" s="437" t="str">
        <x:v>待同名检索｜待建档</x:v>
      </x:c>
    </x:row>
    <x:row r="597" ht="22.5" customHeight="1">
      <x:c r="A597" s="40"/>
      <x:c r="B597" s="40"/>
      <x:c r="C597" s="41"/>
      <x:c r="D597" s="40" t="str">
        <x:v>湖水</x:v>
      </x:c>
      <x:c r="E597" s="40" t="str">
        <x:v>水系</x:v>
      </x:c>
      <x:c r="F597" s="17"/>
      <x:c r="G597" s="42"/>
      <x:c r="H597" s="43" t="e">
        <x:f>HYPERLINK("#'山海经原文总库'!A3","↩ 返回目录")</x:f>
        <x:v>HYPERLINK is not implemented. linkLocation=#'山海经原文总库'!A3, friendlyName=↩ 返回目录</x:v>
      </x:c>
      <x:c r="I597" s="437"/>
      <x:c r="J597" s="437"/>
      <x:c r="K597" s="437" t="str">
        <x:v>待同名检索｜待建档</x:v>
      </x:c>
    </x:row>
    <x:row r="598" ht="22.5" customHeight="1">
      <x:c r="A598" s="40"/>
      <x:c r="B598" s="40"/>
      <x:c r="C598" s="41"/>
      <x:c r="D598" s="40" t="str">
        <x:v>食水</x:v>
      </x:c>
      <x:c r="E598" s="40" t="str">
        <x:v>水系</x:v>
      </x:c>
      <x:c r="F598" s="17"/>
      <x:c r="G598" s="42"/>
      <x:c r="H598" s="43" t="e">
        <x:f>HYPERLINK("#'山海经原文总库'!A3","↩ 返回目录")</x:f>
        <x:v>HYPERLINK is not implemented. linkLocation=#'山海经原文总库'!A3, friendlyName=↩ 返回目录</x:v>
      </x:c>
      <x:c r="I598" s="437"/>
      <x:c r="J598" s="437"/>
      <x:c r="K598" s="437" t="str">
        <x:v>待同名检索｜待建档</x:v>
      </x:c>
    </x:row>
    <x:row r="599" ht="64.5" customHeight="1">
      <x:c r="A599" s="40" t="str">
        <x:v>SHJ-04-003</x:v>
      </x:c>
      <x:c r="B599" s="40" t="str">
        <x:v>卷四 《東山經》</x:v>
      </x:c>
      <x:c r="C599" s="41" t="str">
        <x:v>又南三百里，曰栒狀之山，其上多金玉，其下多青碧石。有獸焉，其狀如犬，六足，其名曰從從，其鳴自詨。有鳥焉，其狀如雞而鼠毛，其名曰（上此下蟲）鼠，見則其邑大旱。水出焉，而北流注於湖水。其中多箴魚，其狀如儵，其喙如箴，食之無疫疾。</x:v>
      </x:c>
      <x:c r="D599" s="40" t="str">
        <x:v>栒狀之山</x:v>
      </x:c>
      <x:c r="E599" s="40" t="str">
        <x:v>山</x:v>
      </x:c>
      <x:c r="F599" s="17"/>
      <x:c r="G599" s="42" t="str">
        <x:v>标点与分段参考《山海经校注》；正文对读：https://ctext.org/shan-hai-jing/dong-shan-jing/zh</x:v>
      </x:c>
      <x:c r="H599" s="43" t="e">
        <x:f>HYPERLINK("#'山海经原文总库'!A3","↩ 返回目录")</x:f>
        <x:v>HYPERLINK is not implemented. linkLocation=#'山海经原文总库'!A3, friendlyName=↩ 返回目录</x:v>
      </x:c>
      <x:c r="I599" s="437"/>
      <x:c r="J599" s="437"/>
      <x:c r="K599" s="437" t="str">
        <x:v>待同名检索｜待建档</x:v>
      </x:c>
    </x:row>
    <x:row r="600" ht="22.5" customHeight="1">
      <x:c r="A600" s="40"/>
      <x:c r="B600" s="40"/>
      <x:c r="C600" s="41"/>
      <x:c r="D600" s="40" t="str">
        <x:v>湖水</x:v>
      </x:c>
      <x:c r="E600" s="40" t="str">
        <x:v>水系</x:v>
      </x:c>
      <x:c r="F600" s="17"/>
      <x:c r="G600" s="42"/>
      <x:c r="H600" s="43" t="e">
        <x:f>HYPERLINK("#'山海经原文总库'!A3","↩ 返回目录")</x:f>
        <x:v>HYPERLINK is not implemented. linkLocation=#'山海经原文总库'!A3, friendlyName=↩ 返回目录</x:v>
      </x:c>
      <x:c r="I600" s="437"/>
      <x:c r="J600" s="437"/>
      <x:c r="K600" s="437" t="str">
        <x:v>待同名检索｜待建档</x:v>
      </x:c>
    </x:row>
    <x:row r="601" ht="22.5" customHeight="1">
      <x:c r="A601" s="40"/>
      <x:c r="B601" s="40"/>
      <x:c r="C601" s="41"/>
      <x:c r="D601" s="40" t="str">
        <x:v>𣲵水</x:v>
      </x:c>
      <x:c r="E601" s="40" t="str">
        <x:v>水系</x:v>
      </x:c>
      <x:c r="F601" s="17"/>
      <x:c r="G601" s="42"/>
      <x:c r="H601" s="43" t="e">
        <x:f>HYPERLINK("#'山海经原文总库'!A3","↩ 返回目录")</x:f>
        <x:v>HYPERLINK is not implemented. linkLocation=#'山海经原文总库'!A3, friendlyName=↩ 返回目录</x:v>
      </x:c>
      <x:c r="I601" s="437"/>
      <x:c r="J601" s="437"/>
      <x:c r="K601" s="437" t="str">
        <x:v>待同名检索｜待建档</x:v>
      </x:c>
    </x:row>
    <x:row r="602" ht="48" customHeight="1">
      <x:c r="A602" s="40" t="str">
        <x:v>SHJ-04-004</x:v>
      </x:c>
      <x:c r="B602" s="40" t="str">
        <x:v>卷四 《東山經》</x:v>
      </x:c>
      <x:c r="C602" s="41" t="str">
        <x:v>又南三百里，曰勃？之山，無草木，無水。</x:v>
      </x:c>
      <x:c r="D602" s="40" t="str">
        <x:v>勃齊之山</x:v>
      </x:c>
      <x:c r="E602" s="40" t="str">
        <x:v>山</x:v>
      </x:c>
      <x:c r="F602" s="17"/>
      <x:c r="G602" s="42" t="str">
        <x:v>标点与分段参考《山海经校注》；正文对读：https://ctext.org/shan-hai-jing/dong-shan-jing/zh</x:v>
      </x:c>
      <x:c r="H602" s="43" t="e">
        <x:f>HYPERLINK("#'山海经原文总库'!A3","↩ 返回目录")</x:f>
        <x:v>HYPERLINK is not implemented. linkLocation=#'山海经原文总库'!A3, friendlyName=↩ 返回目录</x:v>
      </x:c>
      <x:c r="I602" s="437"/>
      <x:c r="J602" s="437"/>
      <x:c r="K602" s="437" t="str">
        <x:v>待同名检索｜待建档</x:v>
      </x:c>
    </x:row>
    <x:row r="603" ht="48" customHeight="1">
      <x:c r="A603" s="40" t="str">
        <x:v>SHJ-04-005</x:v>
      </x:c>
      <x:c r="B603" s="40" t="str">
        <x:v>卷四 《東山經》</x:v>
      </x:c>
      <x:c r="C603" s="41" t="str">
        <x:v>又南三百里，曰番條之山，無草木，多沙。減水出焉，北流注於海，其中多？魚。</x:v>
      </x:c>
      <x:c r="D603" s="40" t="str">
        <x:v>番條之山</x:v>
      </x:c>
      <x:c r="E603" s="40" t="str">
        <x:v>山</x:v>
      </x:c>
      <x:c r="F603" s="17"/>
      <x:c r="G603" s="42" t="str">
        <x:v>标点与分段参考《山海经校注》；正文对读：https://ctext.org/shan-hai-jing/dong-shan-jing/zh</x:v>
      </x:c>
      <x:c r="H603" s="43" t="e">
        <x:f>HYPERLINK("#'山海经原文总库'!A3","↩ 返回目录")</x:f>
        <x:v>HYPERLINK is not implemented. linkLocation=#'山海经原文总库'!A3, friendlyName=↩ 返回目录</x:v>
      </x:c>
      <x:c r="I603" s="437"/>
      <x:c r="J603" s="437"/>
      <x:c r="K603" s="437" t="str">
        <x:v>待同名检索｜待建档</x:v>
      </x:c>
    </x:row>
    <x:row r="604" ht="22.5" customHeight="1">
      <x:c r="A604" s="40"/>
      <x:c r="B604" s="40"/>
      <x:c r="C604" s="41"/>
      <x:c r="D604" s="40" t="str">
        <x:v>減水</x:v>
      </x:c>
      <x:c r="E604" s="40" t="str">
        <x:v>水系</x:v>
      </x:c>
      <x:c r="F604" s="17"/>
      <x:c r="G604" s="42"/>
      <x:c r="H604" s="43" t="e">
        <x:f>HYPERLINK("#'山海经原文总库'!A3","↩ 返回目录")</x:f>
        <x:v>HYPERLINK is not implemented. linkLocation=#'山海经原文总库'!A3, friendlyName=↩ 返回目录</x:v>
      </x:c>
      <x:c r="I604" s="437"/>
      <x:c r="J604" s="437"/>
      <x:c r="K604" s="437" t="str">
        <x:v>待同名检索｜待建档</x:v>
      </x:c>
    </x:row>
    <x:row r="605" ht="48" customHeight="1">
      <x:c r="A605" s="40" t="str">
        <x:v>SHJ-04-006</x:v>
      </x:c>
      <x:c r="B605" s="40" t="str">
        <x:v>卷四 《東山經》</x:v>
      </x:c>
      <x:c r="C605" s="41" t="str">
        <x:v>又南四百里，曰姑兒之山，其上多漆，其下多桑柘。姑兒之水出焉，北流注於海，其中多？魚。</x:v>
      </x:c>
      <x:c r="D605" s="40" t="str">
        <x:v>姑兒之山</x:v>
      </x:c>
      <x:c r="E605" s="40" t="str">
        <x:v>山</x:v>
      </x:c>
      <x:c r="F605" s="17"/>
      <x:c r="G605" s="42" t="str">
        <x:v>标点与分段参考《山海经校注》；正文对读：https://ctext.org/shan-hai-jing/dong-shan-jing/zh</x:v>
      </x:c>
      <x:c r="H605" s="43" t="e">
        <x:f>HYPERLINK("#'山海经原文总库'!A3","↩ 返回目录")</x:f>
        <x:v>HYPERLINK is not implemented. linkLocation=#'山海经原文总库'!A3, friendlyName=↩ 返回目录</x:v>
      </x:c>
      <x:c r="I605" s="437"/>
      <x:c r="J605" s="437"/>
      <x:c r="K605" s="437" t="str">
        <x:v>待同名检索｜待建档</x:v>
      </x:c>
    </x:row>
    <x:row r="606" ht="22.5" customHeight="1">
      <x:c r="A606" s="40"/>
      <x:c r="B606" s="40"/>
      <x:c r="C606" s="41"/>
      <x:c r="D606" s="40" t="str">
        <x:v>姑兒之水</x:v>
      </x:c>
      <x:c r="E606" s="40" t="str">
        <x:v>水系</x:v>
      </x:c>
      <x:c r="F606" s="17"/>
      <x:c r="G606" s="42"/>
      <x:c r="H606" s="43" t="e">
        <x:f>HYPERLINK("#'山海经原文总库'!A3","↩ 返回目录")</x:f>
        <x:v>HYPERLINK is not implemented. linkLocation=#'山海经原文总库'!A3, friendlyName=↩ 返回目录</x:v>
      </x:c>
      <x:c r="I606" s="437"/>
      <x:c r="J606" s="437"/>
      <x:c r="K606" s="437" t="str">
        <x:v>待同名检索｜待建档</x:v>
      </x:c>
    </x:row>
    <x:row r="607" ht="48" customHeight="1">
      <x:c r="A607" s="40" t="str">
        <x:v>SHJ-04-007</x:v>
      </x:c>
      <x:c r="B607" s="40" t="str">
        <x:v>卷四 《東山經》</x:v>
      </x:c>
      <x:c r="C607" s="41" t="str">
        <x:v>又南四百里，曰高氏之山，其上多玉，其下多箴石。諸繩之水出焉，東流注於澤，其中多金玉。</x:v>
      </x:c>
      <x:c r="D607" s="40" t="str">
        <x:v>高氏之山</x:v>
      </x:c>
      <x:c r="E607" s="40" t="str">
        <x:v>山</x:v>
      </x:c>
      <x:c r="F607" s="17"/>
      <x:c r="G607" s="42" t="str">
        <x:v>标点与分段参考《山海经校注》；正文对读：https://ctext.org/shan-hai-jing/dong-shan-jing/zh</x:v>
      </x:c>
      <x:c r="H607" s="43" t="e">
        <x:f>HYPERLINK("#'山海经原文总库'!A3","↩ 返回目录")</x:f>
        <x:v>HYPERLINK is not implemented. linkLocation=#'山海经原文总库'!A3, friendlyName=↩ 返回目录</x:v>
      </x:c>
      <x:c r="I607" s="437"/>
      <x:c r="J607" s="437"/>
      <x:c r="K607" s="437" t="str">
        <x:v>待同名检索｜待建档</x:v>
      </x:c>
    </x:row>
    <x:row r="608" ht="22.5" customHeight="1">
      <x:c r="A608" s="40"/>
      <x:c r="B608" s="40"/>
      <x:c r="C608" s="41"/>
      <x:c r="D608" s="40" t="str">
        <x:v>諸繩之水</x:v>
      </x:c>
      <x:c r="E608" s="40" t="str">
        <x:v>水系</x:v>
      </x:c>
      <x:c r="F608" s="17"/>
      <x:c r="G608" s="42"/>
      <x:c r="H608" s="43" t="e">
        <x:f>HYPERLINK("#'山海经原文总库'!A3","↩ 返回目录")</x:f>
        <x:v>HYPERLINK is not implemented. linkLocation=#'山海经原文总库'!A3, friendlyName=↩ 返回目录</x:v>
      </x:c>
      <x:c r="I608" s="437"/>
      <x:c r="J608" s="437"/>
      <x:c r="K608" s="437" t="str">
        <x:v>待同名检索｜待建档</x:v>
      </x:c>
    </x:row>
    <x:row r="609" ht="48" customHeight="1">
      <x:c r="A609" s="40" t="str">
        <x:v>SHJ-04-008</x:v>
      </x:c>
      <x:c r="B609" s="40" t="str">
        <x:v>卷四 《東山經》</x:v>
      </x:c>
      <x:c r="C609" s="41" t="str">
        <x:v>又南三百里，曰岳山，其上多桑，其下多樗。濼水出焉，東流注於澤，其中多金玉。</x:v>
      </x:c>
      <x:c r="D609" s="40" t="str">
        <x:v>岳山</x:v>
      </x:c>
      <x:c r="E609" s="40" t="str">
        <x:v>山</x:v>
      </x:c>
      <x:c r="F609" s="17"/>
      <x:c r="G609" s="42" t="str">
        <x:v>标点与分段参考《山海经校注》；正文对读：https://ctext.org/shan-hai-jing/dong-shan-jing/zh</x:v>
      </x:c>
      <x:c r="H609" s="43" t="e">
        <x:f>HYPERLINK("#'山海经原文总库'!A3","↩ 返回目录")</x:f>
        <x:v>HYPERLINK is not implemented. linkLocation=#'山海经原文总库'!A3, friendlyName=↩ 返回目录</x:v>
      </x:c>
      <x:c r="I609" s="437"/>
      <x:c r="J609" s="437"/>
      <x:c r="K609" s="437" t="str">
        <x:v>待同名检索｜待建档</x:v>
      </x:c>
    </x:row>
    <x:row r="610" ht="22.5" customHeight="1">
      <x:c r="A610" s="40"/>
      <x:c r="B610" s="40"/>
      <x:c r="C610" s="41"/>
      <x:c r="D610" s="40" t="str">
        <x:v>濼水</x:v>
      </x:c>
      <x:c r="E610" s="40" t="str">
        <x:v>水系</x:v>
      </x:c>
      <x:c r="F610" s="17"/>
      <x:c r="G610" s="42"/>
      <x:c r="H610" s="43" t="e">
        <x:f>HYPERLINK("#'山海经原文总库'!A3","↩ 返回目录")</x:f>
        <x:v>HYPERLINK is not implemented. linkLocation=#'山海经原文总库'!A3, friendlyName=↩ 返回目录</x:v>
      </x:c>
      <x:c r="I610" s="437"/>
      <x:c r="J610" s="437"/>
      <x:c r="K610" s="437" t="str">
        <x:v>待同名检索｜待建档</x:v>
      </x:c>
    </x:row>
    <x:row r="611" ht="48" customHeight="1">
      <x:c r="A611" s="40" t="str">
        <x:v>SHJ-04-009</x:v>
      </x:c>
      <x:c r="B611" s="40" t="str">
        <x:v>卷四 《東山經》</x:v>
      </x:c>
      <x:c r="C611" s="41" t="str">
        <x:v>又南三百里，曰柟山，其上無草木，其下多水，其中多堪（予予）之魚。有獸焉，其狀如誇父而彘毛，其音如呼，見則天下大水。</x:v>
      </x:c>
      <x:c r="D611" s="40" t="str">
        <x:v>柟山</x:v>
      </x:c>
      <x:c r="E611" s="40" t="str">
        <x:v>山</x:v>
      </x:c>
      <x:c r="F611" s="17"/>
      <x:c r="G611" s="42" t="str">
        <x:v>标点与分段参考《山海经校注》；正文对读：https://ctext.org/shan-hai-jing/dong-shan-jing/zh</x:v>
      </x:c>
      <x:c r="H611" s="43" t="e">
        <x:f>HYPERLINK("#'山海经原文总库'!A3","↩ 返回目录")</x:f>
        <x:v>HYPERLINK is not implemented. linkLocation=#'山海经原文总库'!A3, friendlyName=↩ 返回目录</x:v>
      </x:c>
      <x:c r="I611" s="437"/>
      <x:c r="J611" s="437"/>
      <x:c r="K611" s="437" t="str">
        <x:v>待同名检索｜待建档</x:v>
      </x:c>
    </x:row>
    <x:row r="612" ht="22.5" customHeight="1">
      <x:c r="A612" s="40"/>
      <x:c r="B612" s="40"/>
      <x:c r="C612" s="41"/>
      <x:c r="D612" s="40" t="str">
        <x:v>犲山</x:v>
      </x:c>
      <x:c r="E612" s="40" t="str">
        <x:v>山</x:v>
      </x:c>
      <x:c r="F612" s="17"/>
      <x:c r="G612" s="42"/>
      <x:c r="H612" s="43" t="e">
        <x:f>HYPERLINK("#'山海经原文总库'!A3","↩ 返回目录")</x:f>
        <x:v>HYPERLINK is not implemented. linkLocation=#'山海经原文总库'!A3, friendlyName=↩ 返回目录</x:v>
      </x:c>
      <x:c r="I612" s="437"/>
      <x:c r="J612" s="437"/>
      <x:c r="K612" s="437" t="str">
        <x:v>待同名检索｜待建档</x:v>
      </x:c>
    </x:row>
    <x:row r="613" ht="48" customHeight="1">
      <x:c r="A613" s="40" t="str">
        <x:v>SHJ-04-010</x:v>
      </x:c>
      <x:c r="B613" s="40" t="str">
        <x:v>卷四 《東山經》</x:v>
      </x:c>
      <x:c r="C613" s="41" t="str">
        <x:v>又南三百里，曰獨山，其上多金玉，其下多美石。末塗之水出焉，而東南流注於沔，其中多鯈（魚改蟲）（蟲庸），其狀如黃蛇，魚翼，出入有光，見則其邑大旱。</x:v>
      </x:c>
      <x:c r="D613" s="40" t="str">
        <x:v>獨山</x:v>
      </x:c>
      <x:c r="E613" s="40" t="str">
        <x:v>山</x:v>
      </x:c>
      <x:c r="F613" s="17"/>
      <x:c r="G613" s="42" t="str">
        <x:v>标点与分段参考《山海经校注》；正文对读：https://ctext.org/shan-hai-jing/dong-shan-jing/zh</x:v>
      </x:c>
      <x:c r="H613" s="43" t="e">
        <x:f>HYPERLINK("#'山海经原文总库'!A3","↩ 返回目录")</x:f>
        <x:v>HYPERLINK is not implemented. linkLocation=#'山海经原文总库'!A3, friendlyName=↩ 返回目录</x:v>
      </x:c>
      <x:c r="I613" s="437"/>
      <x:c r="J613" s="437"/>
      <x:c r="K613" s="437" t="str">
        <x:v>待同名检索｜待建档</x:v>
      </x:c>
    </x:row>
    <x:row r="614" ht="22.5" customHeight="1">
      <x:c r="A614" s="40"/>
      <x:c r="B614" s="40"/>
      <x:c r="C614" s="41"/>
      <x:c r="D614" s="40" t="str">
        <x:v>末塗之水</x:v>
      </x:c>
      <x:c r="E614" s="40" t="str">
        <x:v>水系</x:v>
      </x:c>
      <x:c r="F614" s="17"/>
      <x:c r="G614" s="42"/>
      <x:c r="H614" s="43" t="e">
        <x:f>HYPERLINK("#'山海经原文总库'!A3","↩ 返回目录")</x:f>
        <x:v>HYPERLINK is not implemented. linkLocation=#'山海经原文总库'!A3, friendlyName=↩ 返回目录</x:v>
      </x:c>
      <x:c r="I614" s="437"/>
      <x:c r="J614" s="437"/>
      <x:c r="K614" s="437" t="str">
        <x:v>待同名检索｜待建档</x:v>
      </x:c>
    </x:row>
    <x:row r="615" ht="48" customHeight="1">
      <x:c r="A615" s="40" t="str">
        <x:v>SHJ-04-011</x:v>
      </x:c>
      <x:c r="B615" s="40" t="str">
        <x:v>卷四 《東山經》</x:v>
      </x:c>
      <x:c r="C615" s="41" t="str">
        <x:v>又南三百里，曰泰山，其上多玉，其下多金。有獸焉，其狀如豚而有珠，名曰狪狪，其鳴自？。環水出焉，東流注於江，其中多水玉。</x:v>
      </x:c>
      <x:c r="D615" s="40" t="str">
        <x:v>泰山</x:v>
      </x:c>
      <x:c r="E615" s="40" t="str">
        <x:v>山</x:v>
      </x:c>
      <x:c r="F615" s="17"/>
      <x:c r="G615" s="42" t="str">
        <x:v>标点与分段参考《山海经校注》；正文对读：https://ctext.org/shan-hai-jing/dong-shan-jing/zh</x:v>
      </x:c>
      <x:c r="H615" s="43" t="e">
        <x:f>HYPERLINK("#'山海经原文总库'!A3","↩ 返回目录")</x:f>
        <x:v>HYPERLINK is not implemented. linkLocation=#'山海经原文总库'!A3, friendlyName=↩ 返回目录</x:v>
      </x:c>
      <x:c r="I615" s="437"/>
      <x:c r="J615" s="437"/>
      <x:c r="K615" s="437" t="str">
        <x:v>待同名检索｜待建档</x:v>
      </x:c>
    </x:row>
    <x:row r="616" ht="22.5" customHeight="1">
      <x:c r="A616" s="40"/>
      <x:c r="B616" s="40"/>
      <x:c r="C616" s="41"/>
      <x:c r="D616" s="40" t="str">
        <x:v>環水</x:v>
      </x:c>
      <x:c r="E616" s="40" t="str">
        <x:v>水系</x:v>
      </x:c>
      <x:c r="F616" s="17"/>
      <x:c r="G616" s="42"/>
      <x:c r="H616" s="43" t="e">
        <x:f>HYPERLINK("#'山海经原文总库'!A3","↩ 返回目录")</x:f>
        <x:v>HYPERLINK is not implemented. linkLocation=#'山海经原文总库'!A3, friendlyName=↩ 返回目录</x:v>
      </x:c>
      <x:c r="I616" s="437"/>
      <x:c r="J616" s="437"/>
      <x:c r="K616" s="437" t="str">
        <x:v>待同名检索｜待建档</x:v>
      </x:c>
    </x:row>
    <x:row r="617" ht="48" customHeight="1">
      <x:c r="A617" s="40" t="str">
        <x:v>SHJ-04-012</x:v>
      </x:c>
      <x:c r="B617" s="40" t="str">
        <x:v>卷四 《東山經》</x:v>
      </x:c>
      <x:c r="C617" s="41" t="str">
        <x:v>又南三百里，曰竹山，錞於江，無草木，多瑤碧。激水出焉，而東南流注於娶檀之水，其中多茈羸。</x:v>
      </x:c>
      <x:c r="D617" s="40" t="str">
        <x:v>竹山</x:v>
      </x:c>
      <x:c r="E617" s="40" t="str">
        <x:v>山</x:v>
      </x:c>
      <x:c r="F617" s="17"/>
      <x:c r="G617" s="42" t="str">
        <x:v>标点与分段参考《山海经校注》；正文对读：https://ctext.org/shan-hai-jing/dong-shan-jing/zh</x:v>
      </x:c>
      <x:c r="H617" s="43" t="e">
        <x:f>HYPERLINK("#'山海经原文总库'!A3","↩ 返回目录")</x:f>
        <x:v>HYPERLINK is not implemented. linkLocation=#'山海经原文总库'!A3, friendlyName=↩ 返回目录</x:v>
      </x:c>
      <x:c r="I617" s="437"/>
      <x:c r="J617" s="437"/>
      <x:c r="K617" s="437" t="str">
        <x:v>待同名检索｜待建档</x:v>
      </x:c>
    </x:row>
    <x:row r="618" ht="22.5" customHeight="1">
      <x:c r="A618" s="40"/>
      <x:c r="B618" s="40"/>
      <x:c r="C618" s="41"/>
      <x:c r="D618" s="40" t="str">
        <x:v>激水</x:v>
      </x:c>
      <x:c r="E618" s="40" t="str">
        <x:v>水系</x:v>
      </x:c>
      <x:c r="F618" s="17"/>
      <x:c r="G618" s="42"/>
      <x:c r="H618" s="43" t="e">
        <x:f>HYPERLINK("#'山海经原文总库'!A3","↩ 返回目录")</x:f>
        <x:v>HYPERLINK is not implemented. linkLocation=#'山海经原文总库'!A3, friendlyName=↩ 返回目录</x:v>
      </x:c>
      <x:c r="I618" s="437"/>
      <x:c r="J618" s="437"/>
      <x:c r="K618" s="437" t="str">
        <x:v>待同名检索｜待建档</x:v>
      </x:c>
    </x:row>
    <x:row r="619" ht="22.5" customHeight="1">
      <x:c r="A619" s="40"/>
      <x:c r="B619" s="40"/>
      <x:c r="C619" s="41"/>
      <x:c r="D619" s="40" t="str">
        <x:v>娶檀之水</x:v>
      </x:c>
      <x:c r="E619" s="40" t="str">
        <x:v>水系</x:v>
      </x:c>
      <x:c r="F619" s="17"/>
      <x:c r="G619" s="42"/>
      <x:c r="H619" s="43" t="e">
        <x:f>HYPERLINK("#'山海经原文总库'!A3","↩ 返回目录")</x:f>
        <x:v>HYPERLINK is not implemented. linkLocation=#'山海经原文总库'!A3, friendlyName=↩ 返回目录</x:v>
      </x:c>
      <x:c r="I619" s="437"/>
      <x:c r="J619" s="437"/>
      <x:c r="K619" s="437" t="str">
        <x:v>待同名检索｜待建档</x:v>
      </x:c>
    </x:row>
    <x:row r="620" ht="48" customHeight="1">
      <x:c r="A620" s="40" t="str">
        <x:v>SHJ-04-013</x:v>
      </x:c>
      <x:c r="B620" s="40" t="str">
        <x:v>卷四 《東山經》</x:v>
      </x:c>
      <x:c r="C620" s="41" t="str">
        <x:v>凡東山經之首，自樕蟊（矛改朱）之山以至於竹山，凡十二山，三千六百里。其神狀皆人身龍首。祠：毛用一犬祈，（耳申）用魚。</x:v>
      </x:c>
      <x:c r="D620" s="40" t="str">
        <x:v>於竹山</x:v>
      </x:c>
      <x:c r="E620" s="40" t="str">
        <x:v>山</x:v>
      </x:c>
      <x:c r="F620" s="17"/>
      <x:c r="G620" s="42" t="str">
        <x:v>标点与分段参考《山海经校注》；正文对读：https://ctext.org/shan-hai-jing/dong-shan-jing/zh</x:v>
      </x:c>
      <x:c r="H620" s="43" t="e">
        <x:f>HYPERLINK("#'山海经原文总库'!A3","↩ 返回目录")</x:f>
        <x:v>HYPERLINK is not implemented. linkLocation=#'山海经原文总库'!A3, friendlyName=↩ 返回目录</x:v>
      </x:c>
      <x:c r="I620" s="437"/>
      <x:c r="J620" s="437"/>
      <x:c r="K620" s="437" t="str">
        <x:v>待同名检索｜待建档</x:v>
      </x:c>
    </x:row>
    <x:row r="621" ht="48" customHeight="1">
      <x:c r="A621" s="40" t="str">
        <x:v>SHJ-04-014</x:v>
      </x:c>
      <x:c r="B621" s="40" t="str">
        <x:v>卷四 《東山經》</x:v>
      </x:c>
      <x:c r="C621" s="41" t="str">
        <x:v>東次二經之首，曰空桑之山，北臨食水，東望沮吳，南望沙陵，西望愍澤。有獸焉，其狀如牛而虎文，其音如欽，其名曰軨軨，其鳴自叫，見則天下大水。</x:v>
      </x:c>
      <x:c r="D621" s="40" t="str">
        <x:v>空桑之山</x:v>
      </x:c>
      <x:c r="E621" s="40" t="str">
        <x:v>山</x:v>
      </x:c>
      <x:c r="F621" s="17"/>
      <x:c r="G621" s="42" t="str">
        <x:v>标点与分段参考《山海经校注》；正文对读：https://ctext.org/shan-hai-jing/dong-shan-jing/zh</x:v>
      </x:c>
      <x:c r="H621" s="43" t="e">
        <x:f>HYPERLINK("#'山海经原文总库'!A3","↩ 返回目录")</x:f>
        <x:v>HYPERLINK is not implemented. linkLocation=#'山海经原文总库'!A3, friendlyName=↩ 返回目录</x:v>
      </x:c>
      <x:c r="I621" s="437"/>
      <x:c r="J621" s="437"/>
      <x:c r="K621" s="437" t="str">
        <x:v>待同名检索｜待建档</x:v>
      </x:c>
    </x:row>
    <x:row r="622" ht="22.5" customHeight="1">
      <x:c r="A622" s="40"/>
      <x:c r="B622" s="40"/>
      <x:c r="C622" s="41"/>
      <x:c r="D622" s="40" t="str">
        <x:v>愍澤</x:v>
      </x:c>
      <x:c r="E622" s="40" t="str">
        <x:v>澤／淵</x:v>
      </x:c>
      <x:c r="F622" s="17"/>
      <x:c r="G622" s="42"/>
      <x:c r="H622" s="43" t="e">
        <x:f>HYPERLINK("#'山海经原文总库'!A3","↩ 返回目录")</x:f>
        <x:v>HYPERLINK is not implemented. linkLocation=#'山海经原文总库'!A3, friendlyName=↩ 返回目录</x:v>
      </x:c>
      <x:c r="I622" s="437"/>
      <x:c r="J622" s="437"/>
      <x:c r="K622" s="437" t="str">
        <x:v>待同名检索｜待建档</x:v>
      </x:c>
    </x:row>
    <x:row r="623" ht="22.5" customHeight="1">
      <x:c r="A623" s="40"/>
      <x:c r="B623" s="40"/>
      <x:c r="C623" s="41"/>
      <x:c r="D623" s="40" t="str">
        <x:v>食水</x:v>
      </x:c>
      <x:c r="E623" s="40" t="str">
        <x:v>地理名稱</x:v>
      </x:c>
      <x:c r="F623" s="17"/>
      <x:c r="G623" s="42"/>
      <x:c r="H623" s="43" t="e">
        <x:f>HYPERLINK("#'山海经原文总库'!A3","↩ 返回目录")</x:f>
        <x:v>HYPERLINK is not implemented. linkLocation=#'山海经原文总库'!A3, friendlyName=↩ 返回目录</x:v>
      </x:c>
      <x:c r="I623" s="437"/>
      <x:c r="J623" s="437"/>
      <x:c r="K623" s="437" t="str">
        <x:v>待同名检索｜待建档</x:v>
      </x:c>
    </x:row>
    <x:row r="624" ht="22.5" customHeight="1">
      <x:c r="A624" s="40"/>
      <x:c r="B624" s="40"/>
      <x:c r="C624" s="41"/>
      <x:c r="D624" s="40" t="str">
        <x:v>沮吳</x:v>
      </x:c>
      <x:c r="E624" s="40" t="str">
        <x:v>地理名稱</x:v>
      </x:c>
      <x:c r="F624" s="17"/>
      <x:c r="G624" s="42"/>
      <x:c r="H624" s="43" t="e">
        <x:f>HYPERLINK("#'山海经原文总库'!A3","↩ 返回目录")</x:f>
        <x:v>HYPERLINK is not implemented. linkLocation=#'山海经原文总库'!A3, friendlyName=↩ 返回目录</x:v>
      </x:c>
      <x:c r="I624" s="437"/>
      <x:c r="J624" s="437"/>
      <x:c r="K624" s="437" t="str">
        <x:v>待同名检索｜待建档</x:v>
      </x:c>
    </x:row>
    <x:row r="625" ht="22.5" customHeight="1">
      <x:c r="A625" s="40"/>
      <x:c r="B625" s="40"/>
      <x:c r="C625" s="41"/>
      <x:c r="D625" s="40" t="str">
        <x:v>沙陵</x:v>
      </x:c>
      <x:c r="E625" s="40" t="str">
        <x:v>地理名稱</x:v>
      </x:c>
      <x:c r="F625" s="17"/>
      <x:c r="G625" s="42"/>
      <x:c r="H625" s="43" t="e">
        <x:f>HYPERLINK("#'山海经原文总库'!A3","↩ 返回目录")</x:f>
        <x:v>HYPERLINK is not implemented. linkLocation=#'山海经原文总库'!A3, friendlyName=↩ 返回目录</x:v>
      </x:c>
      <x:c r="I625" s="437"/>
      <x:c r="J625" s="437"/>
      <x:c r="K625" s="437" t="str">
        <x:v>待同名检索｜待建档</x:v>
      </x:c>
    </x:row>
    <x:row r="626" ht="48" customHeight="1">
      <x:c r="A626" s="40" t="str">
        <x:v>SHJ-04-015-1</x:v>
      </x:c>
      <x:c r="B626" s="40" t="str">
        <x:v>卷四 《東山經》</x:v>
      </x:c>
      <x:c r="C626" s="41" t="str">
        <x:v>又南六百里，曰曹夕之山，其下多谷而無水，多鳥獸。</x:v>
      </x:c>
      <x:c r="D626" s="40" t="str">
        <x:v>曹夕之山</x:v>
      </x:c>
      <x:c r="E626" s="40" t="str">
        <x:v>山</x:v>
      </x:c>
      <x:c r="F626" s="17"/>
      <x:c r="G626" s="42" t="str">
        <x:v>标点与分段参考《山海经校注》；正文对读：https://ctext.org/shan-hai-jing/dong-shan-jing/zh</x:v>
      </x:c>
      <x:c r="H626" s="43" t="e">
        <x:f>HYPERLINK("#'山海经原文总库'!A3","↩ 返回目录")</x:f>
        <x:v>HYPERLINK is not implemented. linkLocation=#'山海经原文总库'!A3, friendlyName=↩ 返回目录</x:v>
      </x:c>
      <x:c r="I626" s="437"/>
      <x:c r="J626" s="437"/>
      <x:c r="K626" s="437" t="str">
        <x:v>待同名检索｜待建档</x:v>
      </x:c>
    </x:row>
    <x:row r="627" ht="48" customHeight="1">
      <x:c r="A627" s="40" t="str">
        <x:v>SHJ-04-015-2</x:v>
      </x:c>
      <x:c r="B627" s="40" t="str">
        <x:v>卷四 《東山經》</x:v>
      </x:c>
      <x:c r="C627" s="41" t="str">
        <x:v>又西南四百里，曰嶧皋之山，其上多金玉，其下多白堊，嶧皋之水出焉，東流注於激女之水，其中多蜃珧。</x:v>
      </x:c>
      <x:c r="D627" s="40" t="str">
        <x:v>嶧皋之山</x:v>
      </x:c>
      <x:c r="E627" s="40" t="str">
        <x:v>山</x:v>
      </x:c>
      <x:c r="F627" s="17"/>
      <x:c r="G627" s="42" t="str">
        <x:v>标点与分段参考《山海经校注》；正文对读：https://ctext.org/shan-hai-jing/dong-shan-jing/zh</x:v>
      </x:c>
      <x:c r="H627" s="43" t="e">
        <x:f>HYPERLINK("#'山海经原文总库'!A3","↩ 返回目录")</x:f>
        <x:v>HYPERLINK is not implemented. linkLocation=#'山海经原文总库'!A3, friendlyName=↩ 返回目录</x:v>
      </x:c>
      <x:c r="I627" s="437"/>
      <x:c r="J627" s="437"/>
      <x:c r="K627" s="437" t="str">
        <x:v>待同名检索｜待建档</x:v>
      </x:c>
    </x:row>
    <x:row r="628" ht="22.5" customHeight="1">
      <x:c r="A628" s="40"/>
      <x:c r="B628" s="40"/>
      <x:c r="C628" s="41"/>
      <x:c r="D628" s="40" t="str">
        <x:v>嶧皋之水</x:v>
      </x:c>
      <x:c r="E628" s="40" t="str">
        <x:v>水系</x:v>
      </x:c>
      <x:c r="F628" s="17"/>
      <x:c r="G628" s="42"/>
      <x:c r="H628" s="43" t="e">
        <x:f>HYPERLINK("#'山海经原文总库'!A3","↩ 返回目录")</x:f>
        <x:v>HYPERLINK is not implemented. linkLocation=#'山海经原文总库'!A3, friendlyName=↩ 返回目录</x:v>
      </x:c>
      <x:c r="I628" s="437"/>
      <x:c r="J628" s="437"/>
      <x:c r="K628" s="437" t="str">
        <x:v>待同名检索｜待建档</x:v>
      </x:c>
    </x:row>
    <x:row r="629" ht="22.5" customHeight="1">
      <x:c r="A629" s="40"/>
      <x:c r="B629" s="40"/>
      <x:c r="C629" s="41"/>
      <x:c r="D629" s="40" t="str">
        <x:v>激女之水</x:v>
      </x:c>
      <x:c r="E629" s="40" t="str">
        <x:v>水系</x:v>
      </x:c>
      <x:c r="F629" s="17"/>
      <x:c r="G629" s="42"/>
      <x:c r="H629" s="43" t="e">
        <x:f>HYPERLINK("#'山海经原文总库'!A3","↩ 返回目录")</x:f>
        <x:v>HYPERLINK is not implemented. linkLocation=#'山海经原文总库'!A3, friendlyName=↩ 返回目录</x:v>
      </x:c>
      <x:c r="I629" s="437"/>
      <x:c r="J629" s="437"/>
      <x:c r="K629" s="437" t="str">
        <x:v>待同名检索｜待建档</x:v>
      </x:c>
    </x:row>
    <x:row r="630" ht="48" customHeight="1">
      <x:c r="A630" s="40" t="str">
        <x:v>SHJ-04-015-3</x:v>
      </x:c>
      <x:c r="B630" s="40" t="str">
        <x:v>卷四 《東山經》</x:v>
      </x:c>
      <x:c r="C630" s="41" t="str">
        <x:v>又南水行五百里，流沙三百里，至於葛山之尾，無草木，多砥礪。</x:v>
      </x:c>
      <x:c r="D630" s="40" t="str">
        <x:v>葛山</x:v>
      </x:c>
      <x:c r="E630" s="40" t="str">
        <x:v>山</x:v>
      </x:c>
      <x:c r="F630" s="17"/>
      <x:c r="G630" s="42" t="str">
        <x:v>标点与分段参考《山海经校注》；正文对读：https://ctext.org/shan-hai-jing/dong-shan-jing/zh</x:v>
      </x:c>
      <x:c r="H630" s="43" t="e">
        <x:f>HYPERLINK("#'山海经原文总库'!A3","↩ 返回目录")</x:f>
        <x:v>HYPERLINK is not implemented. linkLocation=#'山海经原文总库'!A3, friendlyName=↩ 返回目录</x:v>
      </x:c>
      <x:c r="I630" s="437"/>
      <x:c r="J630" s="437"/>
      <x:c r="K630" s="437" t="str">
        <x:v>待同名检索｜待建档</x:v>
      </x:c>
    </x:row>
    <x:row r="631" ht="22.5" customHeight="1">
      <x:c r="A631" s="40"/>
      <x:c r="B631" s="40"/>
      <x:c r="C631" s="41"/>
      <x:c r="D631" s="40" t="str">
        <x:v>流沙</x:v>
      </x:c>
      <x:c r="E631" s="40" t="str">
        <x:v>區域</x:v>
      </x:c>
      <x:c r="F631" s="17"/>
      <x:c r="G631" s="42"/>
      <x:c r="H631" s="43" t="e">
        <x:f>HYPERLINK("#'山海经原文总库'!A3","↩ 返回目录")</x:f>
        <x:v>HYPERLINK is not implemented. linkLocation=#'山海经原文总库'!A3, friendlyName=↩ 返回目录</x:v>
      </x:c>
      <x:c r="I631" s="437"/>
      <x:c r="J631" s="437"/>
      <x:c r="K631" s="437" t="str">
        <x:v>待同名检索｜待建档</x:v>
      </x:c>
    </x:row>
    <x:row r="632" ht="48" customHeight="1">
      <x:c r="A632" s="40" t="str">
        <x:v>SHJ-04-016</x:v>
      </x:c>
      <x:c r="B632" s="40" t="str">
        <x:v>卷四 《東山經》</x:v>
      </x:c>
      <x:c r="C632" s="41" t="str">
        <x:v>又南三百八十里，曰葛山之首，無草木。澧水出焉，東流注於余澤，其中多珠蟞魚，其狀如胏而有目，六足有珠，其味酸甘，食之無癘。</x:v>
      </x:c>
      <x:c r="D632" s="40" t="str">
        <x:v>葛山</x:v>
      </x:c>
      <x:c r="E632" s="40" t="str">
        <x:v>山</x:v>
      </x:c>
      <x:c r="F632" s="17"/>
      <x:c r="G632" s="42" t="str">
        <x:v>标点与分段参考《山海经校注》；正文对读：https://ctext.org/shan-hai-jing/dong-shan-jing/zh</x:v>
      </x:c>
      <x:c r="H632" s="43" t="e">
        <x:f>HYPERLINK("#'山海经原文总库'!A3","↩ 返回目录")</x:f>
        <x:v>HYPERLINK is not implemented. linkLocation=#'山海经原文总库'!A3, friendlyName=↩ 返回目录</x:v>
      </x:c>
      <x:c r="I632" s="437"/>
      <x:c r="J632" s="437"/>
      <x:c r="K632" s="437" t="str">
        <x:v>待同名检索｜待建档</x:v>
      </x:c>
    </x:row>
    <x:row r="633" ht="22.5" customHeight="1">
      <x:c r="A633" s="40"/>
      <x:c r="B633" s="40"/>
      <x:c r="C633" s="41"/>
      <x:c r="D633" s="40" t="str">
        <x:v>澧水</x:v>
      </x:c>
      <x:c r="E633" s="40" t="str">
        <x:v>水系</x:v>
      </x:c>
      <x:c r="F633" s="17"/>
      <x:c r="G633" s="42"/>
      <x:c r="H633" s="43" t="e">
        <x:f>HYPERLINK("#'山海经原文总库'!A3","↩ 返回目录")</x:f>
        <x:v>HYPERLINK is not implemented. linkLocation=#'山海经原文总库'!A3, friendlyName=↩ 返回目录</x:v>
      </x:c>
      <x:c r="I633" s="437"/>
      <x:c r="J633" s="437"/>
      <x:c r="K633" s="437" t="str">
        <x:v>待同名检索｜待建档</x:v>
      </x:c>
    </x:row>
    <x:row r="634" ht="22.5" customHeight="1">
      <x:c r="A634" s="40"/>
      <x:c r="B634" s="40"/>
      <x:c r="C634" s="41"/>
      <x:c r="D634" s="40" t="str">
        <x:v>余澤</x:v>
      </x:c>
      <x:c r="E634" s="40" t="str">
        <x:v>水系</x:v>
      </x:c>
      <x:c r="F634" s="17"/>
      <x:c r="G634" s="42"/>
      <x:c r="H634" s="43" t="e">
        <x:f>HYPERLINK("#'山海经原文总库'!A3","↩ 返回目录")</x:f>
        <x:v>HYPERLINK is not implemented. linkLocation=#'山海经原文总库'!A3, friendlyName=↩ 返回目录</x:v>
      </x:c>
      <x:c r="I634" s="437"/>
      <x:c r="J634" s="437"/>
      <x:c r="K634" s="437" t="str">
        <x:v>待同名检索｜待建档</x:v>
      </x:c>
    </x:row>
    <x:row r="635" ht="48" customHeight="1">
      <x:c r="A635" s="40" t="str">
        <x:v>SHJ-04-017</x:v>
      </x:c>
      <x:c r="B635" s="40" t="str">
        <x:v>卷四 《東山經》</x:v>
      </x:c>
      <x:c r="C635" s="41" t="str">
        <x:v>又南三百八十里，曰余峨之山，其上多梓柟，其下多荊芑。雜余之水出焉，東流注於黃水。有獸焉，其狀如菟而鳥喙，鴟目蛇尾，見人則眠，名曰犰狳，其鳴自？，見則螽蝗為敗。</x:v>
      </x:c>
      <x:c r="D635" s="40" t="str">
        <x:v>余峨之山</x:v>
      </x:c>
      <x:c r="E635" s="40" t="str">
        <x:v>山</x:v>
      </x:c>
      <x:c r="F635" s="17"/>
      <x:c r="G635" s="42" t="str">
        <x:v>标点与分段参考《山海经校注》；正文对读：https://ctext.org/shan-hai-jing/dong-shan-jing/zh</x:v>
      </x:c>
      <x:c r="H635" s="43" t="e">
        <x:f>HYPERLINK("#'山海经原文总库'!A3","↩ 返回目录")</x:f>
        <x:v>HYPERLINK is not implemented. linkLocation=#'山海经原文总库'!A3, friendlyName=↩ 返回目录</x:v>
      </x:c>
      <x:c r="I635" s="437"/>
      <x:c r="J635" s="437"/>
      <x:c r="K635" s="437" t="str">
        <x:v>待同名检索｜待建档</x:v>
      </x:c>
    </x:row>
    <x:row r="636" ht="22.5" customHeight="1">
      <x:c r="A636" s="40"/>
      <x:c r="B636" s="40"/>
      <x:c r="C636" s="41"/>
      <x:c r="D636" s="40" t="str">
        <x:v>雜余之水</x:v>
      </x:c>
      <x:c r="E636" s="40" t="str">
        <x:v>水系</x:v>
      </x:c>
      <x:c r="F636" s="17"/>
      <x:c r="G636" s="42"/>
      <x:c r="H636" s="43" t="e">
        <x:f>HYPERLINK("#'山海经原文总库'!A3","↩ 返回目录")</x:f>
        <x:v>HYPERLINK is not implemented. linkLocation=#'山海经原文总库'!A3, friendlyName=↩ 返回目录</x:v>
      </x:c>
      <x:c r="I636" s="437"/>
      <x:c r="J636" s="437"/>
      <x:c r="K636" s="437" t="str">
        <x:v>待同名检索｜待建档</x:v>
      </x:c>
    </x:row>
    <x:row r="637" ht="22.5" customHeight="1">
      <x:c r="A637" s="40"/>
      <x:c r="B637" s="40"/>
      <x:c r="C637" s="41"/>
      <x:c r="D637" s="40" t="str">
        <x:v>黃水</x:v>
      </x:c>
      <x:c r="E637" s="40" t="str">
        <x:v>水系</x:v>
      </x:c>
      <x:c r="F637" s="17"/>
      <x:c r="G637" s="42"/>
      <x:c r="H637" s="43" t="e">
        <x:f>HYPERLINK("#'山海经原文总库'!A3","↩ 返回目录")</x:f>
        <x:v>HYPERLINK is not implemented. linkLocation=#'山海经原文总库'!A3, friendlyName=↩ 返回目录</x:v>
      </x:c>
      <x:c r="I637" s="437"/>
      <x:c r="J637" s="437"/>
      <x:c r="K637" s="437" t="str">
        <x:v>待同名检索｜待建档</x:v>
      </x:c>
    </x:row>
    <x:row r="638" ht="22.5" customHeight="1">
      <x:c r="A638" s="40"/>
      <x:c r="B638" s="40"/>
      <x:c r="C638" s="41"/>
      <x:c r="D638" s="40" t="str">
        <x:v>餘峨之山</x:v>
      </x:c>
      <x:c r="E638" s="40" t="str">
        <x:v>山</x:v>
      </x:c>
      <x:c r="F638" s="17"/>
      <x:c r="G638" s="42"/>
      <x:c r="H638" s="43" t="e">
        <x:f>HYPERLINK("#'山海经原文总库'!A3","↩ 返回目录")</x:f>
        <x:v>HYPERLINK is not implemented. linkLocation=#'山海经原文总库'!A3, friendlyName=↩ 返回目录</x:v>
      </x:c>
      <x:c r="I638" s="437"/>
      <x:c r="J638" s="437"/>
      <x:c r="K638" s="437" t="str">
        <x:v>待同名检索｜待建档</x:v>
      </x:c>
    </x:row>
    <x:row r="639" ht="48" customHeight="1">
      <x:c r="A639" s="40" t="str">
        <x:v>SHJ-04-018</x:v>
      </x:c>
      <x:c r="B639" s="40" t="str">
        <x:v>卷四 《東山經》</x:v>
      </x:c>
      <x:c r="C639" s="41" t="str">
        <x:v>又南三百里，曰杜父之山，無草木，多水。</x:v>
      </x:c>
      <x:c r="D639" s="40" t="str">
        <x:v>杜父之山</x:v>
      </x:c>
      <x:c r="E639" s="40" t="str">
        <x:v>山</x:v>
      </x:c>
      <x:c r="F639" s="17"/>
      <x:c r="G639" s="42" t="str">
        <x:v>标点与分段参考《山海经校注》；正文对读：https://ctext.org/shan-hai-jing/dong-shan-jing/zh</x:v>
      </x:c>
      <x:c r="H639" s="43" t="e">
        <x:f>HYPERLINK("#'山海经原文总库'!A3","↩ 返回目录")</x:f>
        <x:v>HYPERLINK is not implemented. linkLocation=#'山海经原文总库'!A3, friendlyName=↩ 返回目录</x:v>
      </x:c>
      <x:c r="I639" s="437"/>
      <x:c r="J639" s="437"/>
      <x:c r="K639" s="437" t="str">
        <x:v>待同名检索｜待建档</x:v>
      </x:c>
    </x:row>
    <x:row r="640" ht="48" customHeight="1">
      <x:c r="A640" s="40" t="str">
        <x:v>SHJ-04-019</x:v>
      </x:c>
      <x:c r="B640" s="40" t="str">
        <x:v>卷四 《東山經》</x:v>
      </x:c>
      <x:c r="C640" s="41" t="str">
        <x:v>又南三百里，曰耿山，無草木，多水碧，多大蛇。有獸焉，其狀如狐而魚翼，其名曰朱獳，其鳴自？，見則其國有恐。</x:v>
      </x:c>
      <x:c r="D640" s="40" t="str">
        <x:v>耿山</x:v>
      </x:c>
      <x:c r="E640" s="40" t="str">
        <x:v>山</x:v>
      </x:c>
      <x:c r="F640" s="17"/>
      <x:c r="G640" s="42" t="str">
        <x:v>标点与分段参考《山海经校注》；正文对读：https://ctext.org/shan-hai-jing/dong-shan-jing/zh</x:v>
      </x:c>
      <x:c r="H640" s="43" t="e">
        <x:f>HYPERLINK("#'山海经原文总库'!A3","↩ 返回目录")</x:f>
        <x:v>HYPERLINK is not implemented. linkLocation=#'山海经原文总库'!A3, friendlyName=↩ 返回目录</x:v>
      </x:c>
      <x:c r="I640" s="437"/>
      <x:c r="J640" s="437"/>
      <x:c r="K640" s="437" t="str">
        <x:v>待同名检索｜待建档</x:v>
      </x:c>
    </x:row>
    <x:row r="641" ht="48" customHeight="1">
      <x:c r="A641" s="40" t="str">
        <x:v>SHJ-04-020</x:v>
      </x:c>
      <x:c r="B641" s="40" t="str">
        <x:v>卷四 《東山經》</x:v>
      </x:c>
      <x:c r="C641" s="41" t="str">
        <x:v>又南三百里，曰盧其之山，無草木，多沙石。沙水出焉，南流注於涔水，其中多鵹鶘，其狀如鴛鴦而人足，其鳴自？，見則其國多土功。</x:v>
      </x:c>
      <x:c r="D641" s="40" t="str">
        <x:v>盧其之山</x:v>
      </x:c>
      <x:c r="E641" s="40" t="str">
        <x:v>山</x:v>
      </x:c>
      <x:c r="F641" s="17"/>
      <x:c r="G641" s="42" t="str">
        <x:v>标点与分段参考《山海经校注》；正文对读：https://ctext.org/shan-hai-jing/dong-shan-jing/zh</x:v>
      </x:c>
      <x:c r="H641" s="43" t="e">
        <x:f>HYPERLINK("#'山海经原文总库'!A3","↩ 返回目录")</x:f>
        <x:v>HYPERLINK is not implemented. linkLocation=#'山海经原文总库'!A3, friendlyName=↩ 返回目录</x:v>
      </x:c>
      <x:c r="I641" s="437"/>
      <x:c r="J641" s="437"/>
      <x:c r="K641" s="437" t="str">
        <x:v>待同名检索｜待建档</x:v>
      </x:c>
    </x:row>
    <x:row r="642" ht="22.5" customHeight="1">
      <x:c r="A642" s="40"/>
      <x:c r="B642" s="40"/>
      <x:c r="C642" s="41"/>
      <x:c r="D642" s="40" t="str">
        <x:v>沙水</x:v>
      </x:c>
      <x:c r="E642" s="40" t="str">
        <x:v>水系</x:v>
      </x:c>
      <x:c r="F642" s="17"/>
      <x:c r="G642" s="42"/>
      <x:c r="H642" s="43" t="e">
        <x:f>HYPERLINK("#'山海经原文总库'!A3","↩ 返回目录")</x:f>
        <x:v>HYPERLINK is not implemented. linkLocation=#'山海经原文总库'!A3, friendlyName=↩ 返回目录</x:v>
      </x:c>
      <x:c r="I642" s="437"/>
      <x:c r="J642" s="437"/>
      <x:c r="K642" s="437" t="str">
        <x:v>待同名检索｜待建档</x:v>
      </x:c>
    </x:row>
    <x:row r="643" ht="22.5" customHeight="1">
      <x:c r="A643" s="40"/>
      <x:c r="B643" s="40"/>
      <x:c r="C643" s="41"/>
      <x:c r="D643" s="40" t="str">
        <x:v>涔水</x:v>
      </x:c>
      <x:c r="E643" s="40" t="str">
        <x:v>水系</x:v>
      </x:c>
      <x:c r="F643" s="17"/>
      <x:c r="G643" s="42"/>
      <x:c r="H643" s="43" t="e">
        <x:f>HYPERLINK("#'山海经原文总库'!A3","↩ 返回目录")</x:f>
        <x:v>HYPERLINK is not implemented. linkLocation=#'山海经原文总库'!A3, friendlyName=↩ 返回目录</x:v>
      </x:c>
      <x:c r="I643" s="437"/>
      <x:c r="J643" s="437"/>
      <x:c r="K643" s="437" t="str">
        <x:v>待同名检索｜待建档</x:v>
      </x:c>
    </x:row>
    <x:row r="644" ht="48" customHeight="1">
      <x:c r="A644" s="40" t="str">
        <x:v>SHJ-04-021-1</x:v>
      </x:c>
      <x:c r="B644" s="40" t="str">
        <x:v>卷四 《東山經》</x:v>
      </x:c>
      <x:c r="C644" s="41" t="str">
        <x:v>又南三百八十里，曰姑射之山，無草木，多水。</x:v>
      </x:c>
      <x:c r="D644" s="40" t="str">
        <x:v>姑射之山</x:v>
      </x:c>
      <x:c r="E644" s="40" t="str">
        <x:v>山</x:v>
      </x:c>
      <x:c r="F644" s="17"/>
      <x:c r="G644" s="42" t="str">
        <x:v>标点与分段参考《山海经校注》；正文对读：https://ctext.org/shan-hai-jing/dong-shan-jing/zh</x:v>
      </x:c>
      <x:c r="H644" s="43" t="e">
        <x:f>HYPERLINK("#'山海经原文总库'!A3","↩ 返回目录")</x:f>
        <x:v>HYPERLINK is not implemented. linkLocation=#'山海经原文总库'!A3, friendlyName=↩ 返回目录</x:v>
      </x:c>
      <x:c r="I644" s="437"/>
      <x:c r="J644" s="437"/>
      <x:c r="K644" s="437" t="str">
        <x:v>待同名检索｜待建档</x:v>
      </x:c>
    </x:row>
    <x:row r="645" ht="48" customHeight="1">
      <x:c r="A645" s="40" t="str">
        <x:v>SHJ-04-021-2</x:v>
      </x:c>
      <x:c r="B645" s="40" t="str">
        <x:v>卷四 《東山經》</x:v>
      </x:c>
      <x:c r="C645" s="41" t="str">
        <x:v>又南水行三百里，流沙百里，曰北姑射之山，無草木，多石。</x:v>
      </x:c>
      <x:c r="D645" s="40" t="str">
        <x:v>姑射之山</x:v>
      </x:c>
      <x:c r="E645" s="40" t="str">
        <x:v>山</x:v>
      </x:c>
      <x:c r="F645" s="17"/>
      <x:c r="G645" s="42" t="str">
        <x:v>标点与分段参考《山海经校注》；正文对读：https://ctext.org/shan-hai-jing/dong-shan-jing/zh</x:v>
      </x:c>
      <x:c r="H645" s="43" t="e">
        <x:f>HYPERLINK("#'山海经原文总库'!A3","↩ 返回目录")</x:f>
        <x:v>HYPERLINK is not implemented. linkLocation=#'山海经原文总库'!A3, friendlyName=↩ 返回目录</x:v>
      </x:c>
      <x:c r="I645" s="437"/>
      <x:c r="J645" s="437"/>
      <x:c r="K645" s="437" t="str">
        <x:v>待同名检索｜待建档</x:v>
      </x:c>
    </x:row>
    <x:row r="646" ht="22.5" customHeight="1">
      <x:c r="A646" s="40"/>
      <x:c r="B646" s="40"/>
      <x:c r="C646" s="41"/>
      <x:c r="D646" s="40" t="str">
        <x:v>流沙</x:v>
      </x:c>
      <x:c r="E646" s="40" t="str">
        <x:v>區域</x:v>
      </x:c>
      <x:c r="F646" s="17"/>
      <x:c r="G646" s="42"/>
      <x:c r="H646" s="43" t="e">
        <x:f>HYPERLINK("#'山海经原文总库'!A3","↩ 返回目录")</x:f>
        <x:v>HYPERLINK is not implemented. linkLocation=#'山海经原文总库'!A3, friendlyName=↩ 返回目录</x:v>
      </x:c>
      <x:c r="I646" s="437"/>
      <x:c r="J646" s="437"/>
      <x:c r="K646" s="437" t="str">
        <x:v>待同名检索｜待建档</x:v>
      </x:c>
    </x:row>
    <x:row r="647" ht="48" customHeight="1">
      <x:c r="A647" s="40" t="str">
        <x:v>SHJ-04-022</x:v>
      </x:c>
      <x:c r="B647" s="40" t="str">
        <x:v>卷四 《東山經》</x:v>
      </x:c>
      <x:c r="C647" s="41" t="str">
        <x:v>又南三百里，曰南姑射之山，無草木，多水。</x:v>
      </x:c>
      <x:c r="D647" s="40" t="str">
        <x:v>姑射之山</x:v>
      </x:c>
      <x:c r="E647" s="40" t="str">
        <x:v>山</x:v>
      </x:c>
      <x:c r="F647" s="17"/>
      <x:c r="G647" s="42" t="str">
        <x:v>标点与分段参考《山海经校注》；正文对读：https://ctext.org/shan-hai-jing/dong-shan-jing/zh</x:v>
      </x:c>
      <x:c r="H647" s="43" t="e">
        <x:f>HYPERLINK("#'山海经原文总库'!A3","↩ 返回目录")</x:f>
        <x:v>HYPERLINK is not implemented. linkLocation=#'山海经原文总库'!A3, friendlyName=↩ 返回目录</x:v>
      </x:c>
      <x:c r="I647" s="437"/>
      <x:c r="J647" s="437"/>
      <x:c r="K647" s="437" t="str">
        <x:v>待同名检索｜待建档</x:v>
      </x:c>
    </x:row>
    <x:row r="648" ht="48" customHeight="1">
      <x:c r="A648" s="40" t="str">
        <x:v>SHJ-04-023</x:v>
      </x:c>
      <x:c r="B648" s="40" t="str">
        <x:v>卷四 《東山經》</x:v>
      </x:c>
      <x:c r="C648" s="41" t="str">
        <x:v>又南三百里，曰碧山，無草木，多大蛇，多碧、水玉。</x:v>
      </x:c>
      <x:c r="D648" s="40" t="str">
        <x:v>碧山</x:v>
      </x:c>
      <x:c r="E648" s="40" t="str">
        <x:v>山</x:v>
      </x:c>
      <x:c r="F648" s="17"/>
      <x:c r="G648" s="42" t="str">
        <x:v>标点与分段参考《山海经校注》；正文对读：https://ctext.org/shan-hai-jing/dong-shan-jing/zh</x:v>
      </x:c>
      <x:c r="H648" s="43" t="e">
        <x:f>HYPERLINK("#'山海经原文总库'!A3","↩ 返回目录")</x:f>
        <x:v>HYPERLINK is not implemented. linkLocation=#'山海经原文总库'!A3, friendlyName=↩ 返回目录</x:v>
      </x:c>
      <x:c r="I648" s="437"/>
      <x:c r="J648" s="437"/>
      <x:c r="K648" s="437" t="str">
        <x:v>待同名检索｜待建档</x:v>
      </x:c>
    </x:row>
    <x:row r="649" ht="48" customHeight="1">
      <x:c r="A649" s="40" t="str">
        <x:v>SHJ-04-024</x:v>
      </x:c>
      <x:c r="B649" s="40" t="str">
        <x:v>卷四 《東山經》</x:v>
      </x:c>
      <x:c r="C649" s="41" t="str">
        <x:v>又南五百里，曰緱氏之山，無草木，多金玉。原水出焉，東流注於沙澤。</x:v>
      </x:c>
      <x:c r="D649" s="40" t="str">
        <x:v>緱氏之山</x:v>
      </x:c>
      <x:c r="E649" s="40" t="str">
        <x:v>山</x:v>
      </x:c>
      <x:c r="F649" s="17"/>
      <x:c r="G649" s="42" t="str">
        <x:v>标点与分段参考《山海经校注》；正文对读：https://ctext.org/shan-hai-jing/dong-shan-jing/zh</x:v>
      </x:c>
      <x:c r="H649" s="43" t="e">
        <x:f>HYPERLINK("#'山海经原文总库'!A3","↩ 返回目录")</x:f>
        <x:v>HYPERLINK is not implemented. linkLocation=#'山海经原文总库'!A3, friendlyName=↩ 返回目录</x:v>
      </x:c>
      <x:c r="I649" s="437"/>
      <x:c r="J649" s="437"/>
      <x:c r="K649" s="437" t="str">
        <x:v>待同名检索｜待建档</x:v>
      </x:c>
    </x:row>
    <x:row r="650" ht="22.5" customHeight="1">
      <x:c r="A650" s="40"/>
      <x:c r="B650" s="40"/>
      <x:c r="C650" s="41"/>
      <x:c r="D650" s="40" t="str">
        <x:v>原水</x:v>
      </x:c>
      <x:c r="E650" s="40" t="str">
        <x:v>水系</x:v>
      </x:c>
      <x:c r="F650" s="17"/>
      <x:c r="G650" s="42"/>
      <x:c r="H650" s="43" t="e">
        <x:f>HYPERLINK("#'山海经原文总库'!A3","↩ 返回目录")</x:f>
        <x:v>HYPERLINK is not implemented. linkLocation=#'山海经原文总库'!A3, friendlyName=↩ 返回目录</x:v>
      </x:c>
      <x:c r="I650" s="437"/>
      <x:c r="J650" s="437"/>
      <x:c r="K650" s="437" t="str">
        <x:v>待同名检索｜待建档</x:v>
      </x:c>
    </x:row>
    <x:row r="651" ht="22.5" customHeight="1">
      <x:c r="A651" s="40"/>
      <x:c r="B651" s="40"/>
      <x:c r="C651" s="41"/>
      <x:c r="D651" s="40" t="str">
        <x:v>沙澤</x:v>
      </x:c>
      <x:c r="E651" s="40" t="str">
        <x:v>水系</x:v>
      </x:c>
      <x:c r="F651" s="17"/>
      <x:c r="G651" s="42"/>
      <x:c r="H651" s="43" t="e">
        <x:f>HYPERLINK("#'山海经原文总库'!A3","↩ 返回目录")</x:f>
        <x:v>HYPERLINK is not implemented. linkLocation=#'山海经原文总库'!A3, friendlyName=↩ 返回目录</x:v>
      </x:c>
      <x:c r="I651" s="437"/>
      <x:c r="J651" s="437"/>
      <x:c r="K651" s="437" t="str">
        <x:v>待同名检索｜待建档</x:v>
      </x:c>
    </x:row>
    <x:row r="652" ht="48" customHeight="1">
      <x:c r="A652" s="40" t="str">
        <x:v>SHJ-04-025</x:v>
      </x:c>
      <x:c r="B652" s="40" t="str">
        <x:v>卷四 《東山經》</x:v>
      </x:c>
      <x:c r="C652" s="41" t="str">
        <x:v>又南三百里，曰姑逢之山，無草木，多金玉。有獸焉，其狀如狐而有翼，其音如鴻鴈，其名曰獙獙，見則天下大旱。</x:v>
      </x:c>
      <x:c r="D652" s="40" t="str">
        <x:v>姑逢之山</x:v>
      </x:c>
      <x:c r="E652" s="40" t="str">
        <x:v>山</x:v>
      </x:c>
      <x:c r="F652" s="17"/>
      <x:c r="G652" s="42" t="str">
        <x:v>标点与分段参考《山海经校注》；正文对读：https://ctext.org/shan-hai-jing/dong-shan-jing/zh</x:v>
      </x:c>
      <x:c r="H652" s="43" t="e">
        <x:f>HYPERLINK("#'山海经原文总库'!A3","↩ 返回目录")</x:f>
        <x:v>HYPERLINK is not implemented. linkLocation=#'山海经原文总库'!A3, friendlyName=↩ 返回目录</x:v>
      </x:c>
      <x:c r="I652" s="437"/>
      <x:c r="J652" s="437"/>
      <x:c r="K652" s="437" t="str">
        <x:v>待同名检索｜待建档</x:v>
      </x:c>
    </x:row>
    <x:row r="653" ht="48" customHeight="1">
      <x:c r="A653" s="40" t="str">
        <x:v>SHJ-04-026</x:v>
      </x:c>
      <x:c r="B653" s="40" t="str">
        <x:v>卷四 《東山經》</x:v>
      </x:c>
      <x:c r="C653" s="41" t="str">
        <x:v>又南五百里，曰鳧麗之山，其上多金玉，其下多箴石。有獸焉，其狀如狐，而九尾、九首、虎爪，名曰蠪侄，其音如嬰兒，是食人。</x:v>
      </x:c>
      <x:c r="D653" s="40" t="str">
        <x:v>鳧麗之山</x:v>
      </x:c>
      <x:c r="E653" s="40" t="str">
        <x:v>山</x:v>
      </x:c>
      <x:c r="F653" s="17"/>
      <x:c r="G653" s="42" t="str">
        <x:v>标点与分段参考《山海经校注》；正文对读：https://ctext.org/shan-hai-jing/dong-shan-jing/zh</x:v>
      </x:c>
      <x:c r="H653" s="43" t="e">
        <x:f>HYPERLINK("#'山海经原文总库'!A3","↩ 返回目录")</x:f>
        <x:v>HYPERLINK is not implemented. linkLocation=#'山海经原文总库'!A3, friendlyName=↩ 返回目录</x:v>
      </x:c>
      <x:c r="I653" s="437"/>
      <x:c r="J653" s="437"/>
      <x:c r="K653" s="437" t="str">
        <x:v>待同名检索｜待建档</x:v>
      </x:c>
    </x:row>
    <x:row r="654" ht="64.5" customHeight="1">
      <x:c r="A654" s="40" t="str">
        <x:v>SHJ-04-027</x:v>
      </x:c>
      <x:c r="B654" s="40" t="str">
        <x:v>卷四 《東山經》</x:v>
      </x:c>
      <x:c r="C654" s="41" t="str">
        <x:v>又南五百里，曰（石垔）山，南臨（石垔）水，東望湖澤。有獸焉，其狀如馬，而羊目、四角、牛尾，其音如？狗，其名曰（上山下攸）（上山下攸），見則其國多狡客。有鳥焉，其狀如鳧而鼠尾，善登木，其名曰絜鈎，見則其國多疫。</x:v>
      </x:c>
      <x:c r="D654" s="40" t="str">
        <x:v>湖澤</x:v>
      </x:c>
      <x:c r="E654" s="40" t="str">
        <x:v>澤／淵</x:v>
      </x:c>
      <x:c r="F654" s="17"/>
      <x:c r="G654" s="42" t="str">
        <x:v>标点与分段参考《山海经校注》；正文对读：https://ctext.org/shan-hai-jing/dong-shan-jing/zh</x:v>
      </x:c>
      <x:c r="H654" s="43" t="e">
        <x:f>HYPERLINK("#'山海经原文总库'!A3","↩ 返回目录")</x:f>
        <x:v>HYPERLINK is not implemented. linkLocation=#'山海经原文总库'!A3, friendlyName=↩ 返回目录</x:v>
      </x:c>
      <x:c r="I654" s="437"/>
      <x:c r="J654" s="437"/>
      <x:c r="K654" s="437" t="str">
        <x:v>待同名检索｜待建档</x:v>
      </x:c>
    </x:row>
    <x:row r="655" ht="22.5" customHeight="1">
      <x:c r="A655" s="40"/>
      <x:c r="B655" s="40"/>
      <x:c r="C655" s="41"/>
      <x:c r="D655" s="40" t="str">
        <x:v>䃌水</x:v>
      </x:c>
      <x:c r="E655" s="40" t="str">
        <x:v>水系</x:v>
      </x:c>
      <x:c r="F655" s="17"/>
      <x:c r="G655" s="42"/>
      <x:c r="H655" s="43" t="e">
        <x:f>HYPERLINK("#'山海经原文总库'!A3","↩ 返回目录")</x:f>
        <x:v>HYPERLINK is not implemented. linkLocation=#'山海经原文总库'!A3, friendlyName=↩ 返回目录</x:v>
      </x:c>
      <x:c r="I655" s="437"/>
      <x:c r="J655" s="437"/>
      <x:c r="K655" s="437" t="str">
        <x:v>待同名检索｜待建档</x:v>
      </x:c>
    </x:row>
    <x:row r="656" ht="22.5" customHeight="1">
      <x:c r="A656" s="40"/>
      <x:c r="B656" s="40"/>
      <x:c r="C656" s="41"/>
      <x:c r="D656" s="40" t="str">
        <x:v>䃌山</x:v>
      </x:c>
      <x:c r="E656" s="40" t="str">
        <x:v>山</x:v>
      </x:c>
      <x:c r="F656" s="17"/>
      <x:c r="G656" s="42"/>
      <x:c r="H656" s="43" t="e">
        <x:f>HYPERLINK("#'山海经原文总库'!A3","↩ 返回目录")</x:f>
        <x:v>HYPERLINK is not implemented. linkLocation=#'山海经原文总库'!A3, friendlyName=↩ 返回目录</x:v>
      </x:c>
      <x:c r="I656" s="437"/>
      <x:c r="J656" s="437"/>
      <x:c r="K656" s="437" t="str">
        <x:v>待同名检索｜待建档</x:v>
      </x:c>
    </x:row>
    <x:row r="657" ht="22.5" customHeight="1">
      <x:c r="A657" s="40"/>
      <x:c r="B657" s="40"/>
      <x:c r="C657" s="41"/>
      <x:c r="D657" s="40" t="str">
        <x:v>臨䃌水東望湖澤</x:v>
      </x:c>
      <x:c r="E657" s="40" t="str">
        <x:v>澤／淵</x:v>
      </x:c>
      <x:c r="F657" s="17"/>
      <x:c r="G657" s="42"/>
      <x:c r="H657" s="43" t="e">
        <x:f>HYPERLINK("#'山海经原文总库'!A3","↩ 返回目录")</x:f>
        <x:v>HYPERLINK is not implemented. linkLocation=#'山海经原文总库'!A3, friendlyName=↩ 返回目录</x:v>
      </x:c>
      <x:c r="I657" s="437"/>
      <x:c r="J657" s="437"/>
      <x:c r="K657" s="437" t="str">
        <x:v>待同名检索｜待建档</x:v>
      </x:c>
    </x:row>
    <x:row r="658" ht="48" customHeight="1">
      <x:c r="A658" s="40" t="str">
        <x:v>SHJ-04-028-1</x:v>
      </x:c>
      <x:c r="B658" s="40" t="str">
        <x:v>卷四 《東山經》</x:v>
      </x:c>
      <x:c r="C658" s="41" t="str">
        <x:v>凡東次二經之首，自空桑之山至於（石垔）山，凡十七山，六千六百四十里。其神狀皆獸身人面載觡。其祠：毛用一雞祈，嬰用一璧瘞。</x:v>
      </x:c>
      <x:c r="D658" s="40" t="str">
        <x:v>空桑之山</x:v>
      </x:c>
      <x:c r="E658" s="40" t="str">
        <x:v>山</x:v>
      </x:c>
      <x:c r="F658" s="17"/>
      <x:c r="G658" s="42" t="str">
        <x:v>标点与分段参考《山海经校注》；正文对读：https://ctext.org/shan-hai-jing/dong-shan-jing/zh</x:v>
      </x:c>
      <x:c r="H658" s="43" t="e">
        <x:f>HYPERLINK("#'山海经原文总库'!A3","↩ 返回目录")</x:f>
        <x:v>HYPERLINK is not implemented. linkLocation=#'山海经原文总库'!A3, friendlyName=↩ 返回目录</x:v>
      </x:c>
      <x:c r="I658" s="437"/>
      <x:c r="J658" s="437"/>
      <x:c r="K658" s="437" t="str">
        <x:v>待同名检索｜待建档</x:v>
      </x:c>
    </x:row>
    <x:row r="659" ht="22.5" customHeight="1">
      <x:c r="A659" s="40"/>
      <x:c r="B659" s="40"/>
      <x:c r="C659" s="41"/>
      <x:c r="D659" s="40" t="str">
        <x:v>尸胡之山</x:v>
      </x:c>
      <x:c r="E659" s="40" t="str">
        <x:v>山</x:v>
      </x:c>
      <x:c r="F659" s="17"/>
      <x:c r="G659" s="42"/>
      <x:c r="H659" s="43" t="e">
        <x:f>HYPERLINK("#'山海经原文总库'!A3","↩ 返回目录")</x:f>
        <x:v>HYPERLINK is not implemented. linkLocation=#'山海经原文总库'!A3, friendlyName=↩ 返回目录</x:v>
      </x:c>
      <x:c r="I659" s="437"/>
      <x:c r="J659" s="437"/>
      <x:c r="K659" s="437" t="str">
        <x:v>待同名检索｜待建档</x:v>
      </x:c>
    </x:row>
    <x:row r="660" ht="22.5" customHeight="1">
      <x:c r="A660" s="40"/>
      <x:c r="B660" s="40"/>
      <x:c r="C660" s="41"/>
      <x:c r="D660" s="40" t="str">
        <x:v>岐山</x:v>
      </x:c>
      <x:c r="E660" s="40" t="str">
        <x:v>山</x:v>
      </x:c>
      <x:c r="F660" s="17"/>
      <x:c r="G660" s="42"/>
      <x:c r="H660" s="43" t="e">
        <x:f>HYPERLINK("#'山海经原文总库'!A3","↩ 返回目录")</x:f>
        <x:v>HYPERLINK is not implemented. linkLocation=#'山海经原文总库'!A3, friendlyName=↩ 返回目录</x:v>
      </x:c>
      <x:c r="I660" s="437"/>
      <x:c r="J660" s="437"/>
      <x:c r="K660" s="437" t="str">
        <x:v>待同名检索｜待建档</x:v>
      </x:c>
    </x:row>
    <x:row r="661" ht="22.5" customHeight="1">
      <x:c r="A661" s="40"/>
      <x:c r="B661" s="40"/>
      <x:c r="C661" s="41"/>
      <x:c r="D661" s="40" t="str">
        <x:v>諸鈎之山</x:v>
      </x:c>
      <x:c r="E661" s="40" t="str">
        <x:v>山</x:v>
      </x:c>
      <x:c r="F661" s="17"/>
      <x:c r="G661" s="42"/>
      <x:c r="H661" s="43" t="e">
        <x:f>HYPERLINK("#'山海经原文总库'!A3","↩ 返回目录")</x:f>
        <x:v>HYPERLINK is not implemented. linkLocation=#'山海经原文总库'!A3, friendlyName=↩ 返回目录</x:v>
      </x:c>
      <x:c r="I661" s="437"/>
      <x:c r="J661" s="437"/>
      <x:c r="K661" s="437" t="str">
        <x:v>待同名检索｜待建档</x:v>
      </x:c>
    </x:row>
    <x:row r="662" ht="22.5" customHeight="1">
      <x:c r="A662" s="40"/>
      <x:c r="B662" s="40"/>
      <x:c r="C662" s="41"/>
      <x:c r="D662" s="40" t="str">
        <x:v>中父之山</x:v>
      </x:c>
      <x:c r="E662" s="40" t="str">
        <x:v>山</x:v>
      </x:c>
      <x:c r="F662" s="17"/>
      <x:c r="G662" s="42"/>
      <x:c r="H662" s="43" t="e">
        <x:f>HYPERLINK("#'山海经原文总库'!A3","↩ 返回目录")</x:f>
        <x:v>HYPERLINK is not implemented. linkLocation=#'山海经原文总库'!A3, friendlyName=↩ 返回目录</x:v>
      </x:c>
      <x:c r="I662" s="437"/>
      <x:c r="J662" s="437"/>
      <x:c r="K662" s="437" t="str">
        <x:v>待同名检索｜待建档</x:v>
      </x:c>
    </x:row>
    <x:row r="663" ht="22.5" customHeight="1">
      <x:c r="A663" s="40"/>
      <x:c r="B663" s="40"/>
      <x:c r="C663" s="41"/>
      <x:c r="D663" s="40" t="str">
        <x:v>胡射之山</x:v>
      </x:c>
      <x:c r="E663" s="40" t="str">
        <x:v>山</x:v>
      </x:c>
      <x:c r="F663" s="17"/>
      <x:c r="G663" s="42"/>
      <x:c r="H663" s="43" t="e">
        <x:f>HYPERLINK("#'山海经原文总库'!A3","↩ 返回目录")</x:f>
        <x:v>HYPERLINK is not implemented. linkLocation=#'山海经原文总库'!A3, friendlyName=↩ 返回目录</x:v>
      </x:c>
      <x:c r="I663" s="437"/>
      <x:c r="J663" s="437"/>
      <x:c r="K663" s="437" t="str">
        <x:v>待同名检索｜待建档</x:v>
      </x:c>
    </x:row>
    <x:row r="664" ht="22.5" customHeight="1">
      <x:c r="A664" s="40"/>
      <x:c r="B664" s="40"/>
      <x:c r="C664" s="41"/>
      <x:c r="D664" s="40" t="str">
        <x:v>孟子之山</x:v>
      </x:c>
      <x:c r="E664" s="40" t="str">
        <x:v>山</x:v>
      </x:c>
      <x:c r="F664" s="17"/>
      <x:c r="G664" s="42"/>
      <x:c r="H664" s="43" t="e">
        <x:f>HYPERLINK("#'山海经原文总库'!A3","↩ 返回目录")</x:f>
        <x:v>HYPERLINK is not implemented. linkLocation=#'山海经原文总库'!A3, friendlyName=↩ 返回目录</x:v>
      </x:c>
      <x:c r="I664" s="437"/>
      <x:c r="J664" s="437"/>
      <x:c r="K664" s="437" t="str">
        <x:v>待同名检索｜待建档</x:v>
      </x:c>
    </x:row>
    <x:row r="665" ht="48" customHeight="1">
      <x:c r="A665" s="40" t="str">
        <x:v>SHJ-04-028-2</x:v>
      </x:c>
      <x:c r="B665" s="40" t="str">
        <x:v>卷四 《東山經》</x:v>
      </x:c>
      <x:c r="C665" s="41" t="str">
        <x:v>又東次三經之首，曰屍胡之山，北望（歹羊）山，其上多金玉，其下多棘。有獸焉，其狀如麋而魚目，名曰妴胡，其鳴自？。</x:v>
      </x:c>
      <x:c r="D665" s="40" t="str">
        <x:v>屍胡之山</x:v>
      </x:c>
      <x:c r="E665" s="40" t="str">
        <x:v>山</x:v>
      </x:c>
      <x:c r="F665" s="17"/>
      <x:c r="G665" s="42" t="str">
        <x:v>标点与分段参考《山海经校注》；正文对读：https://ctext.org/shan-hai-jing/dong-shan-jing/zh</x:v>
      </x:c>
      <x:c r="H665" s="43" t="e">
        <x:f>HYPERLINK("#'山海经原文总库'!A3","↩ 返回目录")</x:f>
        <x:v>HYPERLINK is not implemented. linkLocation=#'山海经原文总库'!A3, friendlyName=↩ 返回目录</x:v>
      </x:c>
      <x:c r="I665" s="437"/>
      <x:c r="J665" s="437"/>
      <x:c r="K665" s="437" t="str">
        <x:v>待同名检索｜待建档</x:v>
      </x:c>
    </x:row>
    <x:row r="666" ht="48" customHeight="1">
      <x:c r="A666" s="40" t="str">
        <x:v>SHJ-04-028-3</x:v>
      </x:c>
      <x:c r="B666" s="40" t="str">
        <x:v>卷四 《東山經》</x:v>
      </x:c>
      <x:c r="C666" s="41" t="str">
        <x:v>又南水行八百里，曰岐山，其木多桃李，其獸多虎。</x:v>
      </x:c>
      <x:c r="D666" s="40" t="str">
        <x:v>岐山</x:v>
      </x:c>
      <x:c r="E666" s="40" t="str">
        <x:v>山</x:v>
      </x:c>
      <x:c r="F666" s="17"/>
      <x:c r="G666" s="42" t="str">
        <x:v>标点与分段参考《山海经校注》；正文对读：https://ctext.org/shan-hai-jing/dong-shan-jing/zh</x:v>
      </x:c>
      <x:c r="H666" s="43" t="e">
        <x:f>HYPERLINK("#'山海经原文总库'!A3","↩ 返回目录")</x:f>
        <x:v>HYPERLINK is not implemented. linkLocation=#'山海经原文总库'!A3, friendlyName=↩ 返回目录</x:v>
      </x:c>
      <x:c r="I666" s="437"/>
      <x:c r="J666" s="437"/>
      <x:c r="K666" s="437" t="str">
        <x:v>待同名检索｜待建档</x:v>
      </x:c>
    </x:row>
    <x:row r="667" ht="48" customHeight="1">
      <x:c r="A667" s="40" t="str">
        <x:v>SHJ-04-028-4</x:v>
      </x:c>
      <x:c r="B667" s="40" t="str">
        <x:v>卷四 《東山經》</x:v>
      </x:c>
      <x:c r="C667" s="41" t="str">
        <x:v>又南水行五百里，曰諸鈎之山，無草木，多沙石。是山也，廣員百里，多寐魚。</x:v>
      </x:c>
      <x:c r="D667" s="40" t="str">
        <x:v>諸鈎之山</x:v>
      </x:c>
      <x:c r="E667" s="40" t="str">
        <x:v>山</x:v>
      </x:c>
      <x:c r="F667" s="17"/>
      <x:c r="G667" s="42" t="str">
        <x:v>标点与分段参考《山海经校注》；正文对读：https://ctext.org/shan-hai-jing/dong-shan-jing/zh</x:v>
      </x:c>
      <x:c r="H667" s="43" t="e">
        <x:f>HYPERLINK("#'山海经原文总库'!A3","↩ 返回目录")</x:f>
        <x:v>HYPERLINK is not implemented. linkLocation=#'山海经原文总库'!A3, friendlyName=↩ 返回目录</x:v>
      </x:c>
      <x:c r="I667" s="437"/>
      <x:c r="J667" s="437"/>
      <x:c r="K667" s="437" t="str">
        <x:v>待同名检索｜待建档</x:v>
      </x:c>
    </x:row>
    <x:row r="668" ht="64.5" customHeight="1">
      <x:c r="A668" s="40" t="str">
        <x:v>SHJ-04-029-1</x:v>
      </x:c>
      <x:c r="B668" s="40" t="str">
        <x:v>卷四 《東山經》</x:v>
      </x:c>
      <x:c r="C668" s="41" t="str">
        <x:v>又南水行五百里，曰流沙，行五百里，有山焉，曰跂踵之山，廣員二百里，無草木，有大蛇，其上多玉。有水焉，廣員四十里皆湧，其名曰深澤，其中多蠵龜。有魚焉，其狀如鯉，而六足鳥尾，名曰鮯鮯之魚，其名自叫。</x:v>
      </x:c>
      <x:c r="D668" s="40" t="str">
        <x:v>跂踵之山</x:v>
      </x:c>
      <x:c r="E668" s="40" t="str">
        <x:v>山</x:v>
      </x:c>
      <x:c r="F668" s="17"/>
      <x:c r="G668" s="42" t="str">
        <x:v>标点与分段参考《山海经校注》；正文对读：https://ctext.org/shan-hai-jing/dong-shan-jing/zh</x:v>
      </x:c>
      <x:c r="H668" s="43" t="e">
        <x:f>HYPERLINK("#'山海经原文总库'!A3","↩ 返回目录")</x:f>
        <x:v>HYPERLINK is not implemented. linkLocation=#'山海经原文总库'!A3, friendlyName=↩ 返回目录</x:v>
      </x:c>
      <x:c r="I668" s="437"/>
      <x:c r="J668" s="437"/>
      <x:c r="K668" s="437" t="str">
        <x:v>待同名检索｜待建档</x:v>
      </x:c>
    </x:row>
    <x:row r="669" ht="22.5" customHeight="1">
      <x:c r="A669" s="40"/>
      <x:c r="B669" s="40"/>
      <x:c r="C669" s="41"/>
      <x:c r="D669" s="40" t="str">
        <x:v>流沙</x:v>
      </x:c>
      <x:c r="E669" s="40" t="str">
        <x:v>區域</x:v>
      </x:c>
      <x:c r="F669" s="17"/>
      <x:c r="G669" s="42"/>
      <x:c r="H669" s="43" t="e">
        <x:f>HYPERLINK("#'山海经原文总库'!A3","↩ 返回目录")</x:f>
        <x:v>HYPERLINK is not implemented. linkLocation=#'山海经原文总库'!A3, friendlyName=↩ 返回目录</x:v>
      </x:c>
      <x:c r="I669" s="437"/>
      <x:c r="J669" s="437"/>
      <x:c r="K669" s="437" t="str">
        <x:v>待同名检索｜待建档</x:v>
      </x:c>
    </x:row>
    <x:row r="670" ht="22.5" customHeight="1">
      <x:c r="A670" s="40"/>
      <x:c r="B670" s="40"/>
      <x:c r="C670" s="41"/>
      <x:c r="D670" s="40" t="str">
        <x:v>深澤</x:v>
      </x:c>
      <x:c r="E670" s="40" t="str">
        <x:v>澤／淵</x:v>
      </x:c>
      <x:c r="F670" s="17"/>
      <x:c r="G670" s="42"/>
      <x:c r="H670" s="43" t="e">
        <x:f>HYPERLINK("#'山海经原文总库'!A3","↩ 返回目录")</x:f>
        <x:v>HYPERLINK is not implemented. linkLocation=#'山海经原文总库'!A3, friendlyName=↩ 返回目录</x:v>
      </x:c>
      <x:c r="I670" s="437"/>
      <x:c r="J670" s="437"/>
      <x:c r="K670" s="437" t="str">
        <x:v>待同名检索｜待建档</x:v>
      </x:c>
    </x:row>
    <x:row r="671" ht="48" customHeight="1">
      <x:c r="A671" s="40" t="str">
        <x:v>SHJ-04-029-2</x:v>
      </x:c>
      <x:c r="B671" s="40" t="str">
        <x:v>卷四 《東山經》</x:v>
      </x:c>
      <x:c r="C671" s="41" t="str">
        <x:v>又南水行九百里，曰踇隅之山，其上多草木，多金玉，多赭。有獸焉，其狀如牛而馬尾，名曰精精，其鳴自叫。</x:v>
      </x:c>
      <x:c r="D671" s="40" t="str">
        <x:v>踇隅之山</x:v>
      </x:c>
      <x:c r="E671" s="40" t="str">
        <x:v>山</x:v>
      </x:c>
      <x:c r="F671" s="17"/>
      <x:c r="G671" s="42" t="str">
        <x:v>标点与分段参考《山海经校注》；正文对读：https://ctext.org/shan-hai-jing/dong-shan-jing/zh</x:v>
      </x:c>
      <x:c r="H671" s="43" t="e">
        <x:f>HYPERLINK("#'山海经原文总库'!A3","↩ 返回目录")</x:f>
        <x:v>HYPERLINK is not implemented. linkLocation=#'山海经原文总库'!A3, friendlyName=↩ 返回目录</x:v>
      </x:c>
      <x:c r="I671" s="437"/>
      <x:c r="J671" s="437"/>
      <x:c r="K671" s="437" t="str">
        <x:v>待同名检索｜待建档</x:v>
      </x:c>
    </x:row>
    <x:row r="672" ht="48" customHeight="1">
      <x:c r="A672" s="40" t="str">
        <x:v>SHJ-04-029-3</x:v>
      </x:c>
      <x:c r="B672" s="40" t="str">
        <x:v>卷四 《東山經》</x:v>
      </x:c>
      <x:c r="C672" s="41" t="str">
        <x:v>又南水行五百里，流沙三百里，至於無皋之山，南望幼海，東望榑木，無草木，多風。是山也，廣員百里。</x:v>
      </x:c>
      <x:c r="D672" s="40" t="str">
        <x:v>幼海</x:v>
      </x:c>
      <x:c r="E672" s="40" t="str">
        <x:v>地理名稱</x:v>
      </x:c>
      <x:c r="F672" s="17"/>
      <x:c r="G672" s="42" t="str">
        <x:v>标点与分段参考《山海经校注》；正文对读：https://ctext.org/shan-hai-jing/dong-shan-jing/zh</x:v>
      </x:c>
      <x:c r="H672" s="43" t="e">
        <x:f>HYPERLINK("#'山海经原文总库'!A3","↩ 返回目录")</x:f>
        <x:v>HYPERLINK is not implemented. linkLocation=#'山海经原文总库'!A3, friendlyName=↩ 返回目录</x:v>
      </x:c>
      <x:c r="I672" s="437"/>
      <x:c r="J672" s="437"/>
      <x:c r="K672" s="437" t="str">
        <x:v>待同名检索｜待建档</x:v>
      </x:c>
    </x:row>
    <x:row r="673" ht="22.5" customHeight="1">
      <x:c r="A673" s="40"/>
      <x:c r="B673" s="40"/>
      <x:c r="C673" s="41"/>
      <x:c r="D673" s="40" t="str">
        <x:v>榑木</x:v>
      </x:c>
      <x:c r="E673" s="40" t="str">
        <x:v>地理名稱</x:v>
      </x:c>
      <x:c r="F673" s="17"/>
      <x:c r="G673" s="42"/>
      <x:c r="H673" s="43" t="e">
        <x:f>HYPERLINK("#'山海经原文总库'!A3","↩ 返回目录")</x:f>
        <x:v>HYPERLINK is not implemented. linkLocation=#'山海经原文总库'!A3, friendlyName=↩ 返回目录</x:v>
      </x:c>
      <x:c r="I673" s="437"/>
      <x:c r="J673" s="437"/>
      <x:c r="K673" s="437" t="str">
        <x:v>待同名检索｜待建档</x:v>
      </x:c>
    </x:row>
    <x:row r="674" ht="22.5" customHeight="1">
      <x:c r="A674" s="40"/>
      <x:c r="B674" s="40"/>
      <x:c r="C674" s="41"/>
      <x:c r="D674" s="40" t="str">
        <x:v>流沙</x:v>
      </x:c>
      <x:c r="E674" s="40" t="str">
        <x:v>區域</x:v>
      </x:c>
      <x:c r="F674" s="17"/>
      <x:c r="G674" s="42"/>
      <x:c r="H674" s="43" t="e">
        <x:f>HYPERLINK("#'山海经原文总库'!A3","↩ 返回目录")</x:f>
        <x:v>HYPERLINK is not implemented. linkLocation=#'山海经原文总库'!A3, friendlyName=↩ 返回目录</x:v>
      </x:c>
      <x:c r="I674" s="437"/>
      <x:c r="J674" s="437"/>
      <x:c r="K674" s="437" t="str">
        <x:v>待同名检索｜待建档</x:v>
      </x:c>
    </x:row>
    <x:row r="675" ht="48" customHeight="1">
      <x:c r="A675" s="40" t="str">
        <x:v>SHJ-04-030-1</x:v>
      </x:c>
      <x:c r="B675" s="40" t="str">
        <x:v>卷四 《東山經》</x:v>
      </x:c>
      <x:c r="C675" s="41" t="str">
        <x:v>凡東次三經之首，自屍胡之山至於無皋之山，凡九山，六千九百里。其神狀皆人身而羊角。其祠：用一牡羊，米用黍。是神也，見則風雨水為敗。</x:v>
      </x:c>
      <x:c r="D675" s="40" t="str">
        <x:v>屍胡之山至於無皋之山</x:v>
      </x:c>
      <x:c r="E675" s="40" t="str">
        <x:v>山</x:v>
      </x:c>
      <x:c r="F675" s="17"/>
      <x:c r="G675" s="42" t="str">
        <x:v>标点与分段参考《山海经校注》；正文对读：https://ctext.org/shan-hai-jing/dong-shan-jing/zh</x:v>
      </x:c>
      <x:c r="H675" s="43" t="e">
        <x:f>HYPERLINK("#'山海经原文总库'!A3","↩ 返回目录")</x:f>
        <x:v>HYPERLINK is not implemented. linkLocation=#'山海经原文总库'!A3, friendlyName=↩ 返回目录</x:v>
      </x:c>
      <x:c r="I675" s="437"/>
      <x:c r="J675" s="437"/>
      <x:c r="K675" s="437" t="str">
        <x:v>待同名检索｜待建档</x:v>
      </x:c>
    </x:row>
    <x:row r="676" ht="64.5" customHeight="1">
      <x:c r="A676" s="40" t="str">
        <x:v>SHJ-04-030-2</x:v>
      </x:c>
      <x:c r="B676" s="40" t="str">
        <x:v>卷四 《東山經》</x:v>
      </x:c>
      <x:c r="C676" s="41" t="str">
        <x:v>又東次四經之首，曰北號之山，臨於北海。有木焉，其狀如楊，赤華，其實如棗而無核，其味酸甘，食之不瘧。食水出焉，而東北流注於海。有獸焉，其狀如狼，赤首鼠目，其音如豚，名曰猲狙，是食人。有鳥焉，其狀如雞而白首，鼠足而虎爪，其名曰鬿雀，亦食人。</x:v>
      </x:c>
      <x:c r="D676" s="40" t="str">
        <x:v>號之山</x:v>
      </x:c>
      <x:c r="E676" s="40" t="str">
        <x:v>山</x:v>
      </x:c>
      <x:c r="F676" s="17"/>
      <x:c r="G676" s="42" t="str">
        <x:v>标点与分段参考《山海经校注》；正文对读：https://ctext.org/shan-hai-jing/dong-shan-jing/zh</x:v>
      </x:c>
      <x:c r="H676" s="43" t="e">
        <x:f>HYPERLINK("#'山海经原文总库'!A3","↩ 返回目录")</x:f>
        <x:v>HYPERLINK is not implemented. linkLocation=#'山海经原文总库'!A3, friendlyName=↩ 返回目录</x:v>
      </x:c>
      <x:c r="I676" s="437"/>
      <x:c r="J676" s="437"/>
      <x:c r="K676" s="437" t="str">
        <x:v>待同名检索｜待建档</x:v>
      </x:c>
    </x:row>
    <x:row r="677" ht="22.5" customHeight="1">
      <x:c r="A677" s="40"/>
      <x:c r="B677" s="40"/>
      <x:c r="C677" s="41"/>
      <x:c r="D677" s="40" t="str">
        <x:v>食水</x:v>
      </x:c>
      <x:c r="E677" s="40" t="str">
        <x:v>水系</x:v>
      </x:c>
      <x:c r="F677" s="17"/>
      <x:c r="G677" s="42"/>
      <x:c r="H677" s="43" t="e">
        <x:f>HYPERLINK("#'山海经原文总库'!A3","↩ 返回目录")</x:f>
        <x:v>HYPERLINK is not implemented. linkLocation=#'山海经原文总库'!A3, friendlyName=↩ 返回目录</x:v>
      </x:c>
      <x:c r="I677" s="437"/>
      <x:c r="J677" s="437"/>
      <x:c r="K677" s="437" t="str">
        <x:v>待同名检索｜待建档</x:v>
      </x:c>
    </x:row>
    <x:row r="678" ht="22.5" customHeight="1">
      <x:c r="A678" s="40"/>
      <x:c r="B678" s="40"/>
      <x:c r="C678" s="41"/>
      <x:c r="D678" s="40" t="str">
        <x:v>北海</x:v>
      </x:c>
      <x:c r="E678" s="40" t="str">
        <x:v>海域</x:v>
      </x:c>
      <x:c r="F678" s="17"/>
      <x:c r="G678" s="42"/>
      <x:c r="H678" s="43" t="e">
        <x:f>HYPERLINK("#'山海经原文总库'!A3","↩ 返回目录")</x:f>
        <x:v>HYPERLINK is not implemented. linkLocation=#'山海经原文总库'!A3, friendlyName=↩ 返回目录</x:v>
      </x:c>
      <x:c r="I678" s="437"/>
      <x:c r="J678" s="437"/>
      <x:c r="K678" s="437" t="str">
        <x:v>待同名检索｜待建档</x:v>
      </x:c>
    </x:row>
    <x:row r="679" ht="48" customHeight="1">
      <x:c r="A679" s="40" t="str">
        <x:v>SHJ-04-031</x:v>
      </x:c>
      <x:c r="B679" s="40" t="str">
        <x:v>卷四 《東山經》</x:v>
      </x:c>
      <x:c r="C679" s="41" t="str">
        <x:v>又南三百里，曰旄山，無草木。蒼體之水出焉，而西流注於展水。其中多（魚羞）魚，其狀如鯉而大首，食者不疣。</x:v>
      </x:c>
      <x:c r="D679" s="40" t="str">
        <x:v>旄山</x:v>
      </x:c>
      <x:c r="E679" s="40" t="str">
        <x:v>山</x:v>
      </x:c>
      <x:c r="F679" s="17"/>
      <x:c r="G679" s="42" t="str">
        <x:v>标点与分段参考《山海经校注》；正文对读：https://ctext.org/shan-hai-jing/dong-shan-jing/zh</x:v>
      </x:c>
      <x:c r="H679" s="43" t="e">
        <x:f>HYPERLINK("#'山海经原文总库'!A3","↩ 返回目录")</x:f>
        <x:v>HYPERLINK is not implemented. linkLocation=#'山海经原文总库'!A3, friendlyName=↩ 返回目录</x:v>
      </x:c>
      <x:c r="I679" s="437"/>
      <x:c r="J679" s="437"/>
      <x:c r="K679" s="437" t="str">
        <x:v>待同名检索｜待建档</x:v>
      </x:c>
    </x:row>
    <x:row r="680" ht="22.5" customHeight="1">
      <x:c r="A680" s="40"/>
      <x:c r="B680" s="40"/>
      <x:c r="C680" s="41"/>
      <x:c r="D680" s="40" t="str">
        <x:v>蒼體之水</x:v>
      </x:c>
      <x:c r="E680" s="40" t="str">
        <x:v>水系</x:v>
      </x:c>
      <x:c r="F680" s="17"/>
      <x:c r="G680" s="42"/>
      <x:c r="H680" s="43" t="e">
        <x:f>HYPERLINK("#'山海经原文总库'!A3","↩ 返回目录")</x:f>
        <x:v>HYPERLINK is not implemented. linkLocation=#'山海经原文总库'!A3, friendlyName=↩ 返回目录</x:v>
      </x:c>
      <x:c r="I680" s="437"/>
      <x:c r="J680" s="437"/>
      <x:c r="K680" s="437" t="str">
        <x:v>待同名检索｜待建档</x:v>
      </x:c>
    </x:row>
    <x:row r="681" ht="22.5" customHeight="1">
      <x:c r="A681" s="40"/>
      <x:c r="B681" s="40"/>
      <x:c r="C681" s="41"/>
      <x:c r="D681" s="40" t="str">
        <x:v>展水</x:v>
      </x:c>
      <x:c r="E681" s="40" t="str">
        <x:v>水系</x:v>
      </x:c>
      <x:c r="F681" s="17"/>
      <x:c r="G681" s="42"/>
      <x:c r="H681" s="43" t="e">
        <x:f>HYPERLINK("#'山海经原文总库'!A3","↩ 返回目录")</x:f>
        <x:v>HYPERLINK is not implemented. linkLocation=#'山海经原文总库'!A3, friendlyName=↩ 返回目录</x:v>
      </x:c>
      <x:c r="I681" s="437"/>
      <x:c r="J681" s="437"/>
      <x:c r="K681" s="437" t="str">
        <x:v>待同名检索｜待建档</x:v>
      </x:c>
    </x:row>
    <x:row r="682" ht="64.5" customHeight="1">
      <x:c r="A682" s="40" t="str">
        <x:v>SHJ-04-032-1</x:v>
      </x:c>
      <x:c r="B682" s="40" t="str">
        <x:v>卷四 《東山經》</x:v>
      </x:c>
      <x:c r="C682" s="41" t="str">
        <x:v>又南三百二十里，曰東始之山，上多蒼玉。有木焉，其狀如楊而赤理，其汁如血，不實，其名曰芑，可以服馬。泚水出焉，而東北流注於海，其中多美貝，多茈魚，其狀如鮒，一首而十身，其臭如蘪蕪，食之不（米費）。</x:v>
      </x:c>
      <x:c r="D682" s="40" t="str">
        <x:v>始之山</x:v>
      </x:c>
      <x:c r="E682" s="40" t="str">
        <x:v>山</x:v>
      </x:c>
      <x:c r="F682" s="17"/>
      <x:c r="G682" s="42" t="str">
        <x:v>标点与分段参考《山海经校注》；正文对读：https://ctext.org/shan-hai-jing/dong-shan-jing/zh</x:v>
      </x:c>
      <x:c r="H682" s="43" t="e">
        <x:f>HYPERLINK("#'山海经原文总库'!A3","↩ 返回目录")</x:f>
        <x:v>HYPERLINK is not implemented. linkLocation=#'山海经原文总库'!A3, friendlyName=↩ 返回目录</x:v>
      </x:c>
      <x:c r="I682" s="437"/>
      <x:c r="J682" s="437"/>
      <x:c r="K682" s="437" t="str">
        <x:v>待同名检索｜待建档</x:v>
      </x:c>
    </x:row>
    <x:row r="683" ht="22.5" customHeight="1">
      <x:c r="A683" s="40"/>
      <x:c r="B683" s="40"/>
      <x:c r="C683" s="41"/>
      <x:c r="D683" s="40" t="str">
        <x:v>泚水</x:v>
      </x:c>
      <x:c r="E683" s="40" t="str">
        <x:v>水系</x:v>
      </x:c>
      <x:c r="F683" s="17"/>
      <x:c r="G683" s="42"/>
      <x:c r="H683" s="43" t="e">
        <x:f>HYPERLINK("#'山海经原文总库'!A3","↩ 返回目录")</x:f>
        <x:v>HYPERLINK is not implemented. linkLocation=#'山海经原文总库'!A3, friendlyName=↩ 返回目录</x:v>
      </x:c>
      <x:c r="I683" s="437"/>
      <x:c r="J683" s="437"/>
      <x:c r="K683" s="437" t="str">
        <x:v>待同名检索｜待建档</x:v>
      </x:c>
    </x:row>
    <x:row r="684" ht="22.5" customHeight="1">
      <x:c r="A684" s="40"/>
      <x:c r="B684" s="40"/>
      <x:c r="C684" s="41"/>
      <x:c r="D684" s="40" t="str">
        <x:v>女烝之山</x:v>
      </x:c>
      <x:c r="E684" s="40" t="str">
        <x:v>山</x:v>
      </x:c>
      <x:c r="F684" s="17"/>
      <x:c r="G684" s="42"/>
      <x:c r="H684" s="43" t="e">
        <x:f>HYPERLINK("#'山海经原文总库'!A3","↩ 返回目录")</x:f>
        <x:v>HYPERLINK is not implemented. linkLocation=#'山海经原文总库'!A3, friendlyName=↩ 返回目录</x:v>
      </x:c>
      <x:c r="I684" s="437"/>
      <x:c r="J684" s="437"/>
      <x:c r="K684" s="437" t="str">
        <x:v>待同名检索｜待建档</x:v>
      </x:c>
    </x:row>
    <x:row r="685" ht="22.5" customHeight="1">
      <x:c r="A685" s="40"/>
      <x:c r="B685" s="40"/>
      <x:c r="C685" s="41"/>
      <x:c r="D685" s="40" t="str">
        <x:v>膏水</x:v>
      </x:c>
      <x:c r="E685" s="40" t="str">
        <x:v>水系</x:v>
      </x:c>
      <x:c r="F685" s="17"/>
      <x:c r="G685" s="42"/>
      <x:c r="H685" s="43" t="e">
        <x:f>HYPERLINK("#'山海经原文总库'!A3","↩ 返回目录")</x:f>
        <x:v>HYPERLINK is not implemented. linkLocation=#'山海经原文总库'!A3, friendlyName=↩ 返回目录</x:v>
      </x:c>
      <x:c r="I685" s="437"/>
      <x:c r="J685" s="437"/>
      <x:c r="K685" s="437" t="str">
        <x:v>待同名检索｜待建档</x:v>
      </x:c>
    </x:row>
    <x:row r="686" ht="22.5" customHeight="1">
      <x:c r="A686" s="40"/>
      <x:c r="B686" s="40"/>
      <x:c r="C686" s="41"/>
      <x:c r="D686" s="40" t="str">
        <x:v>欽山</x:v>
      </x:c>
      <x:c r="E686" s="40" t="str">
        <x:v>山</x:v>
      </x:c>
      <x:c r="F686" s="17"/>
      <x:c r="G686" s="42"/>
      <x:c r="H686" s="43" t="e">
        <x:f>HYPERLINK("#'山海经原文总库'!A3","↩ 返回目录")</x:f>
        <x:v>HYPERLINK is not implemented. linkLocation=#'山海经原文总库'!A3, friendlyName=↩ 返回目录</x:v>
      </x:c>
      <x:c r="I686" s="437"/>
      <x:c r="J686" s="437"/>
      <x:c r="K686" s="437" t="str">
        <x:v>待同名检索｜待建档</x:v>
      </x:c>
    </x:row>
    <x:row r="687" ht="22.5" customHeight="1">
      <x:c r="A687" s="40"/>
      <x:c r="B687" s="40"/>
      <x:c r="C687" s="41"/>
      <x:c r="D687" s="40" t="str">
        <x:v>師水</x:v>
      </x:c>
      <x:c r="E687" s="40" t="str">
        <x:v>水系</x:v>
      </x:c>
      <x:c r="F687" s="17"/>
      <x:c r="G687" s="42"/>
      <x:c r="H687" s="43" t="e">
        <x:f>HYPERLINK("#'山海经原文总库'!A3","↩ 返回目录")</x:f>
        <x:v>HYPERLINK is not implemented. linkLocation=#'山海经原文总库'!A3, friendlyName=↩ 返回目录</x:v>
      </x:c>
      <x:c r="I687" s="437"/>
      <x:c r="J687" s="437"/>
      <x:c r="K687" s="437" t="str">
        <x:v>待同名检索｜待建档</x:v>
      </x:c>
    </x:row>
    <x:row r="688" ht="22.5" customHeight="1">
      <x:c r="A688" s="40"/>
      <x:c r="B688" s="40"/>
      <x:c r="C688" s="41"/>
      <x:c r="D688" s="40" t="str">
        <x:v>臯澤</x:v>
      </x:c>
      <x:c r="E688" s="40" t="str">
        <x:v>澤／淵</x:v>
      </x:c>
      <x:c r="F688" s="17"/>
      <x:c r="G688" s="42"/>
      <x:c r="H688" s="43" t="e">
        <x:f>HYPERLINK("#'山海经原文总库'!A3","↩ 返回目录")</x:f>
        <x:v>HYPERLINK is not implemented. linkLocation=#'山海经原文总库'!A3, friendlyName=↩ 返回目录</x:v>
      </x:c>
      <x:c r="I688" s="437"/>
      <x:c r="J688" s="437"/>
      <x:c r="K688" s="437" t="str">
        <x:v>待同名检索｜待建档</x:v>
      </x:c>
    </x:row>
    <x:row r="689" ht="22.5" customHeight="1">
      <x:c r="A689" s="40"/>
      <x:c r="B689" s="40"/>
      <x:c r="C689" s="41"/>
      <x:c r="D689" s="40" t="str">
        <x:v>子桐之山</x:v>
      </x:c>
      <x:c r="E689" s="40" t="str">
        <x:v>山</x:v>
      </x:c>
      <x:c r="F689" s="17"/>
      <x:c r="G689" s="42"/>
      <x:c r="H689" s="43" t="e">
        <x:f>HYPERLINK("#'山海经原文总库'!A3","↩ 返回目录")</x:f>
        <x:v>HYPERLINK is not implemented. linkLocation=#'山海经原文总库'!A3, friendlyName=↩ 返回目录</x:v>
      </x:c>
      <x:c r="I689" s="437"/>
      <x:c r="J689" s="437"/>
      <x:c r="K689" s="437" t="str">
        <x:v>待同名检索｜待建档</x:v>
      </x:c>
    </x:row>
    <x:row r="690" ht="48" customHeight="1">
      <x:c r="A690" s="40" t="str">
        <x:v>SHJ-04-032-2</x:v>
      </x:c>
      <x:c r="B690" s="40" t="str">
        <x:v>卷四 《東山經》</x:v>
      </x:c>
      <x:c r="C690" s="41" t="str">
        <x:v>又東南三百里，曰女烝之山，其上無草木。石膏水出焉，而西注於鬲水，其中多薄魚，其狀如鱣魚而一目，其音如歐，見則天下大旱。</x:v>
      </x:c>
      <x:c r="D690" s="40" t="str">
        <x:v>女烝之山</x:v>
      </x:c>
      <x:c r="E690" s="40" t="str">
        <x:v>山</x:v>
      </x:c>
      <x:c r="F690" s="17"/>
      <x:c r="G690" s="42" t="str">
        <x:v>标点与分段参考《山海经校注》；正文对读：https://ctext.org/shan-hai-jing/dong-shan-jing/zh</x:v>
      </x:c>
      <x:c r="H690" s="43" t="e">
        <x:f>HYPERLINK("#'山海经原文总库'!A3","↩ 返回目录")</x:f>
        <x:v>HYPERLINK is not implemented. linkLocation=#'山海经原文总库'!A3, friendlyName=↩ 返回目录</x:v>
      </x:c>
      <x:c r="I690" s="437"/>
      <x:c r="J690" s="437"/>
      <x:c r="K690" s="437" t="str">
        <x:v>待同名检索｜待建档</x:v>
      </x:c>
    </x:row>
    <x:row r="691" ht="22.5" customHeight="1">
      <x:c r="A691" s="40"/>
      <x:c r="B691" s="40"/>
      <x:c r="C691" s="41"/>
      <x:c r="D691" s="40" t="str">
        <x:v>石膏水</x:v>
      </x:c>
      <x:c r="E691" s="40" t="str">
        <x:v>水系</x:v>
      </x:c>
      <x:c r="F691" s="17"/>
      <x:c r="G691" s="42"/>
      <x:c r="H691" s="43" t="e">
        <x:f>HYPERLINK("#'山海经原文总库'!A3","↩ 返回目录")</x:f>
        <x:v>HYPERLINK is not implemented. linkLocation=#'山海经原文总库'!A3, friendlyName=↩ 返回目录</x:v>
      </x:c>
      <x:c r="I691" s="437"/>
      <x:c r="J691" s="437"/>
      <x:c r="K691" s="437" t="str">
        <x:v>待同名检索｜待建档</x:v>
      </x:c>
    </x:row>
    <x:row r="692" ht="22.5" customHeight="1">
      <x:c r="A692" s="40"/>
      <x:c r="B692" s="40"/>
      <x:c r="C692" s="41"/>
      <x:c r="D692" s="40" t="str">
        <x:v>鬲水</x:v>
      </x:c>
      <x:c r="E692" s="40" t="str">
        <x:v>水系</x:v>
      </x:c>
      <x:c r="F692" s="17"/>
      <x:c r="G692" s="42"/>
      <x:c r="H692" s="43" t="e">
        <x:f>HYPERLINK("#'山海经原文总库'!A3","↩ 返回目录")</x:f>
        <x:v>HYPERLINK is not implemented. linkLocation=#'山海经原文总库'!A3, friendlyName=↩ 返回目录</x:v>
      </x:c>
      <x:c r="I692" s="437"/>
      <x:c r="J692" s="437"/>
      <x:c r="K692" s="437" t="str">
        <x:v>待同名检索｜待建档</x:v>
      </x:c>
    </x:row>
    <x:row r="693" ht="48" customHeight="1">
      <x:c r="A693" s="40" t="str">
        <x:v>SHJ-04-032-3</x:v>
      </x:c>
      <x:c r="B693" s="40" t="str">
        <x:v>卷四 《東山經》</x:v>
      </x:c>
      <x:c r="C693" s="41" t="str">
        <x:v>又東南二百里，曰欽山，多金玉而無石。師水出焉，而北流注於皋澤，其中多（魚羞）魚，多文貝。有獸焉，其狀如豚而有牙，其名曰當康，其鳴自叫，見則天下大穰。</x:v>
      </x:c>
      <x:c r="D693" s="40" t="str">
        <x:v>欽山</x:v>
      </x:c>
      <x:c r="E693" s="40" t="str">
        <x:v>山</x:v>
      </x:c>
      <x:c r="F693" s="17"/>
      <x:c r="G693" s="42" t="str">
        <x:v>标点与分段参考《山海经校注》；正文对读：https://ctext.org/shan-hai-jing/dong-shan-jing/zh</x:v>
      </x:c>
      <x:c r="H693" s="43" t="e">
        <x:f>HYPERLINK("#'山海经原文总库'!A3","↩ 返回目录")</x:f>
        <x:v>HYPERLINK is not implemented. linkLocation=#'山海经原文总库'!A3, friendlyName=↩ 返回目录</x:v>
      </x:c>
      <x:c r="I693" s="437"/>
      <x:c r="J693" s="437"/>
      <x:c r="K693" s="437" t="str">
        <x:v>待同名检索｜待建档</x:v>
      </x:c>
    </x:row>
    <x:row r="694" ht="22.5" customHeight="1">
      <x:c r="A694" s="40"/>
      <x:c r="B694" s="40"/>
      <x:c r="C694" s="41"/>
      <x:c r="D694" s="40" t="str">
        <x:v>師水</x:v>
      </x:c>
      <x:c r="E694" s="40" t="str">
        <x:v>水系</x:v>
      </x:c>
      <x:c r="F694" s="17"/>
      <x:c r="G694" s="42"/>
      <x:c r="H694" s="43" t="e">
        <x:f>HYPERLINK("#'山海经原文总库'!A3","↩ 返回目录")</x:f>
        <x:v>HYPERLINK is not implemented. linkLocation=#'山海经原文总库'!A3, friendlyName=↩ 返回目录</x:v>
      </x:c>
      <x:c r="I694" s="437"/>
      <x:c r="J694" s="437"/>
      <x:c r="K694" s="437" t="str">
        <x:v>待同名检索｜待建档</x:v>
      </x:c>
    </x:row>
    <x:row r="695" ht="22.5" customHeight="1">
      <x:c r="A695" s="40"/>
      <x:c r="B695" s="40"/>
      <x:c r="C695" s="41"/>
      <x:c r="D695" s="40" t="str">
        <x:v>皋澤</x:v>
      </x:c>
      <x:c r="E695" s="40" t="str">
        <x:v>水系</x:v>
      </x:c>
      <x:c r="F695" s="17"/>
      <x:c r="G695" s="42"/>
      <x:c r="H695" s="43" t="e">
        <x:f>HYPERLINK("#'山海经原文总库'!A3","↩ 返回目录")</x:f>
        <x:v>HYPERLINK is not implemented. linkLocation=#'山海经原文总库'!A3, friendlyName=↩ 返回目录</x:v>
      </x:c>
      <x:c r="I695" s="437"/>
      <x:c r="J695" s="437"/>
      <x:c r="K695" s="437" t="str">
        <x:v>待同名检索｜待建档</x:v>
      </x:c>
    </x:row>
    <x:row r="696" ht="48" customHeight="1">
      <x:c r="A696" s="40" t="str">
        <x:v>SHJ-04-033-1</x:v>
      </x:c>
      <x:c r="B696" s="40" t="str">
        <x:v>卷四 《東山經》</x:v>
      </x:c>
      <x:c r="C696" s="41" t="str">
        <x:v>又東南二百里，曰子桐之山，子桐之水出焉，而西流注於余如之澤。其中多？魚，其狀如魚而鳥翼，出入有光，其音如鴛鴦，見則天下大旱。</x:v>
      </x:c>
      <x:c r="D696" s="40" t="str">
        <x:v>子桐之山</x:v>
      </x:c>
      <x:c r="E696" s="40" t="str">
        <x:v>山</x:v>
      </x:c>
      <x:c r="F696" s="17"/>
      <x:c r="G696" s="42" t="str">
        <x:v>标点与分段参考《山海经校注》；正文对读：https://ctext.org/shan-hai-jing/dong-shan-jing/zh</x:v>
      </x:c>
      <x:c r="H696" s="43" t="e">
        <x:f>HYPERLINK("#'山海经原文总库'!A3","↩ 返回目录")</x:f>
        <x:v>HYPERLINK is not implemented. linkLocation=#'山海经原文总库'!A3, friendlyName=↩ 返回目录</x:v>
      </x:c>
      <x:c r="I696" s="437"/>
      <x:c r="J696" s="437"/>
      <x:c r="K696" s="437" t="str">
        <x:v>待同名检索｜待建档</x:v>
      </x:c>
    </x:row>
    <x:row r="697" ht="22.5" customHeight="1">
      <x:c r="A697" s="40"/>
      <x:c r="B697" s="40"/>
      <x:c r="C697" s="41"/>
      <x:c r="D697" s="40" t="str">
        <x:v>子桐之水</x:v>
      </x:c>
      <x:c r="E697" s="40" t="str">
        <x:v>水系</x:v>
      </x:c>
      <x:c r="F697" s="17"/>
      <x:c r="G697" s="42"/>
      <x:c r="H697" s="43" t="e">
        <x:f>HYPERLINK("#'山海经原文总库'!A3","↩ 返回目录")</x:f>
        <x:v>HYPERLINK is not implemented. linkLocation=#'山海经原文总库'!A3, friendlyName=↩ 返回目录</x:v>
      </x:c>
      <x:c r="I697" s="437"/>
      <x:c r="J697" s="437"/>
      <x:c r="K697" s="437" t="str">
        <x:v>待同名检索｜待建档</x:v>
      </x:c>
    </x:row>
    <x:row r="698" ht="22.5" customHeight="1">
      <x:c r="A698" s="40"/>
      <x:c r="B698" s="40"/>
      <x:c r="C698" s="41"/>
      <x:c r="D698" s="40" t="str">
        <x:v>余如之澤</x:v>
      </x:c>
      <x:c r="E698" s="40" t="str">
        <x:v>水系</x:v>
      </x:c>
      <x:c r="F698" s="17"/>
      <x:c r="G698" s="42"/>
      <x:c r="H698" s="43" t="e">
        <x:f>HYPERLINK("#'山海经原文总库'!A3","↩ 返回目录")</x:f>
        <x:v>HYPERLINK is not implemented. linkLocation=#'山海经原文总库'!A3, friendlyName=↩ 返回目录</x:v>
      </x:c>
      <x:c r="I698" s="437"/>
      <x:c r="J698" s="437"/>
      <x:c r="K698" s="437" t="str">
        <x:v>待同名检索｜待建档</x:v>
      </x:c>
    </x:row>
    <x:row r="699" ht="22.5" customHeight="1">
      <x:c r="A699" s="40"/>
      <x:c r="B699" s="40"/>
      <x:c r="C699" s="41"/>
      <x:c r="D699" s="40" t="str">
        <x:v>剡山</x:v>
      </x:c>
      <x:c r="E699" s="40" t="str">
        <x:v>山</x:v>
      </x:c>
      <x:c r="F699" s="17"/>
      <x:c r="G699" s="42"/>
      <x:c r="H699" s="43" t="e">
        <x:f>HYPERLINK("#'山海经原文总库'!A3","↩ 返回目录")</x:f>
        <x:v>HYPERLINK is not implemented. linkLocation=#'山海经原文总库'!A3, friendlyName=↩ 返回目录</x:v>
      </x:c>
      <x:c r="I699" s="437"/>
      <x:c r="J699" s="437"/>
      <x:c r="K699" s="437" t="str">
        <x:v>待同名检索｜待建档</x:v>
      </x:c>
    </x:row>
    <x:row r="700" ht="48" customHeight="1">
      <x:c r="A700" s="40" t="str">
        <x:v>SHJ-04-033-2</x:v>
      </x:c>
      <x:c r="B700" s="40" t="str">
        <x:v>卷四 《東山經》</x:v>
      </x:c>
      <x:c r="C700" s="41" t="str">
        <x:v>又東北二百里，曰剡山，多金玉。有獸焉，其狀如彘而人面，黃身而赤尾，其名曰合窳，其音如嬰兒。是獸也，食人，亦食蟲蛇，見則天下大水。</x:v>
      </x:c>
      <x:c r="D700" s="40" t="str">
        <x:v>剡山</x:v>
      </x:c>
      <x:c r="E700" s="40" t="str">
        <x:v>山</x:v>
      </x:c>
      <x:c r="F700" s="17"/>
      <x:c r="G700" s="42" t="str">
        <x:v>标点与分段参考《山海经校注》；正文对读：https://ctext.org/shan-hai-jing/dong-shan-jing/zh</x:v>
      </x:c>
      <x:c r="H700" s="43" t="e">
        <x:f>HYPERLINK("#'山海经原文总库'!A3","↩ 返回目录")</x:f>
        <x:v>HYPERLINK is not implemented. linkLocation=#'山海经原文总库'!A3, friendlyName=↩ 返回目录</x:v>
      </x:c>
      <x:c r="I700" s="437"/>
      <x:c r="J700" s="437"/>
      <x:c r="K700" s="437" t="str">
        <x:v>待同名检索｜待建档</x:v>
      </x:c>
    </x:row>
    <x:row r="701" ht="48" customHeight="1">
      <x:c r="A701" s="40" t="str">
        <x:v>SHJ-04-034</x:v>
      </x:c>
      <x:c r="B701" s="40" t="str">
        <x:v>卷四 《東山經》</x:v>
      </x:c>
      <x:c r="C701" s="41" t="str">
        <x:v>又東二百里，曰太山，上多金玉、楨木。有獸焉，其狀如牛而白首，一目而蛇尾，其名曰蜚，行水則竭，行草則死，見則天下大疫。鈎水出焉，而北流注於勞水，其中多（魚羞）魚。</x:v>
      </x:c>
      <x:c r="D701" s="40" t="str">
        <x:v>太山</x:v>
      </x:c>
      <x:c r="E701" s="40" t="str">
        <x:v>山</x:v>
      </x:c>
      <x:c r="F701" s="17"/>
      <x:c r="G701" s="42" t="str">
        <x:v>标点与分段参考《山海经校注》；正文对读：https://ctext.org/shan-hai-jing/dong-shan-jing/zh</x:v>
      </x:c>
      <x:c r="H701" s="43" t="e">
        <x:f>HYPERLINK("#'山海经原文总库'!A3","↩ 返回目录")</x:f>
        <x:v>HYPERLINK is not implemented. linkLocation=#'山海经原文总库'!A3, friendlyName=↩ 返回目录</x:v>
      </x:c>
      <x:c r="I701" s="437"/>
      <x:c r="J701" s="437"/>
      <x:c r="K701" s="437" t="str">
        <x:v>待同名检索｜待建档</x:v>
      </x:c>
    </x:row>
    <x:row r="702" ht="22.5" customHeight="1">
      <x:c r="A702" s="40"/>
      <x:c r="B702" s="40"/>
      <x:c r="C702" s="41"/>
      <x:c r="D702" s="40" t="str">
        <x:v>鈎水</x:v>
      </x:c>
      <x:c r="E702" s="40" t="str">
        <x:v>水系</x:v>
      </x:c>
      <x:c r="F702" s="17"/>
      <x:c r="G702" s="42"/>
      <x:c r="H702" s="43" t="e">
        <x:f>HYPERLINK("#'山海经原文总库'!A3","↩ 返回目录")</x:f>
        <x:v>HYPERLINK is not implemented. linkLocation=#'山海经原文总库'!A3, friendlyName=↩ 返回目录</x:v>
      </x:c>
      <x:c r="I702" s="437"/>
      <x:c r="J702" s="437"/>
      <x:c r="K702" s="437" t="str">
        <x:v>待同名检索｜待建档</x:v>
      </x:c>
    </x:row>
    <x:row r="703" ht="22.5" customHeight="1">
      <x:c r="A703" s="40"/>
      <x:c r="B703" s="40"/>
      <x:c r="C703" s="41"/>
      <x:c r="D703" s="40" t="str">
        <x:v>勞水</x:v>
      </x:c>
      <x:c r="E703" s="40" t="str">
        <x:v>水系</x:v>
      </x:c>
      <x:c r="F703" s="17"/>
      <x:c r="G703" s="42"/>
      <x:c r="H703" s="43" t="e">
        <x:f>HYPERLINK("#'山海经原文总库'!A3","↩ 返回目录")</x:f>
        <x:v>HYPERLINK is not implemented. linkLocation=#'山海经原文总库'!A3, friendlyName=↩ 返回目录</x:v>
      </x:c>
      <x:c r="I703" s="437"/>
      <x:c r="J703" s="437"/>
      <x:c r="K703" s="437" t="str">
        <x:v>待同名检索｜待建档</x:v>
      </x:c>
    </x:row>
    <x:row r="704" ht="22.5" customHeight="1">
      <x:c r="A704" s="40"/>
      <x:c r="B704" s="40"/>
      <x:c r="C704" s="41"/>
      <x:c r="D704" s="40" t="str">
        <x:v>大山</x:v>
      </x:c>
      <x:c r="E704" s="40" t="str">
        <x:v>山</x:v>
      </x:c>
      <x:c r="F704" s="17"/>
      <x:c r="G704" s="42"/>
      <x:c r="H704" s="43" t="e">
        <x:f>HYPERLINK("#'山海经原文总库'!A3","↩ 返回目录")</x:f>
        <x:v>HYPERLINK is not implemented. linkLocation=#'山海经原文总库'!A3, friendlyName=↩ 返回目录</x:v>
      </x:c>
      <x:c r="I704" s="437"/>
      <x:c r="J704" s="437"/>
      <x:c r="K704" s="437" t="str">
        <x:v>待同名检索｜待建档</x:v>
      </x:c>
    </x:row>
    <x:row r="705" ht="48" customHeight="1">
      <x:c r="A705" s="40" t="str">
        <x:v>SHJ-04-035</x:v>
      </x:c>
      <x:c r="B705" s="40" t="str">
        <x:v>卷四 《東山經》</x:v>
      </x:c>
      <x:c r="C705" s="41" t="str">
        <x:v>凡東次四經之首，自北號之山至於太山，凡八山，一千七百二十里。</x:v>
      </x:c>
      <x:c r="D705" s="40" t="str">
        <x:v>號之山至於太山</x:v>
      </x:c>
      <x:c r="E705" s="40" t="str">
        <x:v>山</x:v>
      </x:c>
      <x:c r="F705" s="17"/>
      <x:c r="G705" s="42" t="str">
        <x:v>标点与分段参考《山海经校注》；正文对读：https://ctext.org/shan-hai-jing/dong-shan-jing/zh</x:v>
      </x:c>
      <x:c r="H705" s="43" t="e">
        <x:f>HYPERLINK("#'山海经原文总库'!A3","↩ 返回目录")</x:f>
        <x:v>HYPERLINK is not implemented. linkLocation=#'山海经原文总库'!A3, friendlyName=↩ 返回目录</x:v>
      </x:c>
      <x:c r="I705" s="437"/>
      <x:c r="J705" s="437"/>
      <x:c r="K705" s="437" t="str">
        <x:v>待同名检索｜待建档</x:v>
      </x:c>
    </x:row>
    <x:row r="706" ht="48" customHeight="1">
      <x:c r="A706" s="40" t="str">
        <x:v>SHJ-04-036</x:v>
      </x:c>
      <x:c r="B706" s="40" t="str">
        <x:v>卷四 《東山經》</x:v>
      </x:c>
      <x:c r="C706" s="41" t="str">
        <x:v>右東經之山志，凡四十六山，萬八千八百六十里。</x:v>
      </x:c>
      <x:c r="D706" s="40"/>
      <x:c r="E706" s="40"/>
      <x:c r="F706" s="17"/>
      <x:c r="G706" s="42" t="str">
        <x:v>标点与分段参考《山海经校注》；正文对读：https://ctext.org/shan-hai-jing/dong-shan-jing/zh</x:v>
      </x:c>
      <x:c r="H706" s="43" t="e">
        <x:f>HYPERLINK("#'山海经原文总库'!A3","↩ 返回目录")</x:f>
        <x:v>HYPERLINK is not implemented. linkLocation=#'山海经原文总库'!A3, friendlyName=↩ 返回目录</x:v>
      </x:c>
      <x:c r="I706" s="437"/>
      <x:c r="J706" s="437"/>
      <x:c r="K706" s="437" t="str">
        <x:v>经文已收录｜非地点行</x:v>
      </x:c>
    </x:row>
    <x:row r="707" ht="64.5" customHeight="1">
      <x:c r="A707" s="44" t="str">
        <x:v>SHJ-05-001</x:v>
      </x:c>
      <x:c r="B707" s="44" t="str">
        <x:v>卷五 《中山經》</x:v>
      </x:c>
      <x:c r="C707" s="45" t="str">
        <x:v>中山經薄山之首，曰甘棗之山。共水出焉，而西流注於河。其上多杻木，其下有草焉，葵本而杏葉，黃華而莢實，名曰籜，可以已瞢。有獸焉，其狀如（蟲犬）鼠而文題，其名曰難（隹改能），食之已癭。</x:v>
      </x:c>
      <x:c r="D707" s="44" t="str">
        <x:v>甘棗之山</x:v>
      </x:c>
      <x:c r="E707" s="44" t="str">
        <x:v>山</x:v>
      </x:c>
      <x:c r="F707" s="18"/>
      <x:c r="G707" s="46" t="str">
        <x:v>标点与分段参考《山海经校注》；正文对读：https://ctext.org/shan-hai-jing/zhong-shan-jing/zh</x:v>
      </x:c>
      <x:c r="H707" s="47" t="e">
        <x:f>HYPERLINK("#'山海经原文总库'!A3","↩ 返回目录")</x:f>
        <x:v>HYPERLINK is not implemented. linkLocation=#'山海经原文总库'!A3, friendlyName=↩ 返回目录</x:v>
      </x:c>
      <x:c r="I707" s="437"/>
      <x:c r="J707" s="437"/>
      <x:c r="K707" s="437" t="str">
        <x:v>待同名检索｜待建档</x:v>
      </x:c>
    </x:row>
    <x:row r="708" ht="22.5" customHeight="1">
      <x:c r="A708" s="44"/>
      <x:c r="B708" s="44"/>
      <x:c r="C708" s="45"/>
      <x:c r="D708" s="44" t="str">
        <x:v>共水</x:v>
      </x:c>
      <x:c r="E708" s="44" t="str">
        <x:v>水系</x:v>
      </x:c>
      <x:c r="F708" s="18"/>
      <x:c r="G708" s="46"/>
      <x:c r="H708" s="47" t="e">
        <x:f>HYPERLINK("#'山海经原文总库'!A3","↩ 返回目录")</x:f>
        <x:v>HYPERLINK is not implemented. linkLocation=#'山海经原文总库'!A3, friendlyName=↩ 返回目录</x:v>
      </x:c>
      <x:c r="I708" s="437"/>
      <x:c r="J708" s="437"/>
      <x:c r="K708" s="437" t="str">
        <x:v>待同名检索｜待建档</x:v>
      </x:c>
    </x:row>
    <x:row r="709" ht="22.5" customHeight="1">
      <x:c r="A709" s="44"/>
      <x:c r="B709" s="44"/>
      <x:c r="C709" s="45"/>
      <x:c r="D709" s="44" t="str">
        <x:v>河</x:v>
      </x:c>
      <x:c r="E709" s="44" t="str">
        <x:v>地理名稱</x:v>
      </x:c>
      <x:c r="F709" s="18"/>
      <x:c r="G709" s="46"/>
      <x:c r="H709" s="47" t="e">
        <x:f>HYPERLINK("#'山海经原文总库'!A3","↩ 返回目录")</x:f>
        <x:v>HYPERLINK is not implemented. linkLocation=#'山海经原文总库'!A3, friendlyName=↩ 返回目录</x:v>
      </x:c>
      <x:c r="I709" s="437"/>
      <x:c r="J709" s="437"/>
      <x:c r="K709" s="437" t="str">
        <x:v>待同名检索｜待建档</x:v>
      </x:c>
    </x:row>
    <x:row r="710" ht="48" customHeight="1">
      <x:c r="A710" s="44" t="str">
        <x:v>SHJ-05-002</x:v>
      </x:c>
      <x:c r="B710" s="44" t="str">
        <x:v>卷五 《中山經》</x:v>
      </x:c>
      <x:c r="C710" s="45" t="str">
        <x:v>又東二十里，曰歷兒之山，其上多橿，多（木厲）木，是木也，方莖而員葉，黃華而毛，其實如揀，服之不忘。</x:v>
      </x:c>
      <x:c r="D710" s="44" t="str">
        <x:v>歷兒之山</x:v>
      </x:c>
      <x:c r="E710" s="44" t="str">
        <x:v>山</x:v>
      </x:c>
      <x:c r="F710" s="18"/>
      <x:c r="G710" s="46" t="str">
        <x:v>标点与分段参考《山海经校注》；正文对读：https://ctext.org/shan-hai-jing/zhong-shan-jing/zh</x:v>
      </x:c>
      <x:c r="H710" s="47" t="e">
        <x:f>HYPERLINK("#'山海经原文总库'!A3","↩ 返回目录")</x:f>
        <x:v>HYPERLINK is not implemented. linkLocation=#'山海经原文总库'!A3, friendlyName=↩ 返回目录</x:v>
      </x:c>
      <x:c r="I710" s="437"/>
      <x:c r="J710" s="437"/>
      <x:c r="K710" s="437" t="str">
        <x:v>待同名检索｜待建档</x:v>
      </x:c>
    </x:row>
    <x:row r="711" ht="48" customHeight="1">
      <x:c r="A711" s="44" t="str">
        <x:v>SHJ-05-003</x:v>
      </x:c>
      <x:c r="B711" s="44" t="str">
        <x:v>卷五 《中山經》</x:v>
      </x:c>
      <x:c r="C711" s="45" t="str">
        <x:v>又東十五里，曰渠豬之山，其上多竹。渠豬之水出焉，而南流注於河。其中是多豪魚，狀如鮪，赤喙尾赤羽，可以已白癬。</x:v>
      </x:c>
      <x:c r="D711" s="44" t="str">
        <x:v>渠豬之山</x:v>
      </x:c>
      <x:c r="E711" s="44" t="str">
        <x:v>山</x:v>
      </x:c>
      <x:c r="F711" s="18"/>
      <x:c r="G711" s="46" t="str">
        <x:v>标点与分段参考《山海经校注》；正文对读：https://ctext.org/shan-hai-jing/zhong-shan-jing/zh</x:v>
      </x:c>
      <x:c r="H711" s="47" t="e">
        <x:f>HYPERLINK("#'山海经原文总库'!A3","↩ 返回目录")</x:f>
        <x:v>HYPERLINK is not implemented. linkLocation=#'山海经原文总库'!A3, friendlyName=↩ 返回目录</x:v>
      </x:c>
      <x:c r="I711" s="437"/>
      <x:c r="J711" s="437"/>
      <x:c r="K711" s="437" t="str">
        <x:v>待同名检索｜待建档</x:v>
      </x:c>
    </x:row>
    <x:row r="712" ht="22.5" customHeight="1">
      <x:c r="A712" s="44"/>
      <x:c r="B712" s="44"/>
      <x:c r="C712" s="45"/>
      <x:c r="D712" s="44" t="str">
        <x:v>渠豬之水</x:v>
      </x:c>
      <x:c r="E712" s="44" t="str">
        <x:v>水系</x:v>
      </x:c>
      <x:c r="F712" s="18"/>
      <x:c r="G712" s="46"/>
      <x:c r="H712" s="47" t="e">
        <x:f>HYPERLINK("#'山海经原文总库'!A3","↩ 返回目录")</x:f>
        <x:v>HYPERLINK is not implemented. linkLocation=#'山海经原文总库'!A3, friendlyName=↩ 返回目录</x:v>
      </x:c>
      <x:c r="I712" s="437"/>
      <x:c r="J712" s="437"/>
      <x:c r="K712" s="437" t="str">
        <x:v>待同名检索｜待建档</x:v>
      </x:c>
    </x:row>
    <x:row r="713" ht="22.5" customHeight="1">
      <x:c r="A713" s="44"/>
      <x:c r="B713" s="44"/>
      <x:c r="C713" s="45"/>
      <x:c r="D713" s="44" t="str">
        <x:v>河</x:v>
      </x:c>
      <x:c r="E713" s="44" t="str">
        <x:v>地理名稱</x:v>
      </x:c>
      <x:c r="F713" s="18"/>
      <x:c r="G713" s="46"/>
      <x:c r="H713" s="47" t="e">
        <x:f>HYPERLINK("#'山海经原文总库'!A3","↩ 返回目录")</x:f>
        <x:v>HYPERLINK is not implemented. linkLocation=#'山海经原文总库'!A3, friendlyName=↩ 返回目录</x:v>
      </x:c>
      <x:c r="I713" s="437"/>
      <x:c r="J713" s="437"/>
      <x:c r="K713" s="437" t="str">
        <x:v>待同名检索｜待建档</x:v>
      </x:c>
    </x:row>
    <x:row r="714" ht="48" customHeight="1">
      <x:c r="A714" s="44" t="str">
        <x:v>SHJ-05-004</x:v>
      </x:c>
      <x:c r="B714" s="44" t="str">
        <x:v>卷五 《中山經》</x:v>
      </x:c>
      <x:c r="C714" s="45" t="str">
        <x:v>又東三十五里，曰蔥聾之山，其中多大谷，是多白堊，黑、青、黃堊。</x:v>
      </x:c>
      <x:c r="D714" s="44" t="str">
        <x:v>蔥聾之山</x:v>
      </x:c>
      <x:c r="E714" s="44" t="str">
        <x:v>山</x:v>
      </x:c>
      <x:c r="F714" s="18"/>
      <x:c r="G714" s="46" t="str">
        <x:v>标点与分段参考《山海经校注》；正文对读：https://ctext.org/shan-hai-jing/zhong-shan-jing/zh</x:v>
      </x:c>
      <x:c r="H714" s="47" t="e">
        <x:f t="shared" ref="H714:H719" si="1">HYPERLINK("#'山海经原文总库'!A3","↩ 返回目录")</x:f>
        <x:v>HYPERLINK is not implemented. linkLocation=#'山海经原文总库'!A3, friendlyName=↩ 返回目录</x:v>
      </x:c>
      <x:c r="I714" s="437"/>
      <x:c r="J714" s="437"/>
      <x:c r="K714" s="437" t="str">
        <x:v>待同名检索｜待建档</x:v>
      </x:c>
    </x:row>
    <x:row r="715" ht="48" customHeight="1">
      <x:c r="A715" s="44" t="str">
        <x:v>SHJ-05-005</x:v>
      </x:c>
      <x:c r="B715" s="44" t="str">
        <x:v>卷五 《中山經》</x:v>
      </x:c>
      <x:c r="C715" s="45" t="str">
        <x:v>又東十五里，曰（水委）山，其上多赤銅，其陰多鐵。</x:v>
      </x:c>
      <x:c r="D715" s="44" t="str">
        <x:v>涹山</x:v>
      </x:c>
      <x:c r="E715" s="44" t="str">
        <x:v>山</x:v>
      </x:c>
      <x:c r="F715" s="18"/>
      <x:c r="G715" s="46" t="str">
        <x:v>标点与分段参考《山海经校注》；正文对读：https://ctext.org/shan-hai-jing/zhong-shan-jing/zh</x:v>
      </x:c>
      <x:c r="H715" s="47" t="e">
        <x:f t="shared" si="1">HYPERLINK("#'山海经原文总库'!A3","↩ 返回目录")</x:f>
        <x:v>HYPERLINK is not implemented. linkLocation=#'山海经原文总库'!A3, friendlyName=↩ 返回目录</x:v>
      </x:c>
      <x:c r="I715" s="437"/>
      <x:c r="J715" s="437"/>
      <x:c r="K715" s="437" t="str">
        <x:v>待同名检索｜待建档</x:v>
      </x:c>
    </x:row>
    <x:row r="716" ht="48" customHeight="1">
      <x:c r="A716" s="44" t="str">
        <x:v>SHJ-05-006</x:v>
      </x:c>
      <x:c r="B716" s="44" t="str">
        <x:v>卷五 《中山經》</x:v>
      </x:c>
      <x:c r="C716" s="45" t="str">
        <x:v>又東七十里，曰脫扈之山。有草焉，其狀如葵葉而赤華，莢實，實如棕莢，名曰植楮，可以已癙，食之不眯。</x:v>
      </x:c>
      <x:c r="D716" s="44" t="str">
        <x:v>脫扈之山</x:v>
      </x:c>
      <x:c r="E716" s="44" t="str">
        <x:v>山</x:v>
      </x:c>
      <x:c r="F716" s="18"/>
      <x:c r="G716" s="46" t="str">
        <x:v>标点与分段参考《山海经校注》；正文对读：https://ctext.org/shan-hai-jing/zhong-shan-jing/zh</x:v>
      </x:c>
      <x:c r="H716" s="47" t="e">
        <x:f t="shared" si="1">HYPERLINK("#'山海经原文总库'!A3","↩ 返回目录")</x:f>
        <x:v>HYPERLINK is not implemented. linkLocation=#'山海经原文总库'!A3, friendlyName=↩ 返回目录</x:v>
      </x:c>
      <x:c r="I716" s="437"/>
      <x:c r="J716" s="437"/>
      <x:c r="K716" s="437" t="str">
        <x:v>待同名检索｜待建档</x:v>
      </x:c>
    </x:row>
    <x:row r="717" ht="48" customHeight="1">
      <x:c r="A717" s="44" t="str">
        <x:v>SHJ-05-007</x:v>
      </x:c>
      <x:c r="B717" s="44" t="str">
        <x:v>卷五 《中山經》</x:v>
      </x:c>
      <x:c r="C717" s="45" t="str">
        <x:v>又東二十里，曰金星之山，多天嬰，其狀如龍骨，可以已痤。</x:v>
      </x:c>
      <x:c r="D717" s="44" t="str">
        <x:v>金星之山</x:v>
      </x:c>
      <x:c r="E717" s="44" t="str">
        <x:v>山</x:v>
      </x:c>
      <x:c r="F717" s="18"/>
      <x:c r="G717" s="46" t="str">
        <x:v>标点与分段参考《山海经校注》；正文对读：https://ctext.org/shan-hai-jing/zhong-shan-jing/zh</x:v>
      </x:c>
      <x:c r="H717" s="47" t="e">
        <x:f t="shared" si="1">HYPERLINK("#'山海经原文总库'!A3","↩ 返回目录")</x:f>
        <x:v>HYPERLINK is not implemented. linkLocation=#'山海经原文总库'!A3, friendlyName=↩ 返回目录</x:v>
      </x:c>
      <x:c r="I717" s="437"/>
      <x:c r="J717" s="437"/>
      <x:c r="K717" s="437" t="str">
        <x:v>待同名检索｜待建档</x:v>
      </x:c>
    </x:row>
    <x:row r="718" ht="48" customHeight="1">
      <x:c r="A718" s="44" t="str">
        <x:v>SHJ-05-008</x:v>
      </x:c>
      <x:c r="B718" s="44" t="str">
        <x:v>卷五 《中山經》</x:v>
      </x:c>
      <x:c r="C718" s="45" t="str">
        <x:v>又東七十里，曰泰威之山，其中有谷曰梟谷，其中多鐵。</x:v>
      </x:c>
      <x:c r="D718" s="44" t="str">
        <x:v>泰威之山</x:v>
      </x:c>
      <x:c r="E718" s="44" t="str">
        <x:v>山</x:v>
      </x:c>
      <x:c r="F718" s="18"/>
      <x:c r="G718" s="46" t="str">
        <x:v>标点与分段参考《山海经校注》；正文对读：https://ctext.org/shan-hai-jing/zhong-shan-jing/zh</x:v>
      </x:c>
      <x:c r="H718" s="47" t="e">
        <x:f t="shared" si="1">HYPERLINK("#'山海经原文总库'!A3","↩ 返回目录")</x:f>
        <x:v>HYPERLINK is not implemented. linkLocation=#'山海经原文总库'!A3, friendlyName=↩ 返回目录</x:v>
      </x:c>
      <x:c r="I718" s="437"/>
      <x:c r="J718" s="437"/>
      <x:c r="K718" s="437" t="str">
        <x:v>待同名检索｜待建档</x:v>
      </x:c>
    </x:row>
    <x:row r="719" ht="48" customHeight="1">
      <x:c r="A719" s="44" t="str">
        <x:v>SHJ-05-009</x:v>
      </x:c>
      <x:c r="B719" s="44" t="str">
        <x:v>卷五 《中山經》</x:v>
      </x:c>
      <x:c r="C719" s="45" t="str">
        <x:v>又東十五里，曰橿谷之山，其中多赤銅。</x:v>
      </x:c>
      <x:c r="D719" s="44" t="str">
        <x:v>橿谷之山</x:v>
      </x:c>
      <x:c r="E719" s="44" t="str">
        <x:v>山</x:v>
      </x:c>
      <x:c r="F719" s="18"/>
      <x:c r="G719" s="46" t="str">
        <x:v>标点与分段参考《山海经校注》；正文对读：https://ctext.org/shan-hai-jing/zhong-shan-jing/zh</x:v>
      </x:c>
      <x:c r="H719" s="47" t="e">
        <x:f t="shared" si="1">HYPERLINK("#'山海经原文总库'!A3","↩ 返回目录")</x:f>
        <x:v>HYPERLINK is not implemented. linkLocation=#'山海经原文总库'!A3, friendlyName=↩ 返回目录</x:v>
      </x:c>
      <x:c r="I719" s="437"/>
      <x:c r="J719" s="437"/>
      <x:c r="K719" s="437" t="str">
        <x:v>待同名检索｜待建档</x:v>
      </x:c>
    </x:row>
    <x:row r="720" ht="22.5" customHeight="1">
      <x:c r="A720" s="44"/>
      <x:c r="B720" s="44"/>
      <x:c r="C720" s="45"/>
      <x:c r="D720" s="44" t="str">
        <x:v>橿谷</x:v>
      </x:c>
      <x:c r="E720" s="44" t="str">
        <x:v>區域</x:v>
      </x:c>
      <x:c r="F720" s="18"/>
      <x:c r="G720" s="46"/>
      <x:c r="H720" s="47" t="e">
        <x:f>HYPERLINK("#'山海经原文总库'!A3","↩ 返回目录")</x:f>
        <x:v>HYPERLINK is not implemented. linkLocation=#'山海经原文总库'!A3, friendlyName=↩ 返回目录</x:v>
      </x:c>
      <x:c r="I720" s="437"/>
      <x:c r="J720" s="437"/>
      <x:c r="K720" s="437" t="str">
        <x:v>待同名检索｜待建档</x:v>
      </x:c>
    </x:row>
    <x:row r="721" ht="48" customHeight="1">
      <x:c r="A721" s="44" t="str">
        <x:v>SHJ-05-010</x:v>
      </x:c>
      <x:c r="B721" s="44" t="str">
        <x:v>卷五 《中山經》</x:v>
      </x:c>
      <x:c r="C721" s="45" t="str">
        <x:v>又東百二十里，曰吳林之山，其中多葌草。</x:v>
      </x:c>
      <x:c r="D721" s="44" t="str">
        <x:v>吳林之山</x:v>
      </x:c>
      <x:c r="E721" s="44" t="str">
        <x:v>山</x:v>
      </x:c>
      <x:c r="F721" s="18"/>
      <x:c r="G721" s="46" t="str">
        <x:v>标点与分段参考《山海经校注》；正文对读：https://ctext.org/shan-hai-jing/zhong-shan-jing/zh</x:v>
      </x:c>
      <x:c r="H721" s="47" t="e">
        <x:f>HYPERLINK("#'山海经原文总库'!A3","↩ 返回目录")</x:f>
        <x:v>HYPERLINK is not implemented. linkLocation=#'山海经原文总库'!A3, friendlyName=↩ 返回目录</x:v>
      </x:c>
      <x:c r="I721" s="437"/>
      <x:c r="J721" s="437"/>
      <x:c r="K721" s="437" t="str">
        <x:v>待同名检索｜待建档</x:v>
      </x:c>
    </x:row>
    <x:row r="722" ht="22.5" customHeight="1">
      <x:c r="A722" s="44"/>
      <x:c r="B722" s="44"/>
      <x:c r="C722" s="45"/>
      <x:c r="D722" s="44" t="str">
        <x:v>吳林</x:v>
      </x:c>
      <x:c r="E722" s="44" t="str">
        <x:v>區域</x:v>
      </x:c>
      <x:c r="F722" s="18"/>
      <x:c r="G722" s="46"/>
      <x:c r="H722" s="47" t="e">
        <x:f>HYPERLINK("#'山海经原文总库'!A3","↩ 返回目录")</x:f>
        <x:v>HYPERLINK is not implemented. linkLocation=#'山海经原文总库'!A3, friendlyName=↩ 返回目录</x:v>
      </x:c>
      <x:c r="I722" s="437"/>
      <x:c r="J722" s="437"/>
      <x:c r="K722" s="437" t="str">
        <x:v>待同名检索｜待建档</x:v>
      </x:c>
    </x:row>
    <x:row r="723" ht="48" customHeight="1">
      <x:c r="A723" s="44" t="str">
        <x:v>SHJ-05-011</x:v>
      </x:c>
      <x:c r="B723" s="44" t="str">
        <x:v>卷五 《中山經》</x:v>
      </x:c>
      <x:c r="C723" s="45" t="str">
        <x:v>又北三十里，曰牛首之山。有草焉，名曰鬼草，其葉如葵而赤莖，其秀如禾，服之不憂。勞水出焉，而西流注於潏水。是多飛魚，其狀如鮒魚，食之已痔衕。</x:v>
      </x:c>
      <x:c r="D723" s="44" t="str">
        <x:v>牛首之山</x:v>
      </x:c>
      <x:c r="E723" s="44" t="str">
        <x:v>山</x:v>
      </x:c>
      <x:c r="F723" s="18"/>
      <x:c r="G723" s="46" t="str">
        <x:v>标点与分段参考《山海经校注》；正文对读：https://ctext.org/shan-hai-jing/zhong-shan-jing/zh</x:v>
      </x:c>
      <x:c r="H723" s="47" t="e">
        <x:f>HYPERLINK("#'山海经原文总库'!A3","↩ 返回目录")</x:f>
        <x:v>HYPERLINK is not implemented. linkLocation=#'山海经原文总库'!A3, friendlyName=↩ 返回目录</x:v>
      </x:c>
      <x:c r="I723" s="437"/>
      <x:c r="J723" s="437"/>
      <x:c r="K723" s="437" t="str">
        <x:v>待同名检索｜待建档</x:v>
      </x:c>
    </x:row>
    <x:row r="724" ht="22.5" customHeight="1">
      <x:c r="A724" s="44"/>
      <x:c r="B724" s="44"/>
      <x:c r="C724" s="45"/>
      <x:c r="D724" s="44" t="str">
        <x:v>勞水</x:v>
      </x:c>
      <x:c r="E724" s="44" t="str">
        <x:v>水系</x:v>
      </x:c>
      <x:c r="F724" s="18"/>
      <x:c r="G724" s="46"/>
      <x:c r="H724" s="47" t="e">
        <x:f>HYPERLINK("#'山海经原文总库'!A3","↩ 返回目录")</x:f>
        <x:v>HYPERLINK is not implemented. linkLocation=#'山海经原文总库'!A3, friendlyName=↩ 返回目录</x:v>
      </x:c>
      <x:c r="I724" s="437"/>
      <x:c r="J724" s="437"/>
      <x:c r="K724" s="437" t="str">
        <x:v>待同名检索｜待建档</x:v>
      </x:c>
    </x:row>
    <x:row r="725" ht="22.5" customHeight="1">
      <x:c r="A725" s="44"/>
      <x:c r="B725" s="44"/>
      <x:c r="C725" s="45"/>
      <x:c r="D725" s="44" t="str">
        <x:v>潏水</x:v>
      </x:c>
      <x:c r="E725" s="44" t="str">
        <x:v>水系</x:v>
      </x:c>
      <x:c r="F725" s="18"/>
      <x:c r="G725" s="46"/>
      <x:c r="H725" s="47" t="e">
        <x:f>HYPERLINK("#'山海经原文总库'!A3","↩ 返回目录")</x:f>
        <x:v>HYPERLINK is not implemented. linkLocation=#'山海经原文总库'!A3, friendlyName=↩ 返回目录</x:v>
      </x:c>
      <x:c r="I725" s="437"/>
      <x:c r="J725" s="437"/>
      <x:c r="K725" s="437" t="str">
        <x:v>待同名检索｜待建档</x:v>
      </x:c>
    </x:row>
    <x:row r="726" ht="48" customHeight="1">
      <x:c r="A726" s="44" t="str">
        <x:v>SHJ-05-012</x:v>
      </x:c>
      <x:c r="B726" s="44" t="str">
        <x:v>卷五 《中山經》</x:v>
      </x:c>
      <x:c r="C726" s="45" t="str">
        <x:v>又北四十里，曰霍山，其木多榖。有獸焉，其狀如狸，而白尾有鬣，名曰朏朏，養之可以已憂。</x:v>
      </x:c>
      <x:c r="D726" s="44" t="str">
        <x:v>霍山</x:v>
      </x:c>
      <x:c r="E726" s="44" t="str">
        <x:v>山</x:v>
      </x:c>
      <x:c r="F726" s="18"/>
      <x:c r="G726" s="46" t="str">
        <x:v>标点与分段参考《山海经校注》；正文对读：https://ctext.org/shan-hai-jing/zhong-shan-jing/zh</x:v>
      </x:c>
      <x:c r="H726" s="47" t="e">
        <x:f>HYPERLINK("#'山海经原文总库'!A3","↩ 返回目录")</x:f>
        <x:v>HYPERLINK is not implemented. linkLocation=#'山海经原文总库'!A3, friendlyName=↩ 返回目录</x:v>
      </x:c>
      <x:c r="I726" s="437"/>
      <x:c r="J726" s="437"/>
      <x:c r="K726" s="437" t="str">
        <x:v>待同名检索｜待建档</x:v>
      </x:c>
    </x:row>
    <x:row r="727" ht="48" customHeight="1">
      <x:c r="A727" s="44" t="str">
        <x:v>SHJ-05-013</x:v>
      </x:c>
      <x:c r="B727" s="44" t="str">
        <x:v>卷五 《中山經》</x:v>
      </x:c>
      <x:c r="C727" s="45" t="str">
        <x:v>又北五十二里，曰合谷之山，是多薝棘。</x:v>
      </x:c>
      <x:c r="D727" s="44" t="str">
        <x:v>合谷之山</x:v>
      </x:c>
      <x:c r="E727" s="44" t="str">
        <x:v>山</x:v>
      </x:c>
      <x:c r="F727" s="18"/>
      <x:c r="G727" s="46" t="str">
        <x:v>标点与分段参考《山海经校注》；正文对读：https://ctext.org/shan-hai-jing/zhong-shan-jing/zh</x:v>
      </x:c>
      <x:c r="H727" s="47" t="e">
        <x:f>HYPERLINK("#'山海经原文总库'!A3","↩ 返回目录")</x:f>
        <x:v>HYPERLINK is not implemented. linkLocation=#'山海经原文总库'!A3, friendlyName=↩ 返回目录</x:v>
      </x:c>
      <x:c r="I727" s="437"/>
      <x:c r="J727" s="437"/>
      <x:c r="K727" s="437" t="str">
        <x:v>待同名检索｜待建档</x:v>
      </x:c>
    </x:row>
    <x:row r="728" ht="22.5" customHeight="1">
      <x:c r="A728" s="44"/>
      <x:c r="B728" s="44"/>
      <x:c r="C728" s="45"/>
      <x:c r="D728" s="44" t="str">
        <x:v>合谷</x:v>
      </x:c>
      <x:c r="E728" s="44" t="str">
        <x:v>區域</x:v>
      </x:c>
      <x:c r="F728" s="18"/>
      <x:c r="G728" s="46"/>
      <x:c r="H728" s="47" t="e">
        <x:f>HYPERLINK("#'山海经原文总库'!A3","↩ 返回目录")</x:f>
        <x:v>HYPERLINK is not implemented. linkLocation=#'山海经原文总库'!A3, friendlyName=↩ 返回目录</x:v>
      </x:c>
      <x:c r="I728" s="437"/>
      <x:c r="J728" s="437"/>
      <x:c r="K728" s="437" t="str">
        <x:v>待同名检索｜待建档</x:v>
      </x:c>
    </x:row>
    <x:row r="729" ht="48" customHeight="1">
      <x:c r="A729" s="44" t="str">
        <x:v>SHJ-05-014-1</x:v>
      </x:c>
      <x:c r="B729" s="44" t="str">
        <x:v>卷五 《中山經》</x:v>
      </x:c>
      <x:c r="C729" s="45" t="str">
        <x:v>又北三十五里，曰陰山，多礪石、文石。少水出焉，其中多雕棠，其葉如榆葉而方，其實如赤菽，食之已聾。</x:v>
      </x:c>
      <x:c r="D729" s="44" t="str">
        <x:v>陰山</x:v>
      </x:c>
      <x:c r="E729" s="44" t="str">
        <x:v>山</x:v>
      </x:c>
      <x:c r="F729" s="18"/>
      <x:c r="G729" s="46" t="str">
        <x:v>标点与分段参考《山海经校注》；正文对读：https://ctext.org/shan-hai-jing/zhong-shan-jing/zh</x:v>
      </x:c>
      <x:c r="H729" s="47" t="e">
        <x:f>HYPERLINK("#'山海经原文总库'!A3","↩ 返回目录")</x:f>
        <x:v>HYPERLINK is not implemented. linkLocation=#'山海经原文总库'!A3, friendlyName=↩ 返回目录</x:v>
      </x:c>
      <x:c r="I729" s="437"/>
      <x:c r="J729" s="437"/>
      <x:c r="K729" s="437" t="str">
        <x:v>待同名检索｜待建档</x:v>
      </x:c>
    </x:row>
    <x:row r="730" ht="22.5" customHeight="1">
      <x:c r="A730" s="44"/>
      <x:c r="B730" s="44"/>
      <x:c r="C730" s="45"/>
      <x:c r="D730" s="44" t="str">
        <x:v>少水</x:v>
      </x:c>
      <x:c r="E730" s="44" t="str">
        <x:v>水系</x:v>
      </x:c>
      <x:c r="F730" s="18"/>
      <x:c r="G730" s="46"/>
      <x:c r="H730" s="47" t="e">
        <x:f>HYPERLINK("#'山海经原文总库'!A3","↩ 返回目录")</x:f>
        <x:v>HYPERLINK is not implemented. linkLocation=#'山海经原文总库'!A3, friendlyName=↩ 返回目录</x:v>
      </x:c>
      <x:c r="I730" s="437"/>
      <x:c r="J730" s="437"/>
      <x:c r="K730" s="437" t="str">
        <x:v>待同名检索｜待建档</x:v>
      </x:c>
    </x:row>
    <x:row r="731" ht="48" customHeight="1">
      <x:c r="A731" s="44" t="str">
        <x:v>SHJ-05-014-2</x:v>
      </x:c>
      <x:c r="B731" s="44" t="str">
        <x:v>卷五 《中山經》</x:v>
      </x:c>
      <x:c r="C731" s="45" t="str">
        <x:v>又東北四百里，曰鼓鐙之山，多赤銅。有草焉，名曰榮草，其葉如柳，其本如雞卵，食之已風。</x:v>
      </x:c>
      <x:c r="D731" s="44" t="str">
        <x:v>鼓鐙之山</x:v>
      </x:c>
      <x:c r="E731" s="44" t="str">
        <x:v>山</x:v>
      </x:c>
      <x:c r="F731" s="18"/>
      <x:c r="G731" s="46" t="str">
        <x:v>标点与分段参考《山海经校注》；正文对读：https://ctext.org/shan-hai-jing/zhong-shan-jing/zh</x:v>
      </x:c>
      <x:c r="H731" s="47" t="e">
        <x:f>HYPERLINK("#'山海经原文总库'!A3","↩ 返回目录")</x:f>
        <x:v>HYPERLINK is not implemented. linkLocation=#'山海经原文总库'!A3, friendlyName=↩ 返回目录</x:v>
      </x:c>
      <x:c r="I731" s="437"/>
      <x:c r="J731" s="437"/>
      <x:c r="K731" s="437" t="str">
        <x:v>待同名检索｜待建档</x:v>
      </x:c>
    </x:row>
    <x:row r="732" ht="64.5" customHeight="1">
      <x:c r="A732" s="44" t="str">
        <x:v>SHJ-05-015-1</x:v>
      </x:c>
      <x:c r="B732" s="44" t="str">
        <x:v>卷五 《中山經》</x:v>
      </x:c>
      <x:c r="C732" s="45" t="str">
        <x:v>凡薄山之首，自甘棗之山至於鼓鐙之山，凡十五山，六千六百七十里。歷兒，冢也，其祠禮：毛，太牢之具；縣以吉玉。其餘十三山者，毛用一羊，縣嬰用桑封，瘞而不糈。桑封者，桑主也，方其下而銳其上，而中穿之加金。</x:v>
      </x:c>
      <x:c r="D732" s="44" t="str">
        <x:v>甘棗之山至於鼓鐙之山</x:v>
      </x:c>
      <x:c r="E732" s="44" t="str">
        <x:v>山</x:v>
      </x:c>
      <x:c r="F732" s="18"/>
      <x:c r="G732" s="46" t="str">
        <x:v>标点与分段参考《山海经校注》；正文对读：https://ctext.org/shan-hai-jing/zhong-shan-jing/zh</x:v>
      </x:c>
      <x:c r="H732" s="47" t="e">
        <x:f>HYPERLINK("#'山海经原文总库'!A3","↩ 返回目录")</x:f>
        <x:v>HYPERLINK is not implemented. linkLocation=#'山海经原文总库'!A3, friendlyName=↩ 返回目录</x:v>
      </x:c>
      <x:c r="I732" s="437"/>
      <x:c r="J732" s="437"/>
      <x:c r="K732" s="437" t="str">
        <x:v>待同名检索｜待建档</x:v>
      </x:c>
    </x:row>
    <x:row r="733" ht="48" customHeight="1">
      <x:c r="A733" s="44" t="str">
        <x:v>SHJ-05-015-2</x:v>
      </x:c>
      <x:c r="B733" s="44" t="str">
        <x:v>卷五 《中山經》</x:v>
      </x:c>
      <x:c r="C733" s="45" t="str">
        <x:v>中次二經濟山之首，曰輝諸之山，其上多桑，其獸多閭麋，其鳥多鶡。</x:v>
      </x:c>
      <x:c r="D733" s="44" t="str">
        <x:v>輝諸之山</x:v>
      </x:c>
      <x:c r="E733" s="44" t="str">
        <x:v>山</x:v>
      </x:c>
      <x:c r="F733" s="18"/>
      <x:c r="G733" s="46" t="str">
        <x:v>标点与分段参考《山海经校注》；正文对读：https://ctext.org/shan-hai-jing/zhong-shan-jing/zh</x:v>
      </x:c>
      <x:c r="H733" s="47" t="e">
        <x:f>HYPERLINK("#'山海经原文总库'!A3","↩ 返回目录")</x:f>
        <x:v>HYPERLINK is not implemented. linkLocation=#'山海经原文总库'!A3, friendlyName=↩ 返回目录</x:v>
      </x:c>
      <x:c r="I733" s="437"/>
      <x:c r="J733" s="437"/>
      <x:c r="K733" s="437" t="str">
        <x:v>待同名检索｜待建档</x:v>
      </x:c>
    </x:row>
    <x:row r="734" ht="48" customHeight="1">
      <x:c r="A734" s="44" t="str">
        <x:v>SHJ-05-015-3</x:v>
      </x:c>
      <x:c r="B734" s="44" t="str">
        <x:v>卷五 《中山經》</x:v>
      </x:c>
      <x:c r="C734" s="45" t="str">
        <x:v>又西南二百里，曰發視之山，其上多金玉，其下多砥礪。即魚之水出焉，而西流注於伊水。</x:v>
      </x:c>
      <x:c r="D734" s="44" t="str">
        <x:v>發視之山</x:v>
      </x:c>
      <x:c r="E734" s="44" t="str">
        <x:v>山</x:v>
      </x:c>
      <x:c r="F734" s="18"/>
      <x:c r="G734" s="46" t="str">
        <x:v>标点与分段参考《山海经校注》；正文对读：https://ctext.org/shan-hai-jing/zhong-shan-jing/zh</x:v>
      </x:c>
      <x:c r="H734" s="47" t="e">
        <x:f>HYPERLINK("#'山海经原文总库'!A3","↩ 返回目录")</x:f>
        <x:v>HYPERLINK is not implemented. linkLocation=#'山海经原文总库'!A3, friendlyName=↩ 返回目录</x:v>
      </x:c>
      <x:c r="I734" s="437"/>
      <x:c r="J734" s="437"/>
      <x:c r="K734" s="437" t="str">
        <x:v>待同名检索｜待建档</x:v>
      </x:c>
    </x:row>
    <x:row r="735" ht="22.5" customHeight="1">
      <x:c r="A735" s="44"/>
      <x:c r="B735" s="44"/>
      <x:c r="C735" s="45"/>
      <x:c r="D735" s="44" t="str">
        <x:v>即魚之水</x:v>
      </x:c>
      <x:c r="E735" s="44" t="str">
        <x:v>水系</x:v>
      </x:c>
      <x:c r="F735" s="18"/>
      <x:c r="G735" s="46"/>
      <x:c r="H735" s="47" t="e">
        <x:f>HYPERLINK("#'山海经原文总库'!A3","↩ 返回目录")</x:f>
        <x:v>HYPERLINK is not implemented. linkLocation=#'山海经原文总库'!A3, friendlyName=↩ 返回目录</x:v>
      </x:c>
      <x:c r="I735" s="437"/>
      <x:c r="J735" s="437"/>
      <x:c r="K735" s="437" t="str">
        <x:v>待同名检索｜待建档</x:v>
      </x:c>
    </x:row>
    <x:row r="736" ht="22.5" customHeight="1">
      <x:c r="A736" s="44"/>
      <x:c r="B736" s="44"/>
      <x:c r="C736" s="45"/>
      <x:c r="D736" s="44" t="str">
        <x:v>伊水</x:v>
      </x:c>
      <x:c r="E736" s="44" t="str">
        <x:v>水系</x:v>
      </x:c>
      <x:c r="F736" s="18"/>
      <x:c r="G736" s="46"/>
      <x:c r="H736" s="47" t="e">
        <x:f>HYPERLINK("#'山海经原文总库'!A3","↩ 返回目录")</x:f>
        <x:v>HYPERLINK is not implemented. linkLocation=#'山海经原文总库'!A3, friendlyName=↩ 返回目录</x:v>
      </x:c>
      <x:c r="I736" s="437"/>
      <x:c r="J736" s="437"/>
      <x:c r="K736" s="437" t="str">
        <x:v>待同名检索｜待建档</x:v>
      </x:c>
    </x:row>
    <x:row r="737" ht="48" customHeight="1">
      <x:c r="A737" s="44" t="str">
        <x:v>SHJ-05-016</x:v>
      </x:c>
      <x:c r="B737" s="44" t="str">
        <x:v>卷五 《中山經》</x:v>
      </x:c>
      <x:c r="C737" s="45" t="str">
        <x:v>又西三百里，曰豪山，其上多金玉而無草木。</x:v>
      </x:c>
      <x:c r="D737" s="44" t="str">
        <x:v>豪山</x:v>
      </x:c>
      <x:c r="E737" s="44" t="str">
        <x:v>山</x:v>
      </x:c>
      <x:c r="F737" s="18"/>
      <x:c r="G737" s="46" t="str">
        <x:v>标点与分段参考《山海经校注》；正文对读：https://ctext.org/shan-hai-jing/zhong-shan-jing/zh</x:v>
      </x:c>
      <x:c r="H737" s="47" t="e">
        <x:f>HYPERLINK("#'山海经原文总库'!A3","↩ 返回目录")</x:f>
        <x:v>HYPERLINK is not implemented. linkLocation=#'山海经原文总库'!A3, friendlyName=↩ 返回目录</x:v>
      </x:c>
      <x:c r="I737" s="437"/>
      <x:c r="J737" s="437"/>
      <x:c r="K737" s="437" t="str">
        <x:v>待同名检索｜待建档</x:v>
      </x:c>
    </x:row>
    <x:row r="738" ht="48" customHeight="1">
      <x:c r="A738" s="44" t="str">
        <x:v>SHJ-05-017</x:v>
      </x:c>
      <x:c r="B738" s="44" t="str">
        <x:v>卷五 《中山經》</x:v>
      </x:c>
      <x:c r="C738" s="45" t="str">
        <x:v>又西三百里，曰鮮山，多金玉，無草木。鮮水出焉，而北流注於伊水。其中多鳴蛇，其狀如蛇而四翼，其音如磬，見則其邑大旱。</x:v>
      </x:c>
      <x:c r="D738" s="44" t="str">
        <x:v>鮮山</x:v>
      </x:c>
      <x:c r="E738" s="44" t="str">
        <x:v>山</x:v>
      </x:c>
      <x:c r="F738" s="18"/>
      <x:c r="G738" s="46" t="str">
        <x:v>标点与分段参考《山海经校注》；正文对读：https://ctext.org/shan-hai-jing/zhong-shan-jing/zh</x:v>
      </x:c>
      <x:c r="H738" s="47" t="e">
        <x:f>HYPERLINK("#'山海经原文总库'!A3","↩ 返回目录")</x:f>
        <x:v>HYPERLINK is not implemented. linkLocation=#'山海经原文总库'!A3, friendlyName=↩ 返回目录</x:v>
      </x:c>
      <x:c r="I738" s="437"/>
      <x:c r="J738" s="437"/>
      <x:c r="K738" s="437" t="str">
        <x:v>待同名检索｜待建档</x:v>
      </x:c>
    </x:row>
    <x:row r="739" ht="22.5" customHeight="1">
      <x:c r="A739" s="44"/>
      <x:c r="B739" s="44"/>
      <x:c r="C739" s="45"/>
      <x:c r="D739" s="44" t="str">
        <x:v>鮮水</x:v>
      </x:c>
      <x:c r="E739" s="44" t="str">
        <x:v>水系</x:v>
      </x:c>
      <x:c r="F739" s="18"/>
      <x:c r="G739" s="46"/>
      <x:c r="H739" s="47" t="e">
        <x:f>HYPERLINK("#'山海经原文总库'!A3","↩ 返回目录")</x:f>
        <x:v>HYPERLINK is not implemented. linkLocation=#'山海经原文总库'!A3, friendlyName=↩ 返回目录</x:v>
      </x:c>
      <x:c r="I739" s="437"/>
      <x:c r="J739" s="437"/>
      <x:c r="K739" s="437" t="str">
        <x:v>待同名检索｜待建档</x:v>
      </x:c>
    </x:row>
    <x:row r="740" ht="22.5" customHeight="1">
      <x:c r="A740" s="44"/>
      <x:c r="B740" s="44"/>
      <x:c r="C740" s="45"/>
      <x:c r="D740" s="44" t="str">
        <x:v>伊水</x:v>
      </x:c>
      <x:c r="E740" s="44" t="str">
        <x:v>水系</x:v>
      </x:c>
      <x:c r="F740" s="18"/>
      <x:c r="G740" s="46"/>
      <x:c r="H740" s="47" t="e">
        <x:f>HYPERLINK("#'山海经原文总库'!A3","↩ 返回目录")</x:f>
        <x:v>HYPERLINK is not implemented. linkLocation=#'山海经原文总库'!A3, friendlyName=↩ 返回目录</x:v>
      </x:c>
      <x:c r="I740" s="437"/>
      <x:c r="J740" s="437"/>
      <x:c r="K740" s="437" t="str">
        <x:v>待同名检索｜待建档</x:v>
      </x:c>
    </x:row>
    <x:row r="741" ht="48" customHeight="1">
      <x:c r="A741" s="44" t="str">
        <x:v>SHJ-05-018</x:v>
      </x:c>
      <x:c r="B741" s="44" t="str">
        <x:v>卷五 《中山經》</x:v>
      </x:c>
      <x:c r="C741" s="45" t="str">
        <x:v>又西三百里，曰陽山，多石，無草木。陽水出焉，而北流注於伊水。其中多化蛇，其狀如人面而豺身，鳥翼而蛇行，其音如叱呼，見則其邑大水。</x:v>
      </x:c>
      <x:c r="D741" s="44" t="str">
        <x:v>陽山</x:v>
      </x:c>
      <x:c r="E741" s="44" t="str">
        <x:v>山</x:v>
      </x:c>
      <x:c r="F741" s="18"/>
      <x:c r="G741" s="46" t="str">
        <x:v>标点与分段参考《山海经校注》；正文对读：https://ctext.org/shan-hai-jing/zhong-shan-jing/zh</x:v>
      </x:c>
      <x:c r="H741" s="47" t="e">
        <x:f>HYPERLINK("#'山海经原文总库'!A3","↩ 返回目录")</x:f>
        <x:v>HYPERLINK is not implemented. linkLocation=#'山海经原文总库'!A3, friendlyName=↩ 返回目录</x:v>
      </x:c>
      <x:c r="I741" s="437"/>
      <x:c r="J741" s="437"/>
      <x:c r="K741" s="437" t="str">
        <x:v>待同名检索｜待建档</x:v>
      </x:c>
    </x:row>
    <x:row r="742" ht="22.5" customHeight="1">
      <x:c r="A742" s="44"/>
      <x:c r="B742" s="44"/>
      <x:c r="C742" s="45"/>
      <x:c r="D742" s="44" t="str">
        <x:v>陽水</x:v>
      </x:c>
      <x:c r="E742" s="44" t="str">
        <x:v>水系</x:v>
      </x:c>
      <x:c r="F742" s="18"/>
      <x:c r="G742" s="46"/>
      <x:c r="H742" s="47" t="e">
        <x:f>HYPERLINK("#'山海经原文总库'!A3","↩ 返回目录")</x:f>
        <x:v>HYPERLINK is not implemented. linkLocation=#'山海经原文总库'!A3, friendlyName=↩ 返回目录</x:v>
      </x:c>
      <x:c r="I742" s="437"/>
      <x:c r="J742" s="437"/>
      <x:c r="K742" s="437" t="str">
        <x:v>待同名检索｜待建档</x:v>
      </x:c>
    </x:row>
    <x:row r="743" ht="22.5" customHeight="1">
      <x:c r="A743" s="44"/>
      <x:c r="B743" s="44"/>
      <x:c r="C743" s="45"/>
      <x:c r="D743" s="44" t="str">
        <x:v>伊水</x:v>
      </x:c>
      <x:c r="E743" s="44" t="str">
        <x:v>水系</x:v>
      </x:c>
      <x:c r="F743" s="18"/>
      <x:c r="G743" s="46"/>
      <x:c r="H743" s="47" t="e">
        <x:f>HYPERLINK("#'山海经原文总库'!A3","↩ 返回目录")</x:f>
        <x:v>HYPERLINK is not implemented. linkLocation=#'山海经原文总库'!A3, friendlyName=↩ 返回目录</x:v>
      </x:c>
      <x:c r="I743" s="437"/>
      <x:c r="J743" s="437"/>
      <x:c r="K743" s="437" t="str">
        <x:v>待同名检索｜待建档</x:v>
      </x:c>
    </x:row>
    <x:row r="744" ht="48" customHeight="1">
      <x:c r="A744" s="44" t="str">
        <x:v>SHJ-05-019</x:v>
      </x:c>
      <x:c r="B744" s="44" t="str">
        <x:v>卷五 《中山經》</x:v>
      </x:c>
      <x:c r="C744" s="45" t="str">
        <x:v>又西二百里，曰昆吾之山，其上多赤銅。有獸焉，其狀如彘而有角，其音如號，名曰蠪蚳，食之不眯。</x:v>
      </x:c>
      <x:c r="D744" s="44" t="str">
        <x:v>昆吾之山</x:v>
      </x:c>
      <x:c r="E744" s="44" t="str">
        <x:v>山</x:v>
      </x:c>
      <x:c r="F744" s="18"/>
      <x:c r="G744" s="46" t="str">
        <x:v>标点与分段参考《山海经校注》；正文对读：https://ctext.org/shan-hai-jing/zhong-shan-jing/zh</x:v>
      </x:c>
      <x:c r="H744" s="47" t="e">
        <x:f>HYPERLINK("#'山海经原文总库'!A3","↩ 返回目录")</x:f>
        <x:v>HYPERLINK is not implemented. linkLocation=#'山海经原文总库'!A3, friendlyName=↩ 返回目录</x:v>
      </x:c>
      <x:c r="I744" s="437"/>
      <x:c r="J744" s="437"/>
      <x:c r="K744" s="437" t="str">
        <x:v>待同名检索｜待建档</x:v>
      </x:c>
    </x:row>
    <x:row r="745" ht="48" customHeight="1">
      <x:c r="A745" s="44" t="str">
        <x:v>SHJ-05-020</x:v>
      </x:c>
      <x:c r="B745" s="44" t="str">
        <x:v>卷五 《中山經》</x:v>
      </x:c>
      <x:c r="C745" s="45" t="str">
        <x:v>又西百二十里，曰葌山，葌水出焉，而北流注於伊水，其上多金玉，其下多青雄黃。有木焉，其狀如棠而赤葉，名曰芒草，可以毒魚。</x:v>
      </x:c>
      <x:c r="D745" s="44" t="str">
        <x:v>葌山</x:v>
      </x:c>
      <x:c r="E745" s="44" t="str">
        <x:v>山</x:v>
      </x:c>
      <x:c r="F745" s="18"/>
      <x:c r="G745" s="46" t="str">
        <x:v>标点与分段参考《山海经校注》；正文对读：https://ctext.org/shan-hai-jing/zhong-shan-jing/zh</x:v>
      </x:c>
      <x:c r="H745" s="47" t="e">
        <x:f>HYPERLINK("#'山海经原文总库'!A3","↩ 返回目录")</x:f>
        <x:v>HYPERLINK is not implemented. linkLocation=#'山海经原文总库'!A3, friendlyName=↩ 返回目录</x:v>
      </x:c>
      <x:c r="I745" s="437"/>
      <x:c r="J745" s="437"/>
      <x:c r="K745" s="437" t="str">
        <x:v>待同名检索｜待建档</x:v>
      </x:c>
    </x:row>
    <x:row r="746" ht="22.5" customHeight="1">
      <x:c r="A746" s="44"/>
      <x:c r="B746" s="44"/>
      <x:c r="C746" s="45"/>
      <x:c r="D746" s="44" t="str">
        <x:v>葌水</x:v>
      </x:c>
      <x:c r="E746" s="44" t="str">
        <x:v>水系</x:v>
      </x:c>
      <x:c r="F746" s="18"/>
      <x:c r="G746" s="46"/>
      <x:c r="H746" s="47" t="e">
        <x:f>HYPERLINK("#'山海经原文总库'!A3","↩ 返回目录")</x:f>
        <x:v>HYPERLINK is not implemented. linkLocation=#'山海经原文总库'!A3, friendlyName=↩ 返回目录</x:v>
      </x:c>
      <x:c r="I746" s="437"/>
      <x:c r="J746" s="437"/>
      <x:c r="K746" s="437" t="str">
        <x:v>待同名检索｜待建档</x:v>
      </x:c>
    </x:row>
    <x:row r="747" ht="22.5" customHeight="1">
      <x:c r="A747" s="44"/>
      <x:c r="B747" s="44"/>
      <x:c r="C747" s="45"/>
      <x:c r="D747" s="44" t="str">
        <x:v>伊水</x:v>
      </x:c>
      <x:c r="E747" s="44" t="str">
        <x:v>水系</x:v>
      </x:c>
      <x:c r="F747" s="18"/>
      <x:c r="G747" s="46"/>
      <x:c r="H747" s="47" t="e">
        <x:f>HYPERLINK("#'山海经原文总库'!A3","↩ 返回目录")</x:f>
        <x:v>HYPERLINK is not implemented. linkLocation=#'山海经原文总库'!A3, friendlyName=↩ 返回目录</x:v>
      </x:c>
      <x:c r="I747" s="437"/>
      <x:c r="J747" s="437"/>
      <x:c r="K747" s="437" t="str">
        <x:v>待同名检索｜待建档</x:v>
      </x:c>
    </x:row>
    <x:row r="748" ht="48" customHeight="1">
      <x:c r="A748" s="44" t="str">
        <x:v>SHJ-05-021</x:v>
      </x:c>
      <x:c r="B748" s="44" t="str">
        <x:v>卷五 《中山經》</x:v>
      </x:c>
      <x:c r="C748" s="45" t="str">
        <x:v>又西一百五十里，曰獨蘇之山，無草木而多水。</x:v>
      </x:c>
      <x:c r="D748" s="44" t="str">
        <x:v>獨蘇之山</x:v>
      </x:c>
      <x:c r="E748" s="44" t="str">
        <x:v>山</x:v>
      </x:c>
      <x:c r="F748" s="18"/>
      <x:c r="G748" s="46" t="str">
        <x:v>标点与分段参考《山海经校注》；正文对读：https://ctext.org/shan-hai-jing/zhong-shan-jing/zh</x:v>
      </x:c>
      <x:c r="H748" s="47" t="e">
        <x:f>HYPERLINK("#'山海经原文总库'!A3","↩ 返回目录")</x:f>
        <x:v>HYPERLINK is not implemented. linkLocation=#'山海经原文总库'!A3, friendlyName=↩ 返回目录</x:v>
      </x:c>
      <x:c r="I748" s="437"/>
      <x:c r="J748" s="437"/>
      <x:c r="K748" s="437" t="str">
        <x:v>待同名检索｜待建档</x:v>
      </x:c>
    </x:row>
    <x:row r="749" ht="48" customHeight="1">
      <x:c r="A749" s="44" t="str">
        <x:v>SHJ-05-022</x:v>
      </x:c>
      <x:c r="B749" s="44" t="str">
        <x:v>卷五 《中山經》</x:v>
      </x:c>
      <x:c r="C749" s="45" t="str">
        <x:v>又西二百里，曰蔓渠之山，其上多金玉，其下多竹箭。伊水出焉，而東流注於洛。有獸焉，其名曰馬腹，其狀如人面虎身，其音如嬰兒，是食人。</x:v>
      </x:c>
      <x:c r="D749" s="44" t="str">
        <x:v>蔓渠之山</x:v>
      </x:c>
      <x:c r="E749" s="44" t="str">
        <x:v>山</x:v>
      </x:c>
      <x:c r="F749" s="18"/>
      <x:c r="G749" s="46" t="str">
        <x:v>标点与分段参考《山海经校注》；正文对读：https://ctext.org/shan-hai-jing/zhong-shan-jing/zh</x:v>
      </x:c>
      <x:c r="H749" s="47" t="e">
        <x:f>HYPERLINK("#'山海经原文总库'!A3","↩ 返回目录")</x:f>
        <x:v>HYPERLINK is not implemented. linkLocation=#'山海经原文总库'!A3, friendlyName=↩ 返回目录</x:v>
      </x:c>
      <x:c r="I749" s="437"/>
      <x:c r="J749" s="437"/>
      <x:c r="K749" s="437" t="str">
        <x:v>待同名检索｜待建档</x:v>
      </x:c>
    </x:row>
    <x:row r="750" ht="22.5" customHeight="1">
      <x:c r="A750" s="44"/>
      <x:c r="B750" s="44"/>
      <x:c r="C750" s="45"/>
      <x:c r="D750" s="44" t="str">
        <x:v>伊水</x:v>
      </x:c>
      <x:c r="E750" s="44" t="str">
        <x:v>水系</x:v>
      </x:c>
      <x:c r="F750" s="18"/>
      <x:c r="G750" s="46"/>
      <x:c r="H750" s="47" t="e">
        <x:f>HYPERLINK("#'山海经原文总库'!A3","↩ 返回目录")</x:f>
        <x:v>HYPERLINK is not implemented. linkLocation=#'山海经原文总库'!A3, friendlyName=↩ 返回目录</x:v>
      </x:c>
      <x:c r="I750" s="437"/>
      <x:c r="J750" s="437"/>
      <x:c r="K750" s="437" t="str">
        <x:v>待同名检索｜待建档</x:v>
      </x:c>
    </x:row>
    <x:row r="751" ht="48" customHeight="1">
      <x:c r="A751" s="44" t="str">
        <x:v>SHJ-05-023</x:v>
      </x:c>
      <x:c r="B751" s="44" t="str">
        <x:v>卷五 《中山經》</x:v>
      </x:c>
      <x:c r="C751" s="45" t="str">
        <x:v>凡濟山之首，自輝諸之山至於蔓渠之山，凡九山，一千六百七十里。其神皆人面而鳥身。祠用毛，用一吉玉，投而不糈。</x:v>
      </x:c>
      <x:c r="D751" s="44" t="str">
        <x:v>輝諸之山至於蔓渠之山</x:v>
      </x:c>
      <x:c r="E751" s="44" t="str">
        <x:v>山</x:v>
      </x:c>
      <x:c r="F751" s="18"/>
      <x:c r="G751" s="46" t="str">
        <x:v>标点与分段参考《山海经校注》；正文对读：https://ctext.org/shan-hai-jing/zhong-shan-jing/zh</x:v>
      </x:c>
      <x:c r="H751" s="47" t="e">
        <x:f>HYPERLINK("#'山海经原文总库'!A3","↩ 返回目录")</x:f>
        <x:v>HYPERLINK is not implemented. linkLocation=#'山海经原文总库'!A3, friendlyName=↩ 返回目录</x:v>
      </x:c>
      <x:c r="I751" s="437"/>
      <x:c r="J751" s="437"/>
      <x:c r="K751" s="437" t="str">
        <x:v>待同名检索｜待建档</x:v>
      </x:c>
    </x:row>
    <x:row r="752" ht="48" customHeight="1">
      <x:c r="A752" s="44" t="str">
        <x:v>SHJ-05-024</x:v>
      </x:c>
      <x:c r="B752" s="44" t="str">
        <x:v>卷五 《中山經》</x:v>
      </x:c>
      <x:c r="C752" s="45" t="str">
        <x:v>中次三經萯山之首，曰敖岸之山，其陽多（王雩）琈之玉，其陰多赭、黃金。神熏池居之。是常出美玉。北望河林，其狀如蒨如舉。有獸焉，其狀如白鹿而四角，名曰夫諸，見則其邑大水。</x:v>
      </x:c>
      <x:c r="D752" s="44" t="str">
        <x:v>敖岸之山</x:v>
      </x:c>
      <x:c r="E752" s="44" t="str">
        <x:v>山</x:v>
      </x:c>
      <x:c r="F752" s="18"/>
      <x:c r="G752" s="46" t="str">
        <x:v>标点与分段参考《山海经校注》；正文对读：https://ctext.org/shan-hai-jing/zhong-shan-jing/zh</x:v>
      </x:c>
      <x:c r="H752" s="47" t="e">
        <x:f>HYPERLINK("#'山海经原文总库'!A3","↩ 返回目录")</x:f>
        <x:v>HYPERLINK is not implemented. linkLocation=#'山海经原文总库'!A3, friendlyName=↩ 返回目录</x:v>
      </x:c>
      <x:c r="I752" s="437"/>
      <x:c r="J752" s="437"/>
      <x:c r="K752" s="437" t="str">
        <x:v>待同名检索｜待建档</x:v>
      </x:c>
    </x:row>
    <x:row r="753" ht="22.5" customHeight="1">
      <x:c r="A753" s="44"/>
      <x:c r="B753" s="44"/>
      <x:c r="C753" s="45"/>
      <x:c r="D753" s="44" t="str">
        <x:v>河林</x:v>
      </x:c>
      <x:c r="E753" s="44" t="str">
        <x:v>區域</x:v>
      </x:c>
      <x:c r="F753" s="18"/>
      <x:c r="G753" s="46"/>
      <x:c r="H753" s="47" t="e">
        <x:f>HYPERLINK("#'山海经原文总库'!A3","↩ 返回目录")</x:f>
        <x:v>HYPERLINK is not implemented. linkLocation=#'山海经原文总库'!A3, friendlyName=↩ 返回目录</x:v>
      </x:c>
      <x:c r="I753" s="437"/>
      <x:c r="J753" s="437"/>
      <x:c r="K753" s="437" t="str">
        <x:v>待同名检索｜待建档</x:v>
      </x:c>
    </x:row>
    <x:row r="754" ht="22.5" customHeight="1">
      <x:c r="A754" s="44"/>
      <x:c r="B754" s="44"/>
      <x:c r="C754" s="45"/>
      <x:c r="D754" s="44" t="str">
        <x:v>出美玉北望河林</x:v>
      </x:c>
      <x:c r="E754" s="44" t="str">
        <x:v>區域</x:v>
      </x:c>
      <x:c r="F754" s="18"/>
      <x:c r="G754" s="46"/>
      <x:c r="H754" s="47" t="e">
        <x:f>HYPERLINK("#'山海经原文总库'!A3","↩ 返回目录")</x:f>
        <x:v>HYPERLINK is not implemented. linkLocation=#'山海经原文总库'!A3, friendlyName=↩ 返回目录</x:v>
      </x:c>
      <x:c r="I754" s="437"/>
      <x:c r="J754" s="437"/>
      <x:c r="K754" s="437" t="str">
        <x:v>待同名检索｜待建档</x:v>
      </x:c>
    </x:row>
    <x:row r="755" ht="64.5" customHeight="1">
      <x:c r="A755" s="44" t="str">
        <x:v>SHJ-05-025</x:v>
      </x:c>
      <x:c r="B755" s="44" t="str">
        <x:v>卷五 《中山經》</x:v>
      </x:c>
      <x:c r="C755" s="45" t="str">
        <x:v>又東十里，曰青要之山，實惟帝之密都。是多駕鳥。南望墠渚，禹父之所化，是多僕累、蒲盧。（鬼申）武羅司之，其狀人面而豹文，小要而白齒，而穿耳以鐻，其鳴如鳴玉。是山也，宜女子。畛水出焉，而北流注於河。其中有鳥焉，名曰鴢，其狀如鳧，青身而朱目赤尾，食之宜子。有草焉，其狀如葌，而方莖黃華赤實，其本如本，名曰荀草，服之美人色。</x:v>
      </x:c>
      <x:c r="D755" s="44" t="str">
        <x:v>青要之山</x:v>
      </x:c>
      <x:c r="E755" s="44" t="str">
        <x:v>山</x:v>
      </x:c>
      <x:c r="F755" s="18"/>
      <x:c r="G755" s="46" t="str">
        <x:v>标点与分段参考《山海经校注》；正文对读：https://ctext.org/shan-hai-jing/zhong-shan-jing/zh</x:v>
      </x:c>
      <x:c r="H755" s="47" t="e">
        <x:f>HYPERLINK("#'山海经原文总库'!A3","↩ 返回目录")</x:f>
        <x:v>HYPERLINK is not implemented. linkLocation=#'山海经原文总库'!A3, friendlyName=↩ 返回目录</x:v>
      </x:c>
      <x:c r="I755" s="437"/>
      <x:c r="J755" s="437"/>
      <x:c r="K755" s="437" t="str">
        <x:v>待同名检索｜待建档</x:v>
      </x:c>
    </x:row>
    <x:row r="756" ht="22.5" customHeight="1">
      <x:c r="A756" s="44"/>
      <x:c r="B756" s="44"/>
      <x:c r="C756" s="45"/>
      <x:c r="D756" s="44" t="str">
        <x:v>畛水</x:v>
      </x:c>
      <x:c r="E756" s="44" t="str">
        <x:v>水系</x:v>
      </x:c>
      <x:c r="F756" s="18"/>
      <x:c r="G756" s="46"/>
      <x:c r="H756" s="47" t="e">
        <x:f>HYPERLINK("#'山海经原文总库'!A3","↩ 返回目录")</x:f>
        <x:v>HYPERLINK is not implemented. linkLocation=#'山海经原文总库'!A3, friendlyName=↩ 返回目录</x:v>
      </x:c>
      <x:c r="I756" s="437"/>
      <x:c r="J756" s="437"/>
      <x:c r="K756" s="437" t="str">
        <x:v>待同名检索｜待建档</x:v>
      </x:c>
    </x:row>
    <x:row r="757" ht="22.5" customHeight="1">
      <x:c r="A757" s="44"/>
      <x:c r="B757" s="44"/>
      <x:c r="C757" s="45"/>
      <x:c r="D757" s="44" t="str">
        <x:v>實惟帝之密都</x:v>
      </x:c>
      <x:c r="E757" s="44" t="str">
        <x:v>聚落／區域</x:v>
      </x:c>
      <x:c r="F757" s="18"/>
      <x:c r="G757" s="46"/>
      <x:c r="H757" s="47" t="e">
        <x:f>HYPERLINK("#'山海经原文总库'!A3","↩ 返回目录")</x:f>
        <x:v>HYPERLINK is not implemented. linkLocation=#'山海经原文总库'!A3, friendlyName=↩ 返回目录</x:v>
      </x:c>
      <x:c r="I757" s="437"/>
      <x:c r="J757" s="437"/>
      <x:c r="K757" s="437" t="str">
        <x:v>待同名检索｜待建档</x:v>
      </x:c>
    </x:row>
    <x:row r="758" ht="22.5" customHeight="1">
      <x:c r="A758" s="44"/>
      <x:c r="B758" s="44"/>
      <x:c r="C758" s="45"/>
      <x:c r="D758" s="44" t="str">
        <x:v>墠渚</x:v>
      </x:c>
      <x:c r="E758" s="44" t="str">
        <x:v>地理名稱</x:v>
      </x:c>
      <x:c r="F758" s="18"/>
      <x:c r="G758" s="46"/>
      <x:c r="H758" s="47" t="e">
        <x:f>HYPERLINK("#'山海经原文总库'!A3","↩ 返回目录")</x:f>
        <x:v>HYPERLINK is not implemented. linkLocation=#'山海经原文总库'!A3, friendlyName=↩ 返回目录</x:v>
      </x:c>
      <x:c r="I758" s="437"/>
      <x:c r="J758" s="437"/>
      <x:c r="K758" s="437" t="str">
        <x:v>待同名检索｜待建档</x:v>
      </x:c>
    </x:row>
    <x:row r="759" ht="22.5" customHeight="1">
      <x:c r="A759" s="44"/>
      <x:c r="B759" s="44"/>
      <x:c r="C759" s="45"/>
      <x:c r="D759" s="44" t="str">
        <x:v>河</x:v>
      </x:c>
      <x:c r="E759" s="44" t="str">
        <x:v>地理名稱</x:v>
      </x:c>
      <x:c r="F759" s="18"/>
      <x:c r="G759" s="46"/>
      <x:c r="H759" s="47" t="e">
        <x:f>HYPERLINK("#'山海经原文总库'!A3","↩ 返回目录")</x:f>
        <x:v>HYPERLINK is not implemented. linkLocation=#'山海经原文总库'!A3, friendlyName=↩ 返回目录</x:v>
      </x:c>
      <x:c r="I759" s="437"/>
      <x:c r="J759" s="437"/>
      <x:c r="K759" s="437" t="str">
        <x:v>待同名检索｜待建档</x:v>
      </x:c>
    </x:row>
    <x:row r="760" ht="48" customHeight="1">
      <x:c r="A760" s="44" t="str">
        <x:v>SHJ-05-026</x:v>
      </x:c>
      <x:c r="B760" s="44" t="str">
        <x:v>卷五 《中山經》</x:v>
      </x:c>
      <x:c r="C760" s="45" t="str">
        <x:v>又東十里，曰騩山，其上有美棗，其陰有（王雩）琈之玉。正回之水出焉，而北流注於河。其中多飛魚，其狀如豚而赤文，服之不畏雷，可以御兵。</x:v>
      </x:c>
      <x:c r="D760" s="44" t="str">
        <x:v>騩山</x:v>
      </x:c>
      <x:c r="E760" s="44" t="str">
        <x:v>山</x:v>
      </x:c>
      <x:c r="F760" s="18"/>
      <x:c r="G760" s="46" t="str">
        <x:v>标点与分段参考《山海经校注》；正文对读：https://ctext.org/shan-hai-jing/zhong-shan-jing/zh</x:v>
      </x:c>
      <x:c r="H760" s="47" t="e">
        <x:f>HYPERLINK("#'山海经原文总库'!A3","↩ 返回目录")</x:f>
        <x:v>HYPERLINK is not implemented. linkLocation=#'山海经原文总库'!A3, friendlyName=↩ 返回目录</x:v>
      </x:c>
      <x:c r="I760" s="437"/>
      <x:c r="J760" s="437"/>
      <x:c r="K760" s="437" t="str">
        <x:v>待同名检索｜待建档</x:v>
      </x:c>
    </x:row>
    <x:row r="761" ht="22.5" customHeight="1">
      <x:c r="A761" s="44"/>
      <x:c r="B761" s="44"/>
      <x:c r="C761" s="45"/>
      <x:c r="D761" s="44" t="str">
        <x:v>正回之水</x:v>
      </x:c>
      <x:c r="E761" s="44" t="str">
        <x:v>水系</x:v>
      </x:c>
      <x:c r="F761" s="18"/>
      <x:c r="G761" s="46"/>
      <x:c r="H761" s="47" t="e">
        <x:f>HYPERLINK("#'山海经原文总库'!A3","↩ 返回目录")</x:f>
        <x:v>HYPERLINK is not implemented. linkLocation=#'山海经原文总库'!A3, friendlyName=↩ 返回目录</x:v>
      </x:c>
      <x:c r="I761" s="437"/>
      <x:c r="J761" s="437"/>
      <x:c r="K761" s="437" t="str">
        <x:v>待同名检索｜待建档</x:v>
      </x:c>
    </x:row>
    <x:row r="762" ht="22.5" customHeight="1">
      <x:c r="A762" s="44"/>
      <x:c r="B762" s="44"/>
      <x:c r="C762" s="45"/>
      <x:c r="D762" s="44" t="str">
        <x:v>河</x:v>
      </x:c>
      <x:c r="E762" s="44" t="str">
        <x:v>地理名稱</x:v>
      </x:c>
      <x:c r="F762" s="18"/>
      <x:c r="G762" s="46"/>
      <x:c r="H762" s="47" t="e">
        <x:f>HYPERLINK("#'山海经原文总库'!A3","↩ 返回目录")</x:f>
        <x:v>HYPERLINK is not implemented. linkLocation=#'山海经原文总库'!A3, friendlyName=↩ 返回目录</x:v>
      </x:c>
      <x:c r="I762" s="437"/>
      <x:c r="J762" s="437"/>
      <x:c r="K762" s="437" t="str">
        <x:v>待同名检索｜待建档</x:v>
      </x:c>
    </x:row>
    <x:row r="763" ht="48" customHeight="1">
      <x:c r="A763" s="44" t="str">
        <x:v>SHJ-05-027</x:v>
      </x:c>
      <x:c r="B763" s="44" t="str">
        <x:v>卷五 《中山經》</x:v>
      </x:c>
      <x:c r="C763" s="45" t="str">
        <x:v>又東四十里，曰宜蘇之山，其上多金玉，其下多蔓居之木。滽滽之水出焉，而北流注於河，是多黃貝。</x:v>
      </x:c>
      <x:c r="D763" s="44" t="str">
        <x:v>宜蘇之山</x:v>
      </x:c>
      <x:c r="E763" s="44" t="str">
        <x:v>山</x:v>
      </x:c>
      <x:c r="F763" s="18"/>
      <x:c r="G763" s="46" t="str">
        <x:v>标点与分段参考《山海经校注》；正文对读：https://ctext.org/shan-hai-jing/zhong-shan-jing/zh</x:v>
      </x:c>
      <x:c r="H763" s="47" t="e">
        <x:f>HYPERLINK("#'山海经原文总库'!A3","↩ 返回目录")</x:f>
        <x:v>HYPERLINK is not implemented. linkLocation=#'山海经原文总库'!A3, friendlyName=↩ 返回目录</x:v>
      </x:c>
      <x:c r="I763" s="437"/>
      <x:c r="J763" s="437"/>
      <x:c r="K763" s="437" t="str">
        <x:v>待同名检索｜待建档</x:v>
      </x:c>
    </x:row>
    <x:row r="764" ht="22.5" customHeight="1">
      <x:c r="A764" s="44"/>
      <x:c r="B764" s="44"/>
      <x:c r="C764" s="45"/>
      <x:c r="D764" s="44" t="str">
        <x:v>滽滽之水</x:v>
      </x:c>
      <x:c r="E764" s="44" t="str">
        <x:v>水系</x:v>
      </x:c>
      <x:c r="F764" s="18"/>
      <x:c r="G764" s="46"/>
      <x:c r="H764" s="47" t="e">
        <x:f>HYPERLINK("#'山海经原文总库'!A3","↩ 返回目录")</x:f>
        <x:v>HYPERLINK is not implemented. linkLocation=#'山海经原文总库'!A3, friendlyName=↩ 返回目录</x:v>
      </x:c>
      <x:c r="I764" s="437"/>
      <x:c r="J764" s="437"/>
      <x:c r="K764" s="437" t="str">
        <x:v>待同名检索｜待建档</x:v>
      </x:c>
    </x:row>
    <x:row r="765" ht="22.5" customHeight="1">
      <x:c r="A765" s="44"/>
      <x:c r="B765" s="44"/>
      <x:c r="C765" s="45"/>
      <x:c r="D765" s="44" t="str">
        <x:v>河</x:v>
      </x:c>
      <x:c r="E765" s="44" t="str">
        <x:v>地理名稱</x:v>
      </x:c>
      <x:c r="F765" s="18"/>
      <x:c r="G765" s="46"/>
      <x:c r="H765" s="47" t="e">
        <x:f>HYPERLINK("#'山海经原文总库'!A3","↩ 返回目录")</x:f>
        <x:v>HYPERLINK is not implemented. linkLocation=#'山海经原文总库'!A3, friendlyName=↩ 返回目录</x:v>
      </x:c>
      <x:c r="I765" s="437"/>
      <x:c r="J765" s="437"/>
      <x:c r="K765" s="437" t="str">
        <x:v>待同名检索｜待建档</x:v>
      </x:c>
    </x:row>
    <x:row r="766" ht="64.5" customHeight="1">
      <x:c r="A766" s="44" t="str">
        <x:v>SHJ-05-028</x:v>
      </x:c>
      <x:c r="B766" s="44" t="str">
        <x:v>卷五 《中山經》</x:v>
      </x:c>
      <x:c r="C766" s="45" t="str">
        <x:v>又東二十里，曰和山，其上無草木而多瑤碧，實惟河之九都。是山也五曲，九水出焉，合而北流注於河，其中多蒼玉。吉神泰逢司之，其狀如人而虎尾，是好居於萯山之陽，出入有光。泰逢神動天地氣也。</x:v>
      </x:c>
      <x:c r="D766" s="44" t="str">
        <x:v>和山</x:v>
      </x:c>
      <x:c r="E766" s="44" t="str">
        <x:v>山</x:v>
      </x:c>
      <x:c r="F766" s="18"/>
      <x:c r="G766" s="46" t="str">
        <x:v>标点与分段参考《山海经校注》；正文对读：https://ctext.org/shan-hai-jing/zhong-shan-jing/zh</x:v>
      </x:c>
      <x:c r="H766" s="47" t="e">
        <x:f>HYPERLINK("#'山海经原文总库'!A3","↩ 返回目录")</x:f>
        <x:v>HYPERLINK is not implemented. linkLocation=#'山海经原文总库'!A3, friendlyName=↩ 返回目录</x:v>
      </x:c>
      <x:c r="I766" s="437"/>
      <x:c r="J766" s="437"/>
      <x:c r="K766" s="437" t="str">
        <x:v>待同名检索｜待建档</x:v>
      </x:c>
    </x:row>
    <x:row r="767" ht="22.5" customHeight="1">
      <x:c r="A767" s="44"/>
      <x:c r="B767" s="44"/>
      <x:c r="C767" s="45"/>
      <x:c r="D767" s="44" t="str">
        <x:v>九水</x:v>
      </x:c>
      <x:c r="E767" s="44" t="str">
        <x:v>水系</x:v>
      </x:c>
      <x:c r="F767" s="18"/>
      <x:c r="G767" s="46"/>
      <x:c r="H767" s="47" t="e">
        <x:f>HYPERLINK("#'山海经原文总库'!A3","↩ 返回目录")</x:f>
        <x:v>HYPERLINK is not implemented. linkLocation=#'山海经原文总库'!A3, friendlyName=↩ 返回目录</x:v>
      </x:c>
      <x:c r="I767" s="437"/>
      <x:c r="J767" s="437"/>
      <x:c r="K767" s="437" t="str">
        <x:v>待同名检索｜待建档</x:v>
      </x:c>
    </x:row>
    <x:row r="768" ht="22.5" customHeight="1">
      <x:c r="A768" s="44"/>
      <x:c r="B768" s="44"/>
      <x:c r="C768" s="45"/>
      <x:c r="D768" s="44" t="str">
        <x:v>實惟河之九都</x:v>
      </x:c>
      <x:c r="E768" s="44" t="str">
        <x:v>聚落／區域</x:v>
      </x:c>
      <x:c r="F768" s="18"/>
      <x:c r="G768" s="46"/>
      <x:c r="H768" s="47" t="e">
        <x:f>HYPERLINK("#'山海经原文总库'!A3","↩ 返回目录")</x:f>
        <x:v>HYPERLINK is not implemented. linkLocation=#'山海经原文总库'!A3, friendlyName=↩ 返回目录</x:v>
      </x:c>
      <x:c r="I768" s="437"/>
      <x:c r="J768" s="437"/>
      <x:c r="K768" s="437" t="str">
        <x:v>待同名检索｜待建档</x:v>
      </x:c>
    </x:row>
    <x:row r="769" ht="22.5" customHeight="1">
      <x:c r="A769" s="44"/>
      <x:c r="B769" s="44"/>
      <x:c r="C769" s="45"/>
      <x:c r="D769" s="44" t="str">
        <x:v>河</x:v>
      </x:c>
      <x:c r="E769" s="44" t="str">
        <x:v>地理名稱</x:v>
      </x:c>
      <x:c r="F769" s="18"/>
      <x:c r="G769" s="46"/>
      <x:c r="H769" s="47" t="e">
        <x:f>HYPERLINK("#'山海经原文总库'!A3","↩ 返回目录")</x:f>
        <x:v>HYPERLINK is not implemented. linkLocation=#'山海经原文总库'!A3, friendlyName=↩ 返回目录</x:v>
      </x:c>
      <x:c r="I769" s="437"/>
      <x:c r="J769" s="437"/>
      <x:c r="K769" s="437" t="str">
        <x:v>待同名检索｜待建档</x:v>
      </x:c>
    </x:row>
    <x:row r="770" ht="48" customHeight="1">
      <x:c r="A770" s="44" t="str">
        <x:v>SHJ-05-029-1</x:v>
      </x:c>
      <x:c r="B770" s="44" t="str">
        <x:v>卷五 《中山經》</x:v>
      </x:c>
      <x:c r="C770" s="45" t="str">
        <x:v>凡萯山之首，自敖岸之山至於和山，凡五山，四百四十里。其祠泰逢、熏池、武羅皆一牡羊副，嬰用吉玉。其二神用一雄雞瘞之，糈用稌。</x:v>
      </x:c>
      <x:c r="D770" s="44" t="str">
        <x:v>敖岸之山至於和山</x:v>
      </x:c>
      <x:c r="E770" s="44" t="str">
        <x:v>山</x:v>
      </x:c>
      <x:c r="F770" s="18"/>
      <x:c r="G770" s="46" t="str">
        <x:v>标点与分段参考《山海经校注》；正文对读：https://ctext.org/shan-hai-jing/zhong-shan-jing/zh</x:v>
      </x:c>
      <x:c r="H770" s="47" t="e">
        <x:f>HYPERLINK("#'山海经原文总库'!A3","↩ 返回目录")</x:f>
        <x:v>HYPERLINK is not implemented. linkLocation=#'山海经原文总库'!A3, friendlyName=↩ 返回目录</x:v>
      </x:c>
      <x:c r="I770" s="437"/>
      <x:c r="J770" s="437"/>
      <x:c r="K770" s="437" t="str">
        <x:v>待同名检索｜待建档</x:v>
      </x:c>
    </x:row>
    <x:row r="771" ht="48" customHeight="1">
      <x:c r="A771" s="44" t="str">
        <x:v>SHJ-05-029-2</x:v>
      </x:c>
      <x:c r="B771" s="44" t="str">
        <x:v>卷五 《中山經》</x:v>
      </x:c>
      <x:c r="C771" s="45" t="str">
        <x:v>中次四經釐山之首，曰鹿蹄之山，其上多玉，其下多金。甘水出焉，而北流注於洛，其中多泠石。</x:v>
      </x:c>
      <x:c r="D771" s="44" t="str">
        <x:v>鹿蹄之山</x:v>
      </x:c>
      <x:c r="E771" s="44" t="str">
        <x:v>山</x:v>
      </x:c>
      <x:c r="F771" s="18"/>
      <x:c r="G771" s="46" t="str">
        <x:v>标点与分段参考《山海经校注》；正文对读：https://ctext.org/shan-hai-jing/zhong-shan-jing/zh</x:v>
      </x:c>
      <x:c r="H771" s="47" t="e">
        <x:f>HYPERLINK("#'山海经原文总库'!A3","↩ 返回目录")</x:f>
        <x:v>HYPERLINK is not implemented. linkLocation=#'山海经原文总库'!A3, friendlyName=↩ 返回目录</x:v>
      </x:c>
      <x:c r="I771" s="437"/>
      <x:c r="J771" s="437"/>
      <x:c r="K771" s="437" t="str">
        <x:v>待同名检索｜待建档</x:v>
      </x:c>
    </x:row>
    <x:row r="772" ht="22.5" customHeight="1">
      <x:c r="A772" s="44"/>
      <x:c r="B772" s="44"/>
      <x:c r="C772" s="45"/>
      <x:c r="D772" s="44" t="str">
        <x:v>甘水</x:v>
      </x:c>
      <x:c r="E772" s="44" t="str">
        <x:v>水系</x:v>
      </x:c>
      <x:c r="F772" s="18"/>
      <x:c r="G772" s="46"/>
      <x:c r="H772" s="47" t="e">
        <x:f>HYPERLINK("#'山海经原文总库'!A3","↩ 返回目录")</x:f>
        <x:v>HYPERLINK is not implemented. linkLocation=#'山海经原文总库'!A3, friendlyName=↩ 返回目录</x:v>
      </x:c>
      <x:c r="I772" s="437"/>
      <x:c r="J772" s="437"/>
      <x:c r="K772" s="437" t="str">
        <x:v>待同名检索｜待建档</x:v>
      </x:c>
    </x:row>
    <x:row r="773" ht="48" customHeight="1">
      <x:c r="A773" s="44" t="str">
        <x:v>SHJ-05-030</x:v>
      </x:c>
      <x:c r="B773" s="44" t="str">
        <x:v>卷五 《中山經》</x:v>
      </x:c>
      <x:c r="C773" s="45" t="str">
        <x:v>西五十里，曰扶豬之山，其上多礝石。有獸焉，其狀如貉而人目，其名曰（上鹿下言）。虢水出焉，而北流注於洛，其中多瓀石。</x:v>
      </x:c>
      <x:c r="D773" s="44" t="str">
        <x:v>扶豬之山</x:v>
      </x:c>
      <x:c r="E773" s="44" t="str">
        <x:v>山</x:v>
      </x:c>
      <x:c r="F773" s="18"/>
      <x:c r="G773" s="46" t="str">
        <x:v>标点与分段参考《山海经校注》；正文对读：https://ctext.org/shan-hai-jing/zhong-shan-jing/zh</x:v>
      </x:c>
      <x:c r="H773" s="47" t="e">
        <x:f>HYPERLINK("#'山海经原文总库'!A3","↩ 返回目录")</x:f>
        <x:v>HYPERLINK is not implemented. linkLocation=#'山海经原文总库'!A3, friendlyName=↩ 返回目录</x:v>
      </x:c>
      <x:c r="I773" s="437"/>
      <x:c r="J773" s="437"/>
      <x:c r="K773" s="437" t="str">
        <x:v>待同名检索｜待建档</x:v>
      </x:c>
    </x:row>
    <x:row r="774" ht="22.5" customHeight="1">
      <x:c r="A774" s="44"/>
      <x:c r="B774" s="44"/>
      <x:c r="C774" s="45"/>
      <x:c r="D774" s="44" t="str">
        <x:v>虢水</x:v>
      </x:c>
      <x:c r="E774" s="44" t="str">
        <x:v>水系</x:v>
      </x:c>
      <x:c r="F774" s="18"/>
      <x:c r="G774" s="46"/>
      <x:c r="H774" s="47" t="e">
        <x:f>HYPERLINK("#'山海经原文总库'!A3","↩ 返回目录")</x:f>
        <x:v>HYPERLINK is not implemented. linkLocation=#'山海经原文总库'!A3, friendlyName=↩ 返回目录</x:v>
      </x:c>
      <x:c r="I774" s="437"/>
      <x:c r="J774" s="437"/>
      <x:c r="K774" s="437" t="str">
        <x:v>待同名检索｜待建档</x:v>
      </x:c>
    </x:row>
    <x:row r="775" ht="22.5" customHeight="1">
      <x:c r="A775" s="44"/>
      <x:c r="B775" s="44"/>
      <x:c r="C775" s="45"/>
      <x:c r="D775" s="44" t="str">
        <x:v>扶猪之山</x:v>
      </x:c>
      <x:c r="E775" s="44" t="str">
        <x:v>山</x:v>
      </x:c>
      <x:c r="F775" s="18"/>
      <x:c r="G775" s="46"/>
      <x:c r="H775" s="47" t="e">
        <x:f>HYPERLINK("#'山海经原文总库'!A3","↩ 返回目录")</x:f>
        <x:v>HYPERLINK is not implemented. linkLocation=#'山海经原文总库'!A3, friendlyName=↩ 返回目录</x:v>
      </x:c>
      <x:c r="I775" s="437"/>
      <x:c r="J775" s="437"/>
      <x:c r="K775" s="437" t="str">
        <x:v>待同名检索｜待建档</x:v>
      </x:c>
    </x:row>
    <x:row r="776" ht="64.5" customHeight="1">
      <x:c r="A776" s="44" t="str">
        <x:v>SHJ-05-031</x:v>
      </x:c>
      <x:c r="B776" s="44" t="str">
        <x:v>卷五 《中山經》</x:v>
      </x:c>
      <x:c r="C776" s="45" t="str">
        <x:v>又西一百二十里，曰釐山，其陽多玉，其陰多搜。有獸焉，其狀如牛，蒼身，其音如嬰兒，是食人，其名曰犀渠。滽滽之水出焉，而南流注於伊水。有獸焉，名曰（犬頡），其狀如獳犬而有鱗，其毛如彘鬣。</x:v>
      </x:c>
      <x:c r="D776" s="44" t="str">
        <x:v>釐山</x:v>
      </x:c>
      <x:c r="E776" s="44" t="str">
        <x:v>山</x:v>
      </x:c>
      <x:c r="F776" s="18"/>
      <x:c r="G776" s="46" t="str">
        <x:v>标点与分段参考《山海经校注》；正文对读：https://ctext.org/shan-hai-jing/zhong-shan-jing/zh</x:v>
      </x:c>
      <x:c r="H776" s="47" t="e">
        <x:f>HYPERLINK("#'山海经原文总库'!A3","↩ 返回目录")</x:f>
        <x:v>HYPERLINK is not implemented. linkLocation=#'山海经原文总库'!A3, friendlyName=↩ 返回目录</x:v>
      </x:c>
      <x:c r="I776" s="437"/>
      <x:c r="J776" s="437"/>
      <x:c r="K776" s="437" t="str">
        <x:v>待同名检索｜待建档</x:v>
      </x:c>
    </x:row>
    <x:row r="777" ht="22.5" customHeight="1">
      <x:c r="A777" s="44"/>
      <x:c r="B777" s="44"/>
      <x:c r="C777" s="45"/>
      <x:c r="D777" s="44" t="str">
        <x:v>滽滽之水</x:v>
      </x:c>
      <x:c r="E777" s="44" t="str">
        <x:v>水系</x:v>
      </x:c>
      <x:c r="F777" s="18"/>
      <x:c r="G777" s="46"/>
      <x:c r="H777" s="47" t="e">
        <x:f>HYPERLINK("#'山海经原文总库'!A3","↩ 返回目录")</x:f>
        <x:v>HYPERLINK is not implemented. linkLocation=#'山海经原文总库'!A3, friendlyName=↩ 返回目录</x:v>
      </x:c>
      <x:c r="I777" s="437"/>
      <x:c r="J777" s="437"/>
      <x:c r="K777" s="437" t="str">
        <x:v>待同名检索｜待建档</x:v>
      </x:c>
    </x:row>
    <x:row r="778" ht="22.5" customHeight="1">
      <x:c r="A778" s="44"/>
      <x:c r="B778" s="44"/>
      <x:c r="C778" s="45"/>
      <x:c r="D778" s="44" t="str">
        <x:v>伊水</x:v>
      </x:c>
      <x:c r="E778" s="44" t="str">
        <x:v>水系</x:v>
      </x:c>
      <x:c r="F778" s="18"/>
      <x:c r="G778" s="46"/>
      <x:c r="H778" s="47" t="e">
        <x:f>HYPERLINK("#'山海经原文总库'!A3","↩ 返回目录")</x:f>
        <x:v>HYPERLINK is not implemented. linkLocation=#'山海经原文总库'!A3, friendlyName=↩ 返回目录</x:v>
      </x:c>
      <x:c r="I778" s="437"/>
      <x:c r="J778" s="437"/>
      <x:c r="K778" s="437" t="str">
        <x:v>待同名检索｜待建档</x:v>
      </x:c>
    </x:row>
    <x:row r="779" ht="48" customHeight="1">
      <x:c r="A779" s="44" t="str">
        <x:v>SHJ-05-032</x:v>
      </x:c>
      <x:c r="B779" s="44" t="str">
        <x:v>卷五 《中山經》</x:v>
      </x:c>
      <x:c r="C779" s="45" t="str">
        <x:v>又西二百里，曰箕尾之山，多谷，多塗石，其上多（王雩）琈之玉。</x:v>
      </x:c>
      <x:c r="D779" s="44" t="str">
        <x:v>箕尾之山</x:v>
      </x:c>
      <x:c r="E779" s="44" t="str">
        <x:v>山</x:v>
      </x:c>
      <x:c r="F779" s="18"/>
      <x:c r="G779" s="46" t="str">
        <x:v>标点与分段参考《山海经校注》；正文对读：https://ctext.org/shan-hai-jing/zhong-shan-jing/zh</x:v>
      </x:c>
      <x:c r="H779" s="47" t="e">
        <x:f>HYPERLINK("#'山海经原文总库'!A3","↩ 返回目录")</x:f>
        <x:v>HYPERLINK is not implemented. linkLocation=#'山海经原文总库'!A3, friendlyName=↩ 返回目录</x:v>
      </x:c>
      <x:c r="I779" s="437"/>
      <x:c r="J779" s="437"/>
      <x:c r="K779" s="437" t="str">
        <x:v>待同名检索｜待建档</x:v>
      </x:c>
    </x:row>
    <x:row r="780" ht="48" customHeight="1">
      <x:c r="A780" s="44" t="str">
        <x:v>SHJ-05-033</x:v>
      </x:c>
      <x:c r="B780" s="44" t="str">
        <x:v>卷五 《中山經》</x:v>
      </x:c>
      <x:c r="C780" s="45" t="str">
        <x:v>又西二百五十里，曰柄山，其上多玉，其下多銅。滔雕之水出焉，而北流注於洛。其中多羬羊。有木焉，其狀如樗，其葉如桐而莢實，其名曰茇，可以毒魚。</x:v>
      </x:c>
      <x:c r="D780" s="44" t="str">
        <x:v>柄山</x:v>
      </x:c>
      <x:c r="E780" s="44" t="str">
        <x:v>山</x:v>
      </x:c>
      <x:c r="F780" s="18"/>
      <x:c r="G780" s="46" t="str">
        <x:v>标点与分段参考《山海经校注》；正文对读：https://ctext.org/shan-hai-jing/zhong-shan-jing/zh</x:v>
      </x:c>
      <x:c r="H780" s="47" t="e">
        <x:f>HYPERLINK("#'山海经原文总库'!A3","↩ 返回目录")</x:f>
        <x:v>HYPERLINK is not implemented. linkLocation=#'山海经原文总库'!A3, friendlyName=↩ 返回目录</x:v>
      </x:c>
      <x:c r="I780" s="437"/>
      <x:c r="J780" s="437"/>
      <x:c r="K780" s="437" t="str">
        <x:v>待同名检索｜待建档</x:v>
      </x:c>
    </x:row>
    <x:row r="781" ht="22.5" customHeight="1">
      <x:c r="A781" s="44"/>
      <x:c r="B781" s="44"/>
      <x:c r="C781" s="45"/>
      <x:c r="D781" s="44" t="str">
        <x:v>滔雕之水</x:v>
      </x:c>
      <x:c r="E781" s="44" t="str">
        <x:v>水系</x:v>
      </x:c>
      <x:c r="F781" s="18"/>
      <x:c r="G781" s="46"/>
      <x:c r="H781" s="47" t="e">
        <x:f>HYPERLINK("#'山海经原文总库'!A3","↩ 返回目录")</x:f>
        <x:v>HYPERLINK is not implemented. linkLocation=#'山海经原文总库'!A3, friendlyName=↩ 返回目录</x:v>
      </x:c>
      <x:c r="I781" s="437"/>
      <x:c r="J781" s="437"/>
      <x:c r="K781" s="437" t="str">
        <x:v>待同名检索｜待建档</x:v>
      </x:c>
    </x:row>
    <x:row r="782" ht="48" customHeight="1">
      <x:c r="A782" s="44" t="str">
        <x:v>SHJ-05-034</x:v>
      </x:c>
      <x:c r="B782" s="44" t="str">
        <x:v>卷五 《中山經》</x:v>
      </x:c>
      <x:c r="C782" s="45" t="str">
        <x:v>又西二百里，曰白邊之山，其上多金玉，其下多青雄黃。</x:v>
      </x:c>
      <x:c r="D782" s="44" t="str">
        <x:v>白邊之山</x:v>
      </x:c>
      <x:c r="E782" s="44" t="str">
        <x:v>山</x:v>
      </x:c>
      <x:c r="F782" s="18"/>
      <x:c r="G782" s="46" t="str">
        <x:v>标点与分段参考《山海经校注》；正文对读：https://ctext.org/shan-hai-jing/zhong-shan-jing/zh</x:v>
      </x:c>
      <x:c r="H782" s="47" t="e">
        <x:f>HYPERLINK("#'山海经原文总库'!A3","↩ 返回目录")</x:f>
        <x:v>HYPERLINK is not implemented. linkLocation=#'山海经原文总库'!A3, friendlyName=↩ 返回目录</x:v>
      </x:c>
      <x:c r="I782" s="437"/>
      <x:c r="J782" s="437"/>
      <x:c r="K782" s="437" t="str">
        <x:v>待同名检索｜待建档</x:v>
      </x:c>
    </x:row>
    <x:row r="783" ht="48" customHeight="1">
      <x:c r="A783" s="44" t="str">
        <x:v>SHJ-05-035</x:v>
      </x:c>
      <x:c r="B783" s="44" t="str">
        <x:v>卷五 《中山經》</x:v>
      </x:c>
      <x:c r="C783" s="45" t="str">
        <x:v>又西二百里，曰熊耳之山，其上多漆，其下多棕。浮濠之水出焉，而西流注於洛，其中多水玉，多人魚。有草焉，其狀如蘇而赤華，名曰葶薴，可以毒魚。</x:v>
      </x:c>
      <x:c r="D783" s="44" t="str">
        <x:v>熊耳之山</x:v>
      </x:c>
      <x:c r="E783" s="44" t="str">
        <x:v>山</x:v>
      </x:c>
      <x:c r="F783" s="18"/>
      <x:c r="G783" s="46" t="str">
        <x:v>标点与分段参考《山海经校注》；正文对读：https://ctext.org/shan-hai-jing/zhong-shan-jing/zh</x:v>
      </x:c>
      <x:c r="H783" s="47" t="e">
        <x:f>HYPERLINK("#'山海经原文总库'!A3","↩ 返回目录")</x:f>
        <x:v>HYPERLINK is not implemented. linkLocation=#'山海经原文总库'!A3, friendlyName=↩ 返回目录</x:v>
      </x:c>
      <x:c r="I783" s="437"/>
      <x:c r="J783" s="437"/>
      <x:c r="K783" s="437" t="str">
        <x:v>待同名检索｜待建档</x:v>
      </x:c>
    </x:row>
    <x:row r="784" ht="22.5" customHeight="1">
      <x:c r="A784" s="44"/>
      <x:c r="B784" s="44"/>
      <x:c r="C784" s="45"/>
      <x:c r="D784" s="44" t="str">
        <x:v>浮濠之水</x:v>
      </x:c>
      <x:c r="E784" s="44" t="str">
        <x:v>水系</x:v>
      </x:c>
      <x:c r="F784" s="18"/>
      <x:c r="G784" s="46"/>
      <x:c r="H784" s="47" t="e">
        <x:f>HYPERLINK("#'山海经原文总库'!A3","↩ 返回目录")</x:f>
        <x:v>HYPERLINK is not implemented. linkLocation=#'山海经原文总库'!A3, friendlyName=↩ 返回目录</x:v>
      </x:c>
      <x:c r="I784" s="437"/>
      <x:c r="J784" s="437"/>
      <x:c r="K784" s="437" t="str">
        <x:v>待同名检索｜待建档</x:v>
      </x:c>
    </x:row>
    <x:row r="785" ht="48" customHeight="1">
      <x:c r="A785" s="44" t="str">
        <x:v>SHJ-05-036</x:v>
      </x:c>
      <x:c r="B785" s="44" t="str">
        <x:v>卷五 《中山經》</x:v>
      </x:c>
      <x:c r="C785" s="45" t="str">
        <x:v>又西三百里，曰牡山，其上多文石，其下多竹箭竹（上竹下媚），其獸多（牛乍）牛、羬羊，鳥多赤鷩。</x:v>
      </x:c>
      <x:c r="D785" s="44" t="str">
        <x:v>牡山</x:v>
      </x:c>
      <x:c r="E785" s="44" t="str">
        <x:v>山</x:v>
      </x:c>
      <x:c r="F785" s="18"/>
      <x:c r="G785" s="46" t="str">
        <x:v>标点与分段参考《山海经校注》；正文对读：https://ctext.org/shan-hai-jing/zhong-shan-jing/zh</x:v>
      </x:c>
      <x:c r="H785" s="47" t="e">
        <x:f>HYPERLINK("#'山海经原文总库'!A3","↩ 返回目录")</x:f>
        <x:v>HYPERLINK is not implemented. linkLocation=#'山海经原文总库'!A3, friendlyName=↩ 返回目录</x:v>
      </x:c>
      <x:c r="I785" s="437"/>
      <x:c r="J785" s="437"/>
      <x:c r="K785" s="437" t="str">
        <x:v>待同名检索｜待建档</x:v>
      </x:c>
    </x:row>
    <x:row r="786" ht="22.5" customHeight="1">
      <x:c r="A786" s="44"/>
      <x:c r="B786" s="44"/>
      <x:c r="C786" s="45"/>
      <x:c r="D786" s="44" t="str">
        <x:v>壯山</x:v>
      </x:c>
      <x:c r="E786" s="44" t="str">
        <x:v>山</x:v>
      </x:c>
      <x:c r="F786" s="18"/>
      <x:c r="G786" s="46"/>
      <x:c r="H786" s="47" t="e">
        <x:f>HYPERLINK("#'山海经原文总库'!A3","↩ 返回目录")</x:f>
        <x:v>HYPERLINK is not implemented. linkLocation=#'山海经原文总库'!A3, friendlyName=↩ 返回目录</x:v>
      </x:c>
      <x:c r="I786" s="437"/>
      <x:c r="J786" s="437"/>
      <x:c r="K786" s="437" t="str">
        <x:v>待同名检索｜待建档</x:v>
      </x:c>
    </x:row>
    <x:row r="787" ht="48" customHeight="1">
      <x:c r="A787" s="44" t="str">
        <x:v>SHJ-05-037</x:v>
      </x:c>
      <x:c r="B787" s="44" t="str">
        <x:v>卷五 《中山經》</x:v>
      </x:c>
      <x:c r="C787" s="45" t="str">
        <x:v>又西三百五十里，曰讙舉之山。雒水出焉，而東北流注於玄扈之水，其中多馬腸之物。此二山者，洛閒也。</x:v>
      </x:c>
      <x:c r="D787" s="44" t="str">
        <x:v>讙舉之山</x:v>
      </x:c>
      <x:c r="E787" s="44" t="str">
        <x:v>山</x:v>
      </x:c>
      <x:c r="F787" s="18"/>
      <x:c r="G787" s="46" t="str">
        <x:v>标点与分段参考《山海经校注》；正文对读：https://ctext.org/shan-hai-jing/zhong-shan-jing/zh</x:v>
      </x:c>
      <x:c r="H787" s="47" t="e">
        <x:f>HYPERLINK("#'山海经原文总库'!A3","↩ 返回目录")</x:f>
        <x:v>HYPERLINK is not implemented. linkLocation=#'山海经原文总库'!A3, friendlyName=↩ 返回目录</x:v>
      </x:c>
      <x:c r="I787" s="437"/>
      <x:c r="J787" s="437"/>
      <x:c r="K787" s="437" t="str">
        <x:v>待同名检索｜待建档</x:v>
      </x:c>
    </x:row>
    <x:row r="788" ht="22.5" customHeight="1">
      <x:c r="A788" s="44"/>
      <x:c r="B788" s="44"/>
      <x:c r="C788" s="45"/>
      <x:c r="D788" s="44" t="str">
        <x:v>雒水</x:v>
      </x:c>
      <x:c r="E788" s="44" t="str">
        <x:v>水系</x:v>
      </x:c>
      <x:c r="F788" s="18"/>
      <x:c r="G788" s="46"/>
      <x:c r="H788" s="47" t="e">
        <x:f>HYPERLINK("#'山海经原文总库'!A3","↩ 返回目录")</x:f>
        <x:v>HYPERLINK is not implemented. linkLocation=#'山海经原文总库'!A3, friendlyName=↩ 返回目录</x:v>
      </x:c>
      <x:c r="I788" s="437"/>
      <x:c r="J788" s="437"/>
      <x:c r="K788" s="437" t="str">
        <x:v>待同名检索｜待建档</x:v>
      </x:c>
    </x:row>
    <x:row r="789" ht="22.5" customHeight="1">
      <x:c r="A789" s="44"/>
      <x:c r="B789" s="44"/>
      <x:c r="C789" s="45"/>
      <x:c r="D789" s="44" t="str">
        <x:v>玄扈之水</x:v>
      </x:c>
      <x:c r="E789" s="44" t="str">
        <x:v>水系</x:v>
      </x:c>
      <x:c r="F789" s="18"/>
      <x:c r="G789" s="46"/>
      <x:c r="H789" s="47" t="e">
        <x:f>HYPERLINK("#'山海经原文总库'!A3","↩ 返回目录")</x:f>
        <x:v>HYPERLINK is not implemented. linkLocation=#'山海经原文总库'!A3, friendlyName=↩ 返回目录</x:v>
      </x:c>
      <x:c r="I789" s="437"/>
      <x:c r="J789" s="437"/>
      <x:c r="K789" s="437" t="str">
        <x:v>待同名检索｜待建档</x:v>
      </x:c>
    </x:row>
    <x:row r="790" ht="48" customHeight="1">
      <x:c r="A790" s="44" t="str">
        <x:v>SHJ-05-038-1</x:v>
      </x:c>
      <x:c r="B790" s="44" t="str">
        <x:v>卷五 《中山經》</x:v>
      </x:c>
      <x:c r="C790" s="45" t="str">
        <x:v>凡釐山之首，自鹿蹄之山至於玄扈之山，凡九山，千六百七十里。其神狀皆人面獸身。其祠之，毛用一白雞，祈而不糈，以採衣之。</x:v>
      </x:c>
      <x:c r="D790" s="44" t="str">
        <x:v>鹿蹄之山至於玄扈之山</x:v>
      </x:c>
      <x:c r="E790" s="44" t="str">
        <x:v>山</x:v>
      </x:c>
      <x:c r="F790" s="18"/>
      <x:c r="G790" s="46" t="str">
        <x:v>标点与分段参考《山海经校注》；正文对读：https://ctext.org/shan-hai-jing/zhong-shan-jing/zh</x:v>
      </x:c>
      <x:c r="H790" s="47" t="e">
        <x:f>HYPERLINK("#'山海经原文总库'!A3","↩ 返回目录")</x:f>
        <x:v>HYPERLINK is not implemented. linkLocation=#'山海经原文总库'!A3, friendlyName=↩ 返回目录</x:v>
      </x:c>
      <x:c r="I790" s="437"/>
      <x:c r="J790" s="437"/>
      <x:c r="K790" s="437" t="str">
        <x:v>待同名检索｜待建档</x:v>
      </x:c>
    </x:row>
    <x:row r="791" ht="48" customHeight="1">
      <x:c r="A791" s="44" t="str">
        <x:v>SHJ-05-038-2</x:v>
      </x:c>
      <x:c r="B791" s="44" t="str">
        <x:v>卷五 《中山經》</x:v>
      </x:c>
      <x:c r="C791" s="45" t="str">
        <x:v>中次五經薄山之首，曰苟床之山，無草木，多怪石。</x:v>
      </x:c>
      <x:c r="D791" s="44" t="str">
        <x:v>苟床之山</x:v>
      </x:c>
      <x:c r="E791" s="44" t="str">
        <x:v>山</x:v>
      </x:c>
      <x:c r="F791" s="18"/>
      <x:c r="G791" s="46" t="str">
        <x:v>标点与分段参考《山海经校注》；正文对读：https://ctext.org/shan-hai-jing/zhong-shan-jing/zh</x:v>
      </x:c>
      <x:c r="H791" s="47" t="e">
        <x:f>HYPERLINK("#'山海经原文总库'!A3","↩ 返回目录")</x:f>
        <x:v>HYPERLINK is not implemented. linkLocation=#'山海经原文总库'!A3, friendlyName=↩ 返回目录</x:v>
      </x:c>
      <x:c r="I791" s="437"/>
      <x:c r="J791" s="437"/>
      <x:c r="K791" s="437" t="str">
        <x:v>待同名检索｜待建档</x:v>
      </x:c>
    </x:row>
    <x:row r="792" ht="48" customHeight="1">
      <x:c r="A792" s="44" t="str">
        <x:v>SHJ-05-039</x:v>
      </x:c>
      <x:c r="B792" s="44" t="str">
        <x:v>卷五 《中山經》</x:v>
      </x:c>
      <x:c r="C792" s="45" t="str">
        <x:v>東三百里，曰首山，其陰多榖柞，其草多（上艹下朮）芫，其陽多（王雩）琈之玉，木多槐。其陰有谷，曰機谷，多（鳥大）鳥，其狀如梟而三目，有耳，其音如錄，食之已墊。</x:v>
      </x:c>
      <x:c r="D792" s="44" t="str">
        <x:v>首山</x:v>
      </x:c>
      <x:c r="E792" s="44" t="str">
        <x:v>山</x:v>
      </x:c>
      <x:c r="F792" s="18"/>
      <x:c r="G792" s="46" t="str">
        <x:v>标点与分段参考《山海经校注》；正文对读：https://ctext.org/shan-hai-jing/zhong-shan-jing/zh</x:v>
      </x:c>
      <x:c r="H792" s="47" t="e">
        <x:f>HYPERLINK("#'山海经原文总库'!A3","↩ 返回目录")</x:f>
        <x:v>HYPERLINK is not implemented. linkLocation=#'山海经原文总库'!A3, friendlyName=↩ 返回目录</x:v>
      </x:c>
      <x:c r="I792" s="437"/>
      <x:c r="J792" s="437"/>
      <x:c r="K792" s="437" t="str">
        <x:v>待同名检索｜待建档</x:v>
      </x:c>
    </x:row>
    <x:row r="793" ht="22.5" customHeight="1">
      <x:c r="A793" s="44"/>
      <x:c r="B793" s="44"/>
      <x:c r="C793" s="45"/>
      <x:c r="D793" s="44" t="str">
        <x:v>機谷</x:v>
      </x:c>
      <x:c r="E793" s="44" t="str">
        <x:v>區域</x:v>
      </x:c>
      <x:c r="F793" s="18"/>
      <x:c r="G793" s="46"/>
      <x:c r="H793" s="47" t="e">
        <x:f>HYPERLINK("#'山海经原文总库'!A3","↩ 返回目录")</x:f>
        <x:v>HYPERLINK is not implemented. linkLocation=#'山海经原文总库'!A3, friendlyName=↩ 返回目录</x:v>
      </x:c>
      <x:c r="I793" s="437"/>
      <x:c r="J793" s="437"/>
      <x:c r="K793" s="437" t="str">
        <x:v>待同名检索｜待建档</x:v>
      </x:c>
    </x:row>
    <x:row r="794" ht="48" customHeight="1">
      <x:c r="A794" s="44" t="str">
        <x:v>SHJ-05-040</x:v>
      </x:c>
      <x:c r="B794" s="44" t="str">
        <x:v>卷五 《中山經》</x:v>
      </x:c>
      <x:c r="C794" s="45" t="str">
        <x:v>又東三百里，曰縣斸之山，無草木，多文石。</x:v>
      </x:c>
      <x:c r="D794" s="44" t="str">
        <x:v>縣斸之山</x:v>
      </x:c>
      <x:c r="E794" s="44" t="str">
        <x:v>山</x:v>
      </x:c>
      <x:c r="F794" s="18"/>
      <x:c r="G794" s="46" t="str">
        <x:v>标点与分段参考《山海经校注》；正文对读：https://ctext.org/shan-hai-jing/zhong-shan-jing/zh</x:v>
      </x:c>
      <x:c r="H794" s="47" t="e">
        <x:f>HYPERLINK("#'山海经原文总库'!A3","↩ 返回目录")</x:f>
        <x:v>HYPERLINK is not implemented. linkLocation=#'山海经原文总库'!A3, friendlyName=↩ 返回目录</x:v>
      </x:c>
      <x:c r="I794" s="437"/>
      <x:c r="J794" s="437"/>
      <x:c r="K794" s="437" t="str">
        <x:v>待同名检索｜待建档</x:v>
      </x:c>
    </x:row>
    <x:row r="795" ht="48" customHeight="1">
      <x:c r="A795" s="44" t="str">
        <x:v>SHJ-05-041-1</x:v>
      </x:c>
      <x:c r="B795" s="44" t="str">
        <x:v>卷五 《中山經》</x:v>
      </x:c>
      <x:c r="C795" s="45" t="str">
        <x:v>又東三百里，曰蔥聾之山，無草木，多庱（夌改夆）石。</x:v>
      </x:c>
      <x:c r="D795" s="44" t="str">
        <x:v>蔥聾之山</x:v>
      </x:c>
      <x:c r="E795" s="44" t="str">
        <x:v>山</x:v>
      </x:c>
      <x:c r="F795" s="18"/>
      <x:c r="G795" s="46" t="str">
        <x:v>标点与分段参考《山海经校注》；正文对读：https://ctext.org/shan-hai-jing/zhong-shan-jing/zh</x:v>
      </x:c>
      <x:c r="H795" s="47" t="e">
        <x:f>HYPERLINK("#'山海经原文总库'!A3","↩ 返回目录")</x:f>
        <x:v>HYPERLINK is not implemented. linkLocation=#'山海经原文总库'!A3, friendlyName=↩ 返回目录</x:v>
      </x:c>
      <x:c r="I795" s="437"/>
      <x:c r="J795" s="437"/>
      <x:c r="K795" s="437" t="str">
        <x:v>待同名检索｜待建档</x:v>
      </x:c>
    </x:row>
    <x:row r="796" ht="22.5" customHeight="1">
      <x:c r="A796" s="44"/>
      <x:c r="B796" s="44"/>
      <x:c r="C796" s="45"/>
      <x:c r="D796" s="44" t="str">
        <x:v>葱聾之山</x:v>
      </x:c>
      <x:c r="E796" s="44" t="str">
        <x:v>山</x:v>
      </x:c>
      <x:c r="F796" s="18"/>
      <x:c r="G796" s="46"/>
      <x:c r="H796" s="47" t="e">
        <x:f>HYPERLINK("#'山海经原文总库'!A3","↩ 返回目录")</x:f>
        <x:v>HYPERLINK is not implemented. linkLocation=#'山海经原文总库'!A3, friendlyName=↩ 返回目录</x:v>
      </x:c>
      <x:c r="I796" s="437"/>
      <x:c r="J796" s="437"/>
      <x:c r="K796" s="437" t="str">
        <x:v>待同名检索｜待建档</x:v>
      </x:c>
    </x:row>
    <x:row r="797" ht="22.5" customHeight="1">
      <x:c r="A797" s="44"/>
      <x:c r="B797" s="44"/>
      <x:c r="C797" s="45"/>
      <x:c r="D797" s="44" t="str">
        <x:v>條谷之山</x:v>
      </x:c>
      <x:c r="E797" s="44" t="str">
        <x:v>山</x:v>
      </x:c>
      <x:c r="F797" s="18"/>
      <x:c r="G797" s="46"/>
      <x:c r="H797" s="47" t="e">
        <x:f>HYPERLINK("#'山海经原文总库'!A3","↩ 返回目录")</x:f>
        <x:v>HYPERLINK is not implemented. linkLocation=#'山海经原文总库'!A3, friendlyName=↩ 返回目录</x:v>
      </x:c>
      <x:c r="I797" s="437"/>
      <x:c r="J797" s="437"/>
      <x:c r="K797" s="437" t="str">
        <x:v>待同名检索｜待建档</x:v>
      </x:c>
    </x:row>
    <x:row r="798" ht="48" customHeight="1">
      <x:c r="A798" s="44" t="str">
        <x:v>SHJ-05-041-2</x:v>
      </x:c>
      <x:c r="B798" s="44" t="str">
        <x:v>卷五 《中山經》</x:v>
      </x:c>
      <x:c r="C798" s="45" t="str">
        <x:v>東北五百里，曰條谷之山，其木多槐桐，其草多芍藥、？冬。</x:v>
      </x:c>
      <x:c r="D798" s="44" t="str">
        <x:v>條谷之山</x:v>
      </x:c>
      <x:c r="E798" s="44" t="str">
        <x:v>山</x:v>
      </x:c>
      <x:c r="F798" s="18"/>
      <x:c r="G798" s="46" t="str">
        <x:v>标点与分段参考《山海经校注》；正文对读：https://ctext.org/shan-hai-jing/zhong-shan-jing/zh</x:v>
      </x:c>
      <x:c r="H798" s="47" t="e">
        <x:f>HYPERLINK("#'山海经原文总库'!A3","↩ 返回目录")</x:f>
        <x:v>HYPERLINK is not implemented. linkLocation=#'山海经原文总库'!A3, friendlyName=↩ 返回目录</x:v>
      </x:c>
      <x:c r="I798" s="437"/>
      <x:c r="J798" s="437"/>
      <x:c r="K798" s="437" t="str">
        <x:v>待同名检索｜待建档</x:v>
      </x:c>
    </x:row>
    <x:row r="799" ht="22.5" customHeight="1">
      <x:c r="A799" s="44"/>
      <x:c r="B799" s="44"/>
      <x:c r="C799" s="45"/>
      <x:c r="D799" s="44" t="str">
        <x:v>條谷</x:v>
      </x:c>
      <x:c r="E799" s="44" t="str">
        <x:v>區域</x:v>
      </x:c>
      <x:c r="F799" s="18"/>
      <x:c r="G799" s="46"/>
      <x:c r="H799" s="47" t="e">
        <x:f>HYPERLINK("#'山海经原文总库'!A3","↩ 返回目录")</x:f>
        <x:v>HYPERLINK is not implemented. linkLocation=#'山海经原文总库'!A3, friendlyName=↩ 返回目录</x:v>
      </x:c>
      <x:c r="I799" s="437"/>
      <x:c r="J799" s="437"/>
      <x:c r="K799" s="437" t="str">
        <x:v>待同名检索｜待建档</x:v>
      </x:c>
    </x:row>
    <x:row r="800" ht="48" customHeight="1">
      <x:c r="A800" s="44" t="str">
        <x:v>SHJ-05-042</x:v>
      </x:c>
      <x:c r="B800" s="44" t="str">
        <x:v>卷五 《中山經》</x:v>
      </x:c>
      <x:c r="C800" s="45" t="str">
        <x:v>又北十里，曰超山，其陰多蒼玉，其陽有井，冬有水而夏竭。</x:v>
      </x:c>
      <x:c r="D800" s="44" t="str">
        <x:v>超山</x:v>
      </x:c>
      <x:c r="E800" s="44" t="str">
        <x:v>山</x:v>
      </x:c>
      <x:c r="F800" s="18"/>
      <x:c r="G800" s="46" t="str">
        <x:v>标点与分段参考《山海经校注》；正文对读：https://ctext.org/shan-hai-jing/zhong-shan-jing/zh</x:v>
      </x:c>
      <x:c r="H800" s="47" t="e">
        <x:f t="shared" ref="H800:H805" si="2">HYPERLINK("#'山海经原文总库'!A3","↩ 返回目录")</x:f>
        <x:v>HYPERLINK is not implemented. linkLocation=#'山海经原文总库'!A3, friendlyName=↩ 返回目录</x:v>
      </x:c>
      <x:c r="I800" s="437"/>
      <x:c r="J800" s="437"/>
      <x:c r="K800" s="437" t="str">
        <x:v>待同名检索｜待建档</x:v>
      </x:c>
    </x:row>
    <x:row r="801" ht="48" customHeight="1">
      <x:c r="A801" s="44" t="str">
        <x:v>SHJ-05-043</x:v>
      </x:c>
      <x:c r="B801" s="44" t="str">
        <x:v>卷五 《中山經》</x:v>
      </x:c>
      <x:c r="C801" s="45" t="str">
        <x:v>又東五百里，曰成侯之山，其上多木，其草多芃。</x:v>
      </x:c>
      <x:c r="D801" s="44" t="str">
        <x:v>成侯之山</x:v>
      </x:c>
      <x:c r="E801" s="44" t="str">
        <x:v>山</x:v>
      </x:c>
      <x:c r="F801" s="18"/>
      <x:c r="G801" s="46" t="str">
        <x:v>标点与分段参考《山海经校注》；正文对读：https://ctext.org/shan-hai-jing/zhong-shan-jing/zh</x:v>
      </x:c>
      <x:c r="H801" s="47" t="e">
        <x:f t="shared" si="2">HYPERLINK("#'山海经原文总库'!A3","↩ 返回目录")</x:f>
        <x:v>HYPERLINK is not implemented. linkLocation=#'山海经原文总库'!A3, friendlyName=↩ 返回目录</x:v>
      </x:c>
      <x:c r="I801" s="437"/>
      <x:c r="J801" s="437"/>
      <x:c r="K801" s="437" t="str">
        <x:v>待同名检索｜待建档</x:v>
      </x:c>
    </x:row>
    <x:row r="802" ht="48" customHeight="1">
      <x:c r="A802" s="44" t="str">
        <x:v>SHJ-05-044</x:v>
      </x:c>
      <x:c r="B802" s="44" t="str">
        <x:v>卷五 《中山經》</x:v>
      </x:c>
      <x:c r="C802" s="45" t="str">
        <x:v>又東五百里，曰朝歌之山，谷多美堊。</x:v>
      </x:c>
      <x:c r="D802" s="44" t="str">
        <x:v>朝歌之山</x:v>
      </x:c>
      <x:c r="E802" s="44" t="str">
        <x:v>山</x:v>
      </x:c>
      <x:c r="F802" s="18"/>
      <x:c r="G802" s="46" t="str">
        <x:v>标点与分段参考《山海经校注》；正文对读：https://ctext.org/shan-hai-jing/zhong-shan-jing/zh</x:v>
      </x:c>
      <x:c r="H802" s="47" t="e">
        <x:f t="shared" si="2">HYPERLINK("#'山海经原文总库'!A3","↩ 返回目录")</x:f>
        <x:v>HYPERLINK is not implemented. linkLocation=#'山海经原文总库'!A3, friendlyName=↩ 返回目录</x:v>
      </x:c>
      <x:c r="I802" s="437"/>
      <x:c r="J802" s="437"/>
      <x:c r="K802" s="437" t="str">
        <x:v>待同名检索｜待建档</x:v>
      </x:c>
    </x:row>
    <x:row r="803" ht="48" customHeight="1">
      <x:c r="A803" s="44" t="str">
        <x:v>SHJ-05-045</x:v>
      </x:c>
      <x:c r="B803" s="44" t="str">
        <x:v>卷五 《中山經》</x:v>
      </x:c>
      <x:c r="C803" s="45" t="str">
        <x:v>又東五百里，曰槐山，谷多金錫。</x:v>
      </x:c>
      <x:c r="D803" s="44" t="str">
        <x:v>槐山</x:v>
      </x:c>
      <x:c r="E803" s="44" t="str">
        <x:v>山</x:v>
      </x:c>
      <x:c r="F803" s="18"/>
      <x:c r="G803" s="46" t="str">
        <x:v>标点与分段参考《山海经校注》；正文对读：https://ctext.org/shan-hai-jing/zhong-shan-jing/zh</x:v>
      </x:c>
      <x:c r="H803" s="47" t="e">
        <x:f t="shared" si="2">HYPERLINK("#'山海经原文总库'!A3","↩ 返回目录")</x:f>
        <x:v>HYPERLINK is not implemented. linkLocation=#'山海经原文总库'!A3, friendlyName=↩ 返回目录</x:v>
      </x:c>
      <x:c r="I803" s="437"/>
      <x:c r="J803" s="437"/>
      <x:c r="K803" s="437" t="str">
        <x:v>待同名检索｜待建档</x:v>
      </x:c>
    </x:row>
    <x:row r="804" ht="48" customHeight="1">
      <x:c r="A804" s="44" t="str">
        <x:v>SHJ-05-046</x:v>
      </x:c>
      <x:c r="B804" s="44" t="str">
        <x:v>卷五 《中山經》</x:v>
      </x:c>
      <x:c r="C804" s="45" t="str">
        <x:v>又東十里，曰歷山，其木多槐，其陽多玉。</x:v>
      </x:c>
      <x:c r="D804" s="44" t="str">
        <x:v>歷山</x:v>
      </x:c>
      <x:c r="E804" s="44" t="str">
        <x:v>山</x:v>
      </x:c>
      <x:c r="F804" s="18"/>
      <x:c r="G804" s="46" t="str">
        <x:v>标点与分段参考《山海经校注》；正文对读：https://ctext.org/shan-hai-jing/zhong-shan-jing/zh</x:v>
      </x:c>
      <x:c r="H804" s="47" t="e">
        <x:f t="shared" si="2">HYPERLINK("#'山海经原文总库'!A3","↩ 返回目录")</x:f>
        <x:v>HYPERLINK is not implemented. linkLocation=#'山海经原文总库'!A3, friendlyName=↩ 返回目录</x:v>
      </x:c>
      <x:c r="I804" s="437"/>
      <x:c r="J804" s="437"/>
      <x:c r="K804" s="437" t="str">
        <x:v>待同名检索｜待建档</x:v>
      </x:c>
    </x:row>
    <x:row r="805" ht="48" customHeight="1">
      <x:c r="A805" s="44" t="str">
        <x:v>SHJ-05-047</x:v>
      </x:c>
      <x:c r="B805" s="44" t="str">
        <x:v>卷五 《中山經》</x:v>
      </x:c>
      <x:c r="C805" s="45" t="str">
        <x:v>又東十里，曰屍山，多蒼玉，其獸多？。屍水出焉，南流注於洛水，其中多美玉。</x:v>
      </x:c>
      <x:c r="D805" s="44" t="str">
        <x:v>屍山</x:v>
      </x:c>
      <x:c r="E805" s="44" t="str">
        <x:v>山</x:v>
      </x:c>
      <x:c r="F805" s="18"/>
      <x:c r="G805" s="46" t="str">
        <x:v>标点与分段参考《山海经校注》；正文对读：https://ctext.org/shan-hai-jing/zhong-shan-jing/zh</x:v>
      </x:c>
      <x:c r="H805" s="47" t="e">
        <x:f t="shared" si="2">HYPERLINK("#'山海经原文总库'!A3","↩ 返回目录")</x:f>
        <x:v>HYPERLINK is not implemented. linkLocation=#'山海经原文总库'!A3, friendlyName=↩ 返回目录</x:v>
      </x:c>
      <x:c r="I805" s="437"/>
      <x:c r="J805" s="437"/>
      <x:c r="K805" s="437" t="str">
        <x:v>待同名检索｜待建档</x:v>
      </x:c>
    </x:row>
    <x:row r="806" ht="22.5" customHeight="1">
      <x:c r="A806" s="44"/>
      <x:c r="B806" s="44"/>
      <x:c r="C806" s="45"/>
      <x:c r="D806" s="44" t="str">
        <x:v>屍水</x:v>
      </x:c>
      <x:c r="E806" s="44" t="str">
        <x:v>水系</x:v>
      </x:c>
      <x:c r="F806" s="18"/>
      <x:c r="G806" s="46"/>
      <x:c r="H806" s="47" t="e">
        <x:f>HYPERLINK("#'山海经原文总库'!A3","↩ 返回目录")</x:f>
        <x:v>HYPERLINK is not implemented. linkLocation=#'山海经原文总库'!A3, friendlyName=↩ 返回目录</x:v>
      </x:c>
      <x:c r="I806" s="437"/>
      <x:c r="J806" s="437"/>
      <x:c r="K806" s="437" t="str">
        <x:v>待同名检索｜待建档</x:v>
      </x:c>
    </x:row>
    <x:row r="807" ht="22.5" customHeight="1">
      <x:c r="A807" s="44"/>
      <x:c r="B807" s="44"/>
      <x:c r="C807" s="45"/>
      <x:c r="D807" s="44" t="str">
        <x:v>洛水</x:v>
      </x:c>
      <x:c r="E807" s="44" t="str">
        <x:v>水系</x:v>
      </x:c>
      <x:c r="F807" s="18"/>
      <x:c r="G807" s="46"/>
      <x:c r="H807" s="47" t="e">
        <x:f>HYPERLINK("#'山海经原文总库'!A3","↩ 返回目录")</x:f>
        <x:v>HYPERLINK is not implemented. linkLocation=#'山海经原文总库'!A3, friendlyName=↩ 返回目录</x:v>
      </x:c>
      <x:c r="I807" s="437"/>
      <x:c r="J807" s="437"/>
      <x:c r="K807" s="437" t="str">
        <x:v>待同名检索｜待建档</x:v>
      </x:c>
    </x:row>
    <x:row r="808" ht="22.5" customHeight="1">
      <x:c r="A808" s="44"/>
      <x:c r="B808" s="44"/>
      <x:c r="C808" s="45"/>
      <x:c r="D808" s="44" t="str">
        <x:v>尸水</x:v>
      </x:c>
      <x:c r="E808" s="44" t="str">
        <x:v>水系</x:v>
      </x:c>
      <x:c r="F808" s="18"/>
      <x:c r="G808" s="46"/>
      <x:c r="H808" s="47" t="e">
        <x:f>HYPERLINK("#'山海经原文总库'!A3","↩ 返回目录")</x:f>
        <x:v>HYPERLINK is not implemented. linkLocation=#'山海经原文总库'!A3, friendlyName=↩ 返回目录</x:v>
      </x:c>
      <x:c r="I808" s="437"/>
      <x:c r="J808" s="437"/>
      <x:c r="K808" s="437" t="str">
        <x:v>待同名检索｜待建档</x:v>
      </x:c>
    </x:row>
    <x:row r="809" ht="48" customHeight="1">
      <x:c r="A809" s="44" t="str">
        <x:v>SHJ-05-048-1</x:v>
      </x:c>
      <x:c r="B809" s="44" t="str">
        <x:v>卷五 《中山經》</x:v>
      </x:c>
      <x:c r="C809" s="45" t="str">
        <x:v>又東十里，曰良余之山，其上多榖柞，無石。余水出於其陰，而北流注於河；乳水出於其陽，而東南流注於洛。</x:v>
      </x:c>
      <x:c r="D809" s="44" t="str">
        <x:v>良余之山</x:v>
      </x:c>
      <x:c r="E809" s="44" t="str">
        <x:v>山</x:v>
      </x:c>
      <x:c r="F809" s="18"/>
      <x:c r="G809" s="46" t="str">
        <x:v>标点与分段参考《山海经校注》；正文对读：https://ctext.org/shan-hai-jing/zhong-shan-jing/zh</x:v>
      </x:c>
      <x:c r="H809" s="47" t="e">
        <x:f>HYPERLINK("#'山海经原文总库'!A3","↩ 返回目录")</x:f>
        <x:v>HYPERLINK is not implemented. linkLocation=#'山海经原文总库'!A3, friendlyName=↩ 返回目录</x:v>
      </x:c>
      <x:c r="I809" s="437"/>
      <x:c r="J809" s="437"/>
      <x:c r="K809" s="437" t="str">
        <x:v>待同名检索｜待建档</x:v>
      </x:c>
    </x:row>
    <x:row r="810" ht="22.5" customHeight="1">
      <x:c r="A810" s="44"/>
      <x:c r="B810" s="44"/>
      <x:c r="C810" s="45"/>
      <x:c r="D810" s="44" t="str">
        <x:v>余水</x:v>
      </x:c>
      <x:c r="E810" s="44" t="str">
        <x:v>水系</x:v>
      </x:c>
      <x:c r="F810" s="18"/>
      <x:c r="G810" s="46"/>
      <x:c r="H810" s="47" t="e">
        <x:f>HYPERLINK("#'山海经原文总库'!A3","↩ 返回目录")</x:f>
        <x:v>HYPERLINK is not implemented. linkLocation=#'山海经原文总库'!A3, friendlyName=↩ 返回目录</x:v>
      </x:c>
      <x:c r="I810" s="437"/>
      <x:c r="J810" s="437"/>
      <x:c r="K810" s="437" t="str">
        <x:v>待同名检索｜待建档</x:v>
      </x:c>
    </x:row>
    <x:row r="811" ht="22.5" customHeight="1">
      <x:c r="A811" s="44"/>
      <x:c r="B811" s="44"/>
      <x:c r="C811" s="45"/>
      <x:c r="D811" s="44" t="str">
        <x:v>乳水</x:v>
      </x:c>
      <x:c r="E811" s="44" t="str">
        <x:v>水系</x:v>
      </x:c>
      <x:c r="F811" s="18"/>
      <x:c r="G811" s="46"/>
      <x:c r="H811" s="47" t="e">
        <x:f>HYPERLINK("#'山海经原文总库'!A3","↩ 返回目录")</x:f>
        <x:v>HYPERLINK is not implemented. linkLocation=#'山海经原文总库'!A3, friendlyName=↩ 返回目录</x:v>
      </x:c>
      <x:c r="I811" s="437"/>
      <x:c r="J811" s="437"/>
      <x:c r="K811" s="437" t="str">
        <x:v>待同名检索｜待建档</x:v>
      </x:c>
    </x:row>
    <x:row r="812" ht="22.5" customHeight="1">
      <x:c r="A812" s="44"/>
      <x:c r="B812" s="44"/>
      <x:c r="C812" s="45"/>
      <x:c r="D812" s="44" t="str">
        <x:v>河</x:v>
      </x:c>
      <x:c r="E812" s="44" t="str">
        <x:v>地理名稱</x:v>
      </x:c>
      <x:c r="F812" s="18"/>
      <x:c r="G812" s="46"/>
      <x:c r="H812" s="47" t="e">
        <x:f>HYPERLINK("#'山海经原文总库'!A3","↩ 返回目录")</x:f>
        <x:v>HYPERLINK is not implemented. linkLocation=#'山海经原文总库'!A3, friendlyName=↩ 返回目录</x:v>
      </x:c>
      <x:c r="I812" s="437"/>
      <x:c r="J812" s="437"/>
      <x:c r="K812" s="437" t="str">
        <x:v>待同名检索｜待建档</x:v>
      </x:c>
    </x:row>
    <x:row r="813" ht="48" customHeight="1">
      <x:c r="A813" s="44" t="str">
        <x:v>SHJ-05-048-2</x:v>
      </x:c>
      <x:c r="B813" s="44" t="str">
        <x:v>卷五 《中山經》</x:v>
      </x:c>
      <x:c r="C813" s="45" t="str">
        <x:v>又東南十里，曰蠱尾之山，多礪石、赤銅。龍余之水出焉，而東南流注於洛。</x:v>
      </x:c>
      <x:c r="D813" s="44" t="str">
        <x:v>蠱尾之山</x:v>
      </x:c>
      <x:c r="E813" s="44" t="str">
        <x:v>山</x:v>
      </x:c>
      <x:c r="F813" s="18"/>
      <x:c r="G813" s="46" t="str">
        <x:v>标点与分段参考《山海经校注》；正文对读：https://ctext.org/shan-hai-jing/zhong-shan-jing/zh</x:v>
      </x:c>
      <x:c r="H813" s="47" t="e">
        <x:f>HYPERLINK("#'山海经原文总库'!A3","↩ 返回目录")</x:f>
        <x:v>HYPERLINK is not implemented. linkLocation=#'山海经原文总库'!A3, friendlyName=↩ 返回目录</x:v>
      </x:c>
      <x:c r="I813" s="437"/>
      <x:c r="J813" s="437"/>
      <x:c r="K813" s="437" t="str">
        <x:v>待同名检索｜待建档</x:v>
      </x:c>
    </x:row>
    <x:row r="814" ht="22.5" customHeight="1">
      <x:c r="A814" s="44"/>
      <x:c r="B814" s="44"/>
      <x:c r="C814" s="45"/>
      <x:c r="D814" s="44" t="str">
        <x:v>龍余之水</x:v>
      </x:c>
      <x:c r="E814" s="44" t="str">
        <x:v>水系</x:v>
      </x:c>
      <x:c r="F814" s="18"/>
      <x:c r="G814" s="46"/>
      <x:c r="H814" s="47" t="e">
        <x:f>HYPERLINK("#'山海经原文总库'!A3","↩ 返回目录")</x:f>
        <x:v>HYPERLINK is not implemented. linkLocation=#'山海经原文总库'!A3, friendlyName=↩ 返回目录</x:v>
      </x:c>
      <x:c r="I814" s="437"/>
      <x:c r="J814" s="437"/>
      <x:c r="K814" s="437" t="str">
        <x:v>待同名检索｜待建档</x:v>
      </x:c>
    </x:row>
    <x:row r="815" ht="48" customHeight="1">
      <x:c r="A815" s="44" t="str">
        <x:v>SHJ-05-048-3</x:v>
      </x:c>
      <x:c r="B815" s="44" t="str">
        <x:v>卷五 《中山經》</x:v>
      </x:c>
      <x:c r="C815" s="45" t="str">
        <x:v>又東北二十里，曰升山，其木多榖柞棘，其草多藷藇蕙，多寇脫。黃酸之水出焉，而北流注於河，其中多璇玉。</x:v>
      </x:c>
      <x:c r="D815" s="44" t="str">
        <x:v>升山</x:v>
      </x:c>
      <x:c r="E815" s="44" t="str">
        <x:v>山</x:v>
      </x:c>
      <x:c r="F815" s="18"/>
      <x:c r="G815" s="46" t="str">
        <x:v>标点与分段参考《山海经校注》；正文对读：https://ctext.org/shan-hai-jing/zhong-shan-jing/zh</x:v>
      </x:c>
      <x:c r="H815" s="47" t="e">
        <x:f>HYPERLINK("#'山海经原文总库'!A3","↩ 返回目录")</x:f>
        <x:v>HYPERLINK is not implemented. linkLocation=#'山海经原文总库'!A3, friendlyName=↩ 返回目录</x:v>
      </x:c>
      <x:c r="I815" s="437"/>
      <x:c r="J815" s="437"/>
      <x:c r="K815" s="437" t="str">
        <x:v>待同名检索｜待建档</x:v>
      </x:c>
    </x:row>
    <x:row r="816" ht="22.5" customHeight="1">
      <x:c r="A816" s="44"/>
      <x:c r="B816" s="44"/>
      <x:c r="C816" s="45"/>
      <x:c r="D816" s="44" t="str">
        <x:v>黃酸之水</x:v>
      </x:c>
      <x:c r="E816" s="44" t="str">
        <x:v>水系</x:v>
      </x:c>
      <x:c r="F816" s="18"/>
      <x:c r="G816" s="46"/>
      <x:c r="H816" s="47" t="e">
        <x:f>HYPERLINK("#'山海经原文总库'!A3","↩ 返回目录")</x:f>
        <x:v>HYPERLINK is not implemented. linkLocation=#'山海经原文总库'!A3, friendlyName=↩ 返回目录</x:v>
      </x:c>
      <x:c r="I816" s="437"/>
      <x:c r="J816" s="437"/>
      <x:c r="K816" s="437" t="str">
        <x:v>待同名检索｜待建档</x:v>
      </x:c>
    </x:row>
    <x:row r="817" ht="22.5" customHeight="1">
      <x:c r="A817" s="44"/>
      <x:c r="B817" s="44"/>
      <x:c r="C817" s="45"/>
      <x:c r="D817" s="44" t="str">
        <x:v>河</x:v>
      </x:c>
      <x:c r="E817" s="44" t="str">
        <x:v>地理名稱</x:v>
      </x:c>
      <x:c r="F817" s="18"/>
      <x:c r="G817" s="46"/>
      <x:c r="H817" s="47" t="e">
        <x:f>HYPERLINK("#'山海经原文总库'!A3","↩ 返回目录")</x:f>
        <x:v>HYPERLINK is not implemented. linkLocation=#'山海经原文总库'!A3, friendlyName=↩ 返回目录</x:v>
      </x:c>
      <x:c r="I817" s="437"/>
      <x:c r="J817" s="437"/>
      <x:c r="K817" s="437" t="str">
        <x:v>待同名检索｜待建档</x:v>
      </x:c>
    </x:row>
    <x:row r="818" ht="48" customHeight="1">
      <x:c r="A818" s="44" t="str">
        <x:v>SHJ-05-049</x:v>
      </x:c>
      <x:c r="B818" s="44" t="str">
        <x:v>卷五 《中山經》</x:v>
      </x:c>
      <x:c r="C818" s="45" t="str">
        <x:v>又東十二里，曰陽虛之山，多金，臨於玄扈之水。</x:v>
      </x:c>
      <x:c r="D818" s="44" t="str">
        <x:v>陽虛之山</x:v>
      </x:c>
      <x:c r="E818" s="44" t="str">
        <x:v>山</x:v>
      </x:c>
      <x:c r="F818" s="18"/>
      <x:c r="G818" s="46" t="str">
        <x:v>标点与分段参考《山海经校注》；正文对读：https://ctext.org/shan-hai-jing/zhong-shan-jing/zh</x:v>
      </x:c>
      <x:c r="H818" s="47" t="e">
        <x:f>HYPERLINK("#'山海经原文总库'!A3","↩ 返回目录")</x:f>
        <x:v>HYPERLINK is not implemented. linkLocation=#'山海经原文总库'!A3, friendlyName=↩ 返回目录</x:v>
      </x:c>
      <x:c r="I818" s="437"/>
      <x:c r="J818" s="437"/>
      <x:c r="K818" s="437" t="str">
        <x:v>待同名检索｜待建档</x:v>
      </x:c>
    </x:row>
    <x:row r="819" ht="22.5" customHeight="1">
      <x:c r="A819" s="44"/>
      <x:c r="B819" s="44"/>
      <x:c r="C819" s="45"/>
      <x:c r="D819" s="44" t="str">
        <x:v>玄扈之水</x:v>
      </x:c>
      <x:c r="E819" s="44" t="str">
        <x:v>水系</x:v>
      </x:c>
      <x:c r="F819" s="18"/>
      <x:c r="G819" s="46"/>
      <x:c r="H819" s="47" t="e">
        <x:f>HYPERLINK("#'山海经原文总库'!A3","↩ 返回目录")</x:f>
        <x:v>HYPERLINK is not implemented. linkLocation=#'山海经原文总库'!A3, friendlyName=↩ 返回目录</x:v>
      </x:c>
      <x:c r="I819" s="437"/>
      <x:c r="J819" s="437"/>
      <x:c r="K819" s="437" t="str">
        <x:v>待同名检索｜待建档</x:v>
      </x:c>
    </x:row>
    <x:row r="820" ht="64.5" customHeight="1">
      <x:c r="A820" s="44" t="str">
        <x:v>SHJ-05-050-1</x:v>
      </x:c>
      <x:c r="B820" s="44" t="str">
        <x:v>卷五 《中山經》</x:v>
      </x:c>
      <x:c r="C820" s="45" t="str">
        <x:v>凡薄山之首，自苟林之山至於陽虛之山，凡十六山，二千九百八十二里。升山冢也，其祠禮：太牢，嬰用吉玉。首山（鬼申）也，其祠用稌、黑犧、太牢之具、糱釀；乾，置鼓；嬰用一璧。屍水，合天也，肥牲祠之，用一黑犬於上，用一雌雞於下，刉一牝羊，獻血。嬰用吉玉，採之，饗之。</x:v>
      </x:c>
      <x:c r="D820" s="44" t="str">
        <x:v>苟林之山至於陽虛之山</x:v>
      </x:c>
      <x:c r="E820" s="44" t="str">
        <x:v>山</x:v>
      </x:c>
      <x:c r="F820" s="18"/>
      <x:c r="G820" s="46" t="str">
        <x:v>标点与分段参考《山海经校注》；正文对读：https://ctext.org/shan-hai-jing/zhong-shan-jing/zh</x:v>
      </x:c>
      <x:c r="H820" s="47" t="e">
        <x:f>HYPERLINK("#'山海经原文总库'!A3","↩ 返回目录")</x:f>
        <x:v>HYPERLINK is not implemented. linkLocation=#'山海经原文总库'!A3, friendlyName=↩ 返回目录</x:v>
      </x:c>
      <x:c r="I820" s="437"/>
      <x:c r="J820" s="437"/>
      <x:c r="K820" s="437" t="str">
        <x:v>待同名检索｜待建档</x:v>
      </x:c>
    </x:row>
    <x:row r="821" ht="22.5" customHeight="1">
      <x:c r="A821" s="44"/>
      <x:c r="B821" s="44"/>
      <x:c r="C821" s="45"/>
      <x:c r="D821" s="44" t="str">
        <x:v>苟林</x:v>
      </x:c>
      <x:c r="E821" s="44" t="str">
        <x:v>區域</x:v>
      </x:c>
      <x:c r="F821" s="18"/>
      <x:c r="G821" s="46"/>
      <x:c r="H821" s="47" t="e">
        <x:f>HYPERLINK("#'山海经原文总库'!A3","↩ 返回目录")</x:f>
        <x:v>HYPERLINK is not implemented. linkLocation=#'山海经原文总库'!A3, friendlyName=↩ 返回目录</x:v>
      </x:c>
      <x:c r="I821" s="437"/>
      <x:c r="J821" s="437"/>
      <x:c r="K821" s="437" t="str">
        <x:v>待同名检索｜待建档</x:v>
      </x:c>
    </x:row>
    <x:row r="822" ht="22.5" customHeight="1">
      <x:c r="A822" s="44"/>
      <x:c r="B822" s="44"/>
      <x:c r="C822" s="45"/>
      <x:c r="D822" s="44" t="str">
        <x:v>平逢之山</x:v>
      </x:c>
      <x:c r="E822" s="44" t="str">
        <x:v>山</x:v>
      </x:c>
      <x:c r="F822" s="18"/>
      <x:c r="G822" s="46"/>
      <x:c r="H822" s="47" t="e">
        <x:f>HYPERLINK("#'山海经原文总库'!A3","↩ 返回目录")</x:f>
        <x:v>HYPERLINK is not implemented. linkLocation=#'山海经原文总库'!A3, friendlyName=↩ 返回目录</x:v>
      </x:c>
      <x:c r="I822" s="437"/>
      <x:c r="J822" s="437"/>
      <x:c r="K822" s="437" t="str">
        <x:v>待同名检索｜待建档</x:v>
      </x:c>
    </x:row>
    <x:row r="823" ht="48" customHeight="1">
      <x:c r="A823" s="44" t="str">
        <x:v>SHJ-05-050-2</x:v>
      </x:c>
      <x:c r="B823" s="44" t="str">
        <x:v>卷五 《中山經》</x:v>
      </x:c>
      <x:c r="C823" s="45" t="str">
        <x:v>中次六經縞羝山之首，曰平逢之山，南望伊洛，東望谷城之山，無草木，無水，多沙石。有神焉，其狀如人而二首，名曰驕蟲，是為螫蟲，實惟蜂蜜之廬。其祠之：用一雄雞，禳而勿殺。</x:v>
      </x:c>
      <x:c r="D823" s="44" t="str">
        <x:v>平逢之山</x:v>
      </x:c>
      <x:c r="E823" s="44" t="str">
        <x:v>山</x:v>
      </x:c>
      <x:c r="F823" s="18"/>
      <x:c r="G823" s="46" t="str">
        <x:v>标点与分段参考《山海经校注》；正文对读：https://ctext.org/shan-hai-jing/zhong-shan-jing/zh</x:v>
      </x:c>
      <x:c r="H823" s="47" t="e">
        <x:f>HYPERLINK("#'山海经原文总库'!A3","↩ 返回目录")</x:f>
        <x:v>HYPERLINK is not implemented. linkLocation=#'山海经原文总库'!A3, friendlyName=↩ 返回目录</x:v>
      </x:c>
      <x:c r="I823" s="437"/>
      <x:c r="J823" s="437"/>
      <x:c r="K823" s="437" t="str">
        <x:v>待同名检索｜待建档</x:v>
      </x:c>
    </x:row>
    <x:row r="824" ht="22.5" customHeight="1">
      <x:c r="A824" s="44"/>
      <x:c r="B824" s="44"/>
      <x:c r="C824" s="45"/>
      <x:c r="D824" s="44" t="str">
        <x:v>谷城</x:v>
      </x:c>
      <x:c r="E824" s="44" t="str">
        <x:v>聚落／區域</x:v>
      </x:c>
      <x:c r="F824" s="18"/>
      <x:c r="G824" s="46"/>
      <x:c r="H824" s="47" t="e">
        <x:f>HYPERLINK("#'山海经原文总库'!A3","↩ 返回目录")</x:f>
        <x:v>HYPERLINK is not implemented. linkLocation=#'山海经原文总库'!A3, friendlyName=↩ 返回目录</x:v>
      </x:c>
      <x:c r="I824" s="437"/>
      <x:c r="J824" s="437"/>
      <x:c r="K824" s="437" t="str">
        <x:v>待同名检索｜待建档</x:v>
      </x:c>
    </x:row>
    <x:row r="825" ht="22.5" customHeight="1">
      <x:c r="A825" s="44"/>
      <x:c r="B825" s="44"/>
      <x:c r="C825" s="45"/>
      <x:c r="D825" s="44" t="str">
        <x:v>伊洛</x:v>
      </x:c>
      <x:c r="E825" s="44" t="str">
        <x:v>地理名稱</x:v>
      </x:c>
      <x:c r="F825" s="18"/>
      <x:c r="G825" s="46"/>
      <x:c r="H825" s="47" t="e">
        <x:f>HYPERLINK("#'山海经原文总库'!A3","↩ 返回目录")</x:f>
        <x:v>HYPERLINK is not implemented. linkLocation=#'山海经原文总库'!A3, friendlyName=↩ 返回目录</x:v>
      </x:c>
      <x:c r="I825" s="437"/>
      <x:c r="J825" s="437"/>
      <x:c r="K825" s="437" t="str">
        <x:v>待同名检索｜待建档</x:v>
      </x:c>
    </x:row>
    <x:row r="826" ht="22.5" customHeight="1">
      <x:c r="A826" s="44"/>
      <x:c r="B826" s="44"/>
      <x:c r="C826" s="45"/>
      <x:c r="D826" s="44" t="str">
        <x:v>谷城之山</x:v>
      </x:c>
      <x:c r="E826" s="44" t="str">
        <x:v>地理名稱</x:v>
      </x:c>
      <x:c r="F826" s="18"/>
      <x:c r="G826" s="46"/>
      <x:c r="H826" s="47" t="e">
        <x:f>HYPERLINK("#'山海经原文总库'!A3","↩ 返回目录")</x:f>
        <x:v>HYPERLINK is not implemented. linkLocation=#'山海经原文总库'!A3, friendlyName=↩ 返回目录</x:v>
      </x:c>
      <x:c r="I826" s="437"/>
      <x:c r="J826" s="437"/>
      <x:c r="K826" s="437" t="str">
        <x:v>待同名检索｜待建档</x:v>
      </x:c>
    </x:row>
    <x:row r="827" ht="48" customHeight="1">
      <x:c r="A827" s="44" t="str">
        <x:v>SHJ-05-051</x:v>
      </x:c>
      <x:c r="B827" s="44" t="str">
        <x:v>卷五 《中山經》</x:v>
      </x:c>
      <x:c r="C827" s="45" t="str">
        <x:v>西十里，曰縞羝之山，無草木，多金玉。</x:v>
      </x:c>
      <x:c r="D827" s="44" t="str">
        <x:v>縞羝之山</x:v>
      </x:c>
      <x:c r="E827" s="44" t="str">
        <x:v>山</x:v>
      </x:c>
      <x:c r="F827" s="18"/>
      <x:c r="G827" s="46" t="str">
        <x:v>标点与分段参考《山海经校注》；正文对读：https://ctext.org/shan-hai-jing/zhong-shan-jing/zh</x:v>
      </x:c>
      <x:c r="H827" s="47" t="e">
        <x:f>HYPERLINK("#'山海经原文总库'!A3","↩ 返回目录")</x:f>
        <x:v>HYPERLINK is not implemented. linkLocation=#'山海经原文总库'!A3, friendlyName=↩ 返回目录</x:v>
      </x:c>
      <x:c r="I827" s="437"/>
      <x:c r="J827" s="437"/>
      <x:c r="K827" s="437" t="str">
        <x:v>待同名检索｜待建档</x:v>
      </x:c>
    </x:row>
    <x:row r="828" ht="64.5" customHeight="1">
      <x:c r="A828" s="44" t="str">
        <x:v>SHJ-05-052</x:v>
      </x:c>
      <x:c r="B828" s="44" t="str">
        <x:v>卷五 《中山經》</x:v>
      </x:c>
      <x:c r="C828" s="45" t="str">
        <x:v>又西十里，曰廆山，其陰多（王雩）琈之玉。其西有谷焉，名曰雚谷，其木多柳楮。其中有鳥焉，狀如山雞而長尾，赤如丹火而青喙，名曰鴒（要鳥），其鳴自呼，服之不眯。交觴之水出於其陽，而南流注於洛；俞隨之水出於其陰，而北流注於榖水。</x:v>
      </x:c>
      <x:c r="D828" s="44" t="str">
        <x:v>廆山</x:v>
      </x:c>
      <x:c r="E828" s="44" t="str">
        <x:v>山</x:v>
      </x:c>
      <x:c r="F828" s="18"/>
      <x:c r="G828" s="46" t="str">
        <x:v>标点与分段参考《山海经校注》；正文对读：https://ctext.org/shan-hai-jing/zhong-shan-jing/zh</x:v>
      </x:c>
      <x:c r="H828" s="47" t="e">
        <x:f>HYPERLINK("#'山海经原文总库'!A3","↩ 返回目录")</x:f>
        <x:v>HYPERLINK is not implemented. linkLocation=#'山海经原文总库'!A3, friendlyName=↩ 返回目录</x:v>
      </x:c>
      <x:c r="I828" s="437"/>
      <x:c r="J828" s="437"/>
      <x:c r="K828" s="437" t="str">
        <x:v>待同名检索｜待建档</x:v>
      </x:c>
    </x:row>
    <x:row r="829" ht="22.5" customHeight="1">
      <x:c r="A829" s="44"/>
      <x:c r="B829" s="44"/>
      <x:c r="C829" s="45"/>
      <x:c r="D829" s="44" t="str">
        <x:v>交觴之水</x:v>
      </x:c>
      <x:c r="E829" s="44" t="str">
        <x:v>水系</x:v>
      </x:c>
      <x:c r="F829" s="18"/>
      <x:c r="G829" s="46"/>
      <x:c r="H829" s="47" t="e">
        <x:f>HYPERLINK("#'山海经原文总库'!A3","↩ 返回目录")</x:f>
        <x:v>HYPERLINK is not implemented. linkLocation=#'山海经原文总库'!A3, friendlyName=↩ 返回目录</x:v>
      </x:c>
      <x:c r="I829" s="437"/>
      <x:c r="J829" s="437"/>
      <x:c r="K829" s="437" t="str">
        <x:v>待同名检索｜待建档</x:v>
      </x:c>
    </x:row>
    <x:row r="830" ht="22.5" customHeight="1">
      <x:c r="A830" s="44"/>
      <x:c r="B830" s="44"/>
      <x:c r="C830" s="45"/>
      <x:c r="D830" s="44" t="str">
        <x:v>俞隨之水</x:v>
      </x:c>
      <x:c r="E830" s="44" t="str">
        <x:v>水系</x:v>
      </x:c>
      <x:c r="F830" s="18"/>
      <x:c r="G830" s="46"/>
      <x:c r="H830" s="47" t="e">
        <x:f>HYPERLINK("#'山海经原文总库'!A3","↩ 返回目录")</x:f>
        <x:v>HYPERLINK is not implemented. linkLocation=#'山海经原文总库'!A3, friendlyName=↩ 返回目录</x:v>
      </x:c>
      <x:c r="I830" s="437"/>
      <x:c r="J830" s="437"/>
      <x:c r="K830" s="437" t="str">
        <x:v>待同名检索｜待建档</x:v>
      </x:c>
    </x:row>
    <x:row r="831" ht="22.5" customHeight="1">
      <x:c r="A831" s="44"/>
      <x:c r="B831" s="44"/>
      <x:c r="C831" s="45"/>
      <x:c r="D831" s="44" t="str">
        <x:v>榖水</x:v>
      </x:c>
      <x:c r="E831" s="44" t="str">
        <x:v>水系</x:v>
      </x:c>
      <x:c r="F831" s="18"/>
      <x:c r="G831" s="46"/>
      <x:c r="H831" s="47" t="e">
        <x:f>HYPERLINK("#'山海经原文总库'!A3","↩ 返回目录")</x:f>
        <x:v>HYPERLINK is not implemented. linkLocation=#'山海经原文总库'!A3, friendlyName=↩ 返回目录</x:v>
      </x:c>
      <x:c r="I831" s="437"/>
      <x:c r="J831" s="437"/>
      <x:c r="K831" s="437" t="str">
        <x:v>待同名检索｜待建档</x:v>
      </x:c>
    </x:row>
    <x:row r="832" ht="22.5" customHeight="1">
      <x:c r="A832" s="44"/>
      <x:c r="B832" s="44"/>
      <x:c r="C832" s="45"/>
      <x:c r="D832" s="44" t="str">
        <x:v>雚谷</x:v>
      </x:c>
      <x:c r="E832" s="44" t="str">
        <x:v>區域</x:v>
      </x:c>
      <x:c r="F832" s="18"/>
      <x:c r="G832" s="46"/>
      <x:c r="H832" s="47" t="e">
        <x:f>HYPERLINK("#'山海经原文总库'!A3","↩ 返回目录")</x:f>
        <x:v>HYPERLINK is not implemented. linkLocation=#'山海经原文总库'!A3, friendlyName=↩ 返回目录</x:v>
      </x:c>
      <x:c r="I832" s="437"/>
      <x:c r="J832" s="437"/>
      <x:c r="K832" s="437" t="str">
        <x:v>待同名检索｜待建档</x:v>
      </x:c>
    </x:row>
    <x:row r="833" ht="22.5" customHeight="1">
      <x:c r="A833" s="44"/>
      <x:c r="B833" s="44"/>
      <x:c r="C833" s="45"/>
      <x:c r="D833" s="44" t="str">
        <x:v>穀水</x:v>
      </x:c>
      <x:c r="E833" s="44" t="str">
        <x:v>水系</x:v>
      </x:c>
      <x:c r="F833" s="18"/>
      <x:c r="G833" s="46"/>
      <x:c r="H833" s="47" t="e">
        <x:f>HYPERLINK("#'山海经原文总库'!A3","↩ 返回目录")</x:f>
        <x:v>HYPERLINK is not implemented. linkLocation=#'山海经原文总库'!A3, friendlyName=↩ 返回目录</x:v>
      </x:c>
      <x:c r="I833" s="437"/>
      <x:c r="J833" s="437"/>
      <x:c r="K833" s="437" t="str">
        <x:v>待同名检索｜待建档</x:v>
      </x:c>
    </x:row>
    <x:row r="834" ht="48" customHeight="1">
      <x:c r="A834" s="44" t="str">
        <x:v>SHJ-05-053</x:v>
      </x:c>
      <x:c r="B834" s="44" t="str">
        <x:v>卷五 《中山經》</x:v>
      </x:c>
      <x:c r="C834" s="45" t="str">
        <x:v>又西三十里，曰瞻諸之山，其陽多金，其陰多文石。（水射）水出焉，而東南流注於洛；少水出其陰，而東流注於谷水。</x:v>
      </x:c>
      <x:c r="D834" s="44" t="str">
        <x:v>瞻諸之山</x:v>
      </x:c>
      <x:c r="E834" s="44" t="str">
        <x:v>山</x:v>
      </x:c>
      <x:c r="F834" s="18"/>
      <x:c r="G834" s="46" t="str">
        <x:v>标点与分段参考《山海经校注》；正文对读：https://ctext.org/shan-hai-jing/zhong-shan-jing/zh</x:v>
      </x:c>
      <x:c r="H834" s="47" t="e">
        <x:f>HYPERLINK("#'山海经原文总库'!A3","↩ 返回目录")</x:f>
        <x:v>HYPERLINK is not implemented. linkLocation=#'山海经原文总库'!A3, friendlyName=↩ 返回目录</x:v>
      </x:c>
      <x:c r="I834" s="437"/>
      <x:c r="J834" s="437"/>
      <x:c r="K834" s="437" t="str">
        <x:v>待同名检索｜待建档</x:v>
      </x:c>
    </x:row>
    <x:row r="835" ht="22.5" customHeight="1">
      <x:c r="A835" s="44"/>
      <x:c r="B835" s="44"/>
      <x:c r="C835" s="45"/>
      <x:c r="D835" s="44" t="str">
        <x:v>谷水</x:v>
      </x:c>
      <x:c r="E835" s="44" t="str">
        <x:v>水系</x:v>
      </x:c>
      <x:c r="F835" s="18"/>
      <x:c r="G835" s="46"/>
      <x:c r="H835" s="47" t="e">
        <x:f>HYPERLINK("#'山海经原文总库'!A3","↩ 返回目录")</x:f>
        <x:v>HYPERLINK is not implemented. linkLocation=#'山海经原文总库'!A3, friendlyName=↩ 返回目录</x:v>
      </x:c>
      <x:c r="I835" s="437"/>
      <x:c r="J835" s="437"/>
      <x:c r="K835" s="437" t="str">
        <x:v>待同名检索｜待建档</x:v>
      </x:c>
    </x:row>
    <x:row r="836" ht="22.5" customHeight="1">
      <x:c r="A836" s="44"/>
      <x:c r="B836" s="44"/>
      <x:c r="C836" s="45"/>
      <x:c r="D836" s="44" t="str">
        <x:v>㴬水</x:v>
      </x:c>
      <x:c r="E836" s="44" t="str">
        <x:v>水系</x:v>
      </x:c>
      <x:c r="F836" s="18"/>
      <x:c r="G836" s="46"/>
      <x:c r="H836" s="47" t="e">
        <x:f>HYPERLINK("#'山海经原文总库'!A3","↩ 返回目录")</x:f>
        <x:v>HYPERLINK is not implemented. linkLocation=#'山海经原文总库'!A3, friendlyName=↩ 返回目录</x:v>
      </x:c>
      <x:c r="I836" s="437"/>
      <x:c r="J836" s="437"/>
      <x:c r="K836" s="437" t="str">
        <x:v>待同名检索｜待建档</x:v>
      </x:c>
    </x:row>
    <x:row r="837" ht="22.5" customHeight="1">
      <x:c r="A837" s="44"/>
      <x:c r="B837" s="44"/>
      <x:c r="C837" s="45"/>
      <x:c r="D837" s="44" t="str">
        <x:v>少水</x:v>
      </x:c>
      <x:c r="E837" s="44" t="str">
        <x:v>水系</x:v>
      </x:c>
      <x:c r="F837" s="18"/>
      <x:c r="G837" s="46"/>
      <x:c r="H837" s="47" t="e">
        <x:f>HYPERLINK("#'山海经原文总库'!A3","↩ 返回目录")</x:f>
        <x:v>HYPERLINK is not implemented. linkLocation=#'山海经原文总库'!A3, friendlyName=↩ 返回目录</x:v>
      </x:c>
      <x:c r="I837" s="437"/>
      <x:c r="J837" s="437"/>
      <x:c r="K837" s="437" t="str">
        <x:v>待同名检索｜待建档</x:v>
      </x:c>
    </x:row>
    <x:row r="838" ht="22.5" customHeight="1">
      <x:c r="A838" s="44"/>
      <x:c r="B838" s="44"/>
      <x:c r="C838" s="45"/>
      <x:c r="D838" s="44" t="str">
        <x:v>穀水</x:v>
      </x:c>
      <x:c r="E838" s="44" t="str">
        <x:v>水系</x:v>
      </x:c>
      <x:c r="F838" s="18"/>
      <x:c r="G838" s="46"/>
      <x:c r="H838" s="47" t="e">
        <x:f>HYPERLINK("#'山海经原文总库'!A3","↩ 返回目录")</x:f>
        <x:v>HYPERLINK is not implemented. linkLocation=#'山海经原文总库'!A3, friendlyName=↩ 返回目录</x:v>
      </x:c>
      <x:c r="I838" s="437"/>
      <x:c r="J838" s="437"/>
      <x:c r="K838" s="437" t="str">
        <x:v>待同名检索｜待建档</x:v>
      </x:c>
    </x:row>
    <x:row r="839" ht="48" customHeight="1">
      <x:c r="A839" s="44" t="str">
        <x:v>SHJ-05-054</x:v>
      </x:c>
      <x:c r="B839" s="44" t="str">
        <x:v>卷五 《中山經》</x:v>
      </x:c>
      <x:c r="C839" s="45" t="str">
        <x:v>又西三十里，曰婁涿之山，無草木，多金玉。瞻水出於其陽，而東流注於洛；陂水出於其陰，而北流注於谷水，其中多茈石、文石。</x:v>
      </x:c>
      <x:c r="D839" s="44" t="str">
        <x:v>婁涿之山</x:v>
      </x:c>
      <x:c r="E839" s="44" t="str">
        <x:v>山</x:v>
      </x:c>
      <x:c r="F839" s="18"/>
      <x:c r="G839" s="46" t="str">
        <x:v>标点与分段参考《山海经校注》；正文对读：https://ctext.org/shan-hai-jing/zhong-shan-jing/zh</x:v>
      </x:c>
      <x:c r="H839" s="47" t="e">
        <x:f>HYPERLINK("#'山海经原文总库'!A3","↩ 返回目录")</x:f>
        <x:v>HYPERLINK is not implemented. linkLocation=#'山海经原文总库'!A3, friendlyName=↩ 返回目录</x:v>
      </x:c>
      <x:c r="I839" s="437"/>
      <x:c r="J839" s="437"/>
      <x:c r="K839" s="437" t="str">
        <x:v>待同名检索｜待建档</x:v>
      </x:c>
    </x:row>
    <x:row r="840" ht="22.5" customHeight="1">
      <x:c r="A840" s="44"/>
      <x:c r="B840" s="44"/>
      <x:c r="C840" s="45"/>
      <x:c r="D840" s="44" t="str">
        <x:v>瞻水</x:v>
      </x:c>
      <x:c r="E840" s="44" t="str">
        <x:v>水系</x:v>
      </x:c>
      <x:c r="F840" s="18"/>
      <x:c r="G840" s="46"/>
      <x:c r="H840" s="47" t="e">
        <x:f>HYPERLINK("#'山海经原文总库'!A3","↩ 返回目录")</x:f>
        <x:v>HYPERLINK is not implemented. linkLocation=#'山海经原文总库'!A3, friendlyName=↩ 返回目录</x:v>
      </x:c>
      <x:c r="I840" s="437"/>
      <x:c r="J840" s="437"/>
      <x:c r="K840" s="437" t="str">
        <x:v>待同名检索｜待建档</x:v>
      </x:c>
    </x:row>
    <x:row r="841" ht="22.5" customHeight="1">
      <x:c r="A841" s="44"/>
      <x:c r="B841" s="44"/>
      <x:c r="C841" s="45"/>
      <x:c r="D841" s="44" t="str">
        <x:v>陂水</x:v>
      </x:c>
      <x:c r="E841" s="44" t="str">
        <x:v>水系</x:v>
      </x:c>
      <x:c r="F841" s="18"/>
      <x:c r="G841" s="46"/>
      <x:c r="H841" s="47" t="e">
        <x:f>HYPERLINK("#'山海经原文总库'!A3","↩ 返回目录")</x:f>
        <x:v>HYPERLINK is not implemented. linkLocation=#'山海经原文总库'!A3, friendlyName=↩ 返回目录</x:v>
      </x:c>
      <x:c r="I841" s="437"/>
      <x:c r="J841" s="437"/>
      <x:c r="K841" s="437" t="str">
        <x:v>待同名检索｜待建档</x:v>
      </x:c>
    </x:row>
    <x:row r="842" ht="22.5" customHeight="1">
      <x:c r="A842" s="44"/>
      <x:c r="B842" s="44"/>
      <x:c r="C842" s="45"/>
      <x:c r="D842" s="44" t="str">
        <x:v>谷水</x:v>
      </x:c>
      <x:c r="E842" s="44" t="str">
        <x:v>水系</x:v>
      </x:c>
      <x:c r="F842" s="18"/>
      <x:c r="G842" s="46"/>
      <x:c r="H842" s="47" t="e">
        <x:f>HYPERLINK("#'山海经原文总库'!A3","↩ 返回目录")</x:f>
        <x:v>HYPERLINK is not implemented. linkLocation=#'山海经原文总库'!A3, friendlyName=↩ 返回目录</x:v>
      </x:c>
      <x:c r="I842" s="437"/>
      <x:c r="J842" s="437"/>
      <x:c r="K842" s="437" t="str">
        <x:v>待同名检索｜待建档</x:v>
      </x:c>
    </x:row>
    <x:row r="843" ht="48" customHeight="1">
      <x:c r="A843" s="44" t="str">
        <x:v>SHJ-05-055</x:v>
      </x:c>
      <x:c r="B843" s="44" t="str">
        <x:v>卷五 《中山經》</x:v>
      </x:c>
      <x:c r="C843" s="45" t="str">
        <x:v>又西四十里，曰白石之山。惠水出於其陽，而南流注於洛，其中多水玉。澗水出於其陰，西北流注於谷水，其中多麋石、櫨丹。</x:v>
      </x:c>
      <x:c r="D843" s="44" t="str">
        <x:v>白石之山</x:v>
      </x:c>
      <x:c r="E843" s="44" t="str">
        <x:v>山</x:v>
      </x:c>
      <x:c r="F843" s="18"/>
      <x:c r="G843" s="46" t="str">
        <x:v>标点与分段参考《山海经校注》；正文对读：https://ctext.org/shan-hai-jing/zhong-shan-jing/zh</x:v>
      </x:c>
      <x:c r="H843" s="47" t="e">
        <x:f>HYPERLINK("#'山海经原文总库'!A3","↩ 返回目录")</x:f>
        <x:v>HYPERLINK is not implemented. linkLocation=#'山海经原文总库'!A3, friendlyName=↩ 返回目录</x:v>
      </x:c>
      <x:c r="I843" s="437"/>
      <x:c r="J843" s="437"/>
      <x:c r="K843" s="437" t="str">
        <x:v>待同名检索｜待建档</x:v>
      </x:c>
    </x:row>
    <x:row r="844" ht="22.5" customHeight="1">
      <x:c r="A844" s="44"/>
      <x:c r="B844" s="44"/>
      <x:c r="C844" s="45"/>
      <x:c r="D844" s="44" t="str">
        <x:v>惠水</x:v>
      </x:c>
      <x:c r="E844" s="44" t="str">
        <x:v>水系</x:v>
      </x:c>
      <x:c r="F844" s="18"/>
      <x:c r="G844" s="46"/>
      <x:c r="H844" s="47" t="e">
        <x:f>HYPERLINK("#'山海经原文总库'!A3","↩ 返回目录")</x:f>
        <x:v>HYPERLINK is not implemented. linkLocation=#'山海经原文总库'!A3, friendlyName=↩ 返回目录</x:v>
      </x:c>
      <x:c r="I844" s="437"/>
      <x:c r="J844" s="437"/>
      <x:c r="K844" s="437" t="str">
        <x:v>待同名检索｜待建档</x:v>
      </x:c>
    </x:row>
    <x:row r="845" ht="22.5" customHeight="1">
      <x:c r="A845" s="44"/>
      <x:c r="B845" s="44"/>
      <x:c r="C845" s="45"/>
      <x:c r="D845" s="44" t="str">
        <x:v>澗水</x:v>
      </x:c>
      <x:c r="E845" s="44" t="str">
        <x:v>水系</x:v>
      </x:c>
      <x:c r="F845" s="18"/>
      <x:c r="G845" s="46"/>
      <x:c r="H845" s="47" t="e">
        <x:f>HYPERLINK("#'山海经原文总库'!A3","↩ 返回目录")</x:f>
        <x:v>HYPERLINK is not implemented. linkLocation=#'山海经原文总库'!A3, friendlyName=↩ 返回目录</x:v>
      </x:c>
      <x:c r="I845" s="437"/>
      <x:c r="J845" s="437"/>
      <x:c r="K845" s="437" t="str">
        <x:v>待同名检索｜待建档</x:v>
      </x:c>
    </x:row>
    <x:row r="846" ht="22.5" customHeight="1">
      <x:c r="A846" s="44"/>
      <x:c r="B846" s="44"/>
      <x:c r="C846" s="45"/>
      <x:c r="D846" s="44" t="str">
        <x:v>谷水</x:v>
      </x:c>
      <x:c r="E846" s="44" t="str">
        <x:v>水系</x:v>
      </x:c>
      <x:c r="F846" s="18"/>
      <x:c r="G846" s="46"/>
      <x:c r="H846" s="47" t="e">
        <x:f>HYPERLINK("#'山海经原文总库'!A3","↩ 返回目录")</x:f>
        <x:v>HYPERLINK is not implemented. linkLocation=#'山海经原文总库'!A3, friendlyName=↩ 返回目录</x:v>
      </x:c>
      <x:c r="I846" s="437"/>
      <x:c r="J846" s="437"/>
      <x:c r="K846" s="437" t="str">
        <x:v>待同名检索｜待建档</x:v>
      </x:c>
    </x:row>
    <x:row r="847" ht="22.5" customHeight="1">
      <x:c r="A847" s="44"/>
      <x:c r="B847" s="44"/>
      <x:c r="C847" s="45"/>
      <x:c r="D847" s="44" t="str">
        <x:v>流注於谷</x:v>
      </x:c>
      <x:c r="E847" s="44" t="str">
        <x:v>區域</x:v>
      </x:c>
      <x:c r="F847" s="18"/>
      <x:c r="G847" s="46"/>
      <x:c r="H847" s="47" t="e">
        <x:f>HYPERLINK("#'山海经原文总库'!A3","↩ 返回目录")</x:f>
        <x:v>HYPERLINK is not implemented. linkLocation=#'山海经原文总库'!A3, friendlyName=↩ 返回目录</x:v>
      </x:c>
      <x:c r="I847" s="437"/>
      <x:c r="J847" s="437"/>
      <x:c r="K847" s="437" t="str">
        <x:v>待同名检索｜待建档</x:v>
      </x:c>
    </x:row>
    <x:row r="848" ht="48" customHeight="1">
      <x:c r="A848" s="44" t="str">
        <x:v>SHJ-05-056</x:v>
      </x:c>
      <x:c r="B848" s="44" t="str">
        <x:v>卷五 《中山經》</x:v>
      </x:c>
      <x:c r="C848" s="45" t="str">
        <x:v>又西五十里，曰谷山，其上多谷，其下多桑。爽水出焉，而西北流注於谷水，其中多碧綠。</x:v>
      </x:c>
      <x:c r="D848" s="44" t="str">
        <x:v>谷山</x:v>
      </x:c>
      <x:c r="E848" s="44" t="str">
        <x:v>山</x:v>
      </x:c>
      <x:c r="F848" s="18"/>
      <x:c r="G848" s="46" t="str">
        <x:v>标点与分段参考《山海经校注》；正文对读：https://ctext.org/shan-hai-jing/zhong-shan-jing/zh</x:v>
      </x:c>
      <x:c r="H848" s="47" t="e">
        <x:f>HYPERLINK("#'山海经原文总库'!A3","↩ 返回目录")</x:f>
        <x:v>HYPERLINK is not implemented. linkLocation=#'山海经原文总库'!A3, friendlyName=↩ 返回目录</x:v>
      </x:c>
      <x:c r="I848" s="437"/>
      <x:c r="J848" s="437"/>
      <x:c r="K848" s="437" t="str">
        <x:v>待同名检索｜待建档</x:v>
      </x:c>
    </x:row>
    <x:row r="849" ht="22.5" customHeight="1">
      <x:c r="A849" s="44"/>
      <x:c r="B849" s="44"/>
      <x:c r="C849" s="45"/>
      <x:c r="D849" s="44" t="str">
        <x:v>爽水</x:v>
      </x:c>
      <x:c r="E849" s="44" t="str">
        <x:v>水系</x:v>
      </x:c>
      <x:c r="F849" s="18"/>
      <x:c r="G849" s="46"/>
      <x:c r="H849" s="47" t="e">
        <x:f>HYPERLINK("#'山海经原文总库'!A3","↩ 返回目录")</x:f>
        <x:v>HYPERLINK is not implemented. linkLocation=#'山海经原文总库'!A3, friendlyName=↩ 返回目录</x:v>
      </x:c>
      <x:c r="I849" s="437"/>
      <x:c r="J849" s="437"/>
      <x:c r="K849" s="437" t="str">
        <x:v>待同名检索｜待建档</x:v>
      </x:c>
    </x:row>
    <x:row r="850" ht="22.5" customHeight="1">
      <x:c r="A850" s="44"/>
      <x:c r="B850" s="44"/>
      <x:c r="C850" s="45"/>
      <x:c r="D850" s="44" t="str">
        <x:v>谷水</x:v>
      </x:c>
      <x:c r="E850" s="44" t="str">
        <x:v>水系</x:v>
      </x:c>
      <x:c r="F850" s="18"/>
      <x:c r="G850" s="46"/>
      <x:c r="H850" s="47" t="e">
        <x:f>HYPERLINK("#'山海经原文总库'!A3","↩ 返回目录")</x:f>
        <x:v>HYPERLINK is not implemented. linkLocation=#'山海经原文总库'!A3, friendlyName=↩ 返回目录</x:v>
      </x:c>
      <x:c r="I850" s="437"/>
      <x:c r="J850" s="437"/>
      <x:c r="K850" s="437" t="str">
        <x:v>待同名检索｜待建档</x:v>
      </x:c>
    </x:row>
    <x:row r="851" ht="22.5" customHeight="1">
      <x:c r="A851" s="44"/>
      <x:c r="B851" s="44"/>
      <x:c r="C851" s="45"/>
      <x:c r="D851" s="44" t="str">
        <x:v>而西北流注於谷</x:v>
      </x:c>
      <x:c r="E851" s="44" t="str">
        <x:v>區域</x:v>
      </x:c>
      <x:c r="F851" s="18"/>
      <x:c r="G851" s="46"/>
      <x:c r="H851" s="47" t="e">
        <x:f>HYPERLINK("#'山海经原文总库'!A3","↩ 返回目录")</x:f>
        <x:v>HYPERLINK is not implemented. linkLocation=#'山海经原文总库'!A3, friendlyName=↩ 返回目录</x:v>
      </x:c>
      <x:c r="I851" s="437"/>
      <x:c r="J851" s="437"/>
      <x:c r="K851" s="437" t="str">
        <x:v>待同名检索｜待建档</x:v>
      </x:c>
    </x:row>
    <x:row r="852" ht="48" customHeight="1">
      <x:c r="A852" s="44" t="str">
        <x:v>SHJ-05-057</x:v>
      </x:c>
      <x:c r="B852" s="44" t="str">
        <x:v>卷五 《中山經》</x:v>
      </x:c>
      <x:c r="C852" s="45" t="str">
        <x:v>又西七十二里，曰密山，其陽多玉，其陰多鐵。豪水出焉，而南流注於洛，其中多旋龜，其狀鳥首而鱉尾，其音如判木。無草木。</x:v>
      </x:c>
      <x:c r="D852" s="44" t="str">
        <x:v>密山</x:v>
      </x:c>
      <x:c r="E852" s="44" t="str">
        <x:v>山</x:v>
      </x:c>
      <x:c r="F852" s="18"/>
      <x:c r="G852" s="46" t="str">
        <x:v>标点与分段参考《山海经校注》；正文对读：https://ctext.org/shan-hai-jing/zhong-shan-jing/zh</x:v>
      </x:c>
      <x:c r="H852" s="47" t="e">
        <x:f>HYPERLINK("#'山海经原文总库'!A3","↩ 返回目录")</x:f>
        <x:v>HYPERLINK is not implemented. linkLocation=#'山海经原文总库'!A3, friendlyName=↩ 返回目录</x:v>
      </x:c>
      <x:c r="I852" s="437"/>
      <x:c r="J852" s="437"/>
      <x:c r="K852" s="437" t="str">
        <x:v>待同名检索｜待建档</x:v>
      </x:c>
    </x:row>
    <x:row r="853" ht="22.5" customHeight="1">
      <x:c r="A853" s="44"/>
      <x:c r="B853" s="44"/>
      <x:c r="C853" s="45"/>
      <x:c r="D853" s="44" t="str">
        <x:v>豪水</x:v>
      </x:c>
      <x:c r="E853" s="44" t="str">
        <x:v>水系</x:v>
      </x:c>
      <x:c r="F853" s="18"/>
      <x:c r="G853" s="46"/>
      <x:c r="H853" s="47" t="e">
        <x:f>HYPERLINK("#'山海经原文总库'!A3","↩ 返回目录")</x:f>
        <x:v>HYPERLINK is not implemented. linkLocation=#'山海经原文总库'!A3, friendlyName=↩ 返回目录</x:v>
      </x:c>
      <x:c r="I853" s="437"/>
      <x:c r="J853" s="437"/>
      <x:c r="K853" s="437" t="str">
        <x:v>待同名检索｜待建档</x:v>
      </x:c>
    </x:row>
    <x:row r="854" ht="48" customHeight="1">
      <x:c r="A854" s="44" t="str">
        <x:v>SHJ-05-058</x:v>
      </x:c>
      <x:c r="B854" s="44" t="str">
        <x:v>卷五 《中山經》</x:v>
      </x:c>
      <x:c r="C854" s="45" t="str">
        <x:v>又西百里，曰長石之山，無草木，多金玉。其西有谷焉，名曰共谷，多竹。共水出焉，西南流注於洛，其中多鳴石。</x:v>
      </x:c>
      <x:c r="D854" s="44" t="str">
        <x:v>長石之山</x:v>
      </x:c>
      <x:c r="E854" s="44" t="str">
        <x:v>山</x:v>
      </x:c>
      <x:c r="F854" s="18"/>
      <x:c r="G854" s="46" t="str">
        <x:v>标点与分段参考《山海经校注》；正文对读：https://ctext.org/shan-hai-jing/zhong-shan-jing/zh</x:v>
      </x:c>
      <x:c r="H854" s="47" t="e">
        <x:f>HYPERLINK("#'山海经原文总库'!A3","↩ 返回目录")</x:f>
        <x:v>HYPERLINK is not implemented. linkLocation=#'山海经原文总库'!A3, friendlyName=↩ 返回目录</x:v>
      </x:c>
      <x:c r="I854" s="437"/>
      <x:c r="J854" s="437"/>
      <x:c r="K854" s="437" t="str">
        <x:v>待同名检索｜待建档</x:v>
      </x:c>
    </x:row>
    <x:row r="855" ht="22.5" customHeight="1">
      <x:c r="A855" s="44"/>
      <x:c r="B855" s="44"/>
      <x:c r="C855" s="45"/>
      <x:c r="D855" s="44" t="str">
        <x:v>共水</x:v>
      </x:c>
      <x:c r="E855" s="44" t="str">
        <x:v>水系</x:v>
      </x:c>
      <x:c r="F855" s="18"/>
      <x:c r="G855" s="46"/>
      <x:c r="H855" s="47" t="e">
        <x:f>HYPERLINK("#'山海经原文总库'!A3","↩ 返回目录")</x:f>
        <x:v>HYPERLINK is not implemented. linkLocation=#'山海经原文总库'!A3, friendlyName=↩ 返回目录</x:v>
      </x:c>
      <x:c r="I855" s="437"/>
      <x:c r="J855" s="437"/>
      <x:c r="K855" s="437" t="str">
        <x:v>待同名检索｜待建档</x:v>
      </x:c>
    </x:row>
    <x:row r="856" ht="22.5" customHeight="1">
      <x:c r="A856" s="44"/>
      <x:c r="B856" s="44"/>
      <x:c r="C856" s="45"/>
      <x:c r="D856" s="44" t="str">
        <x:v>共谷</x:v>
      </x:c>
      <x:c r="E856" s="44" t="str">
        <x:v>區域</x:v>
      </x:c>
      <x:c r="F856" s="18"/>
      <x:c r="G856" s="46"/>
      <x:c r="H856" s="47" t="e">
        <x:f>HYPERLINK("#'山海经原文总库'!A3","↩ 返回目录")</x:f>
        <x:v>HYPERLINK is not implemented. linkLocation=#'山海经原文总库'!A3, friendlyName=↩ 返回目录</x:v>
      </x:c>
      <x:c r="I856" s="437"/>
      <x:c r="J856" s="437"/>
      <x:c r="K856" s="437" t="str">
        <x:v>待同名检索｜待建档</x:v>
      </x:c>
    </x:row>
    <x:row r="857" ht="48" customHeight="1">
      <x:c r="A857" s="44" t="str">
        <x:v>SHJ-05-059</x:v>
      </x:c>
      <x:c r="B857" s="44" t="str">
        <x:v>卷五 《中山經》</x:v>
      </x:c>
      <x:c r="C857" s="45" t="str">
        <x:v>又西一百四十里，曰傅山，無草木，多瑤碧。厭染之水出於其陽，而南流注於洛，其中多人魚。其西有林焉，名曰墦冢。谷水出焉，而東流注於洛，其中多珚玉。</x:v>
      </x:c>
      <x:c r="D857" s="44" t="str">
        <x:v>傅山</x:v>
      </x:c>
      <x:c r="E857" s="44" t="str">
        <x:v>山</x:v>
      </x:c>
      <x:c r="F857" s="18"/>
      <x:c r="G857" s="46" t="str">
        <x:v>标点与分段参考《山海经校注》；正文对读：https://ctext.org/shan-hai-jing/zhong-shan-jing/zh</x:v>
      </x:c>
      <x:c r="H857" s="47" t="e">
        <x:f>HYPERLINK("#'山海经原文总库'!A3","↩ 返回目录")</x:f>
        <x:v>HYPERLINK is not implemented. linkLocation=#'山海经原文总库'!A3, friendlyName=↩ 返回目录</x:v>
      </x:c>
      <x:c r="I857" s="437"/>
      <x:c r="J857" s="437"/>
      <x:c r="K857" s="437" t="str">
        <x:v>待同名检索｜待建档</x:v>
      </x:c>
    </x:row>
    <x:row r="858" ht="22.5" customHeight="1">
      <x:c r="A858" s="44"/>
      <x:c r="B858" s="44"/>
      <x:c r="C858" s="45"/>
      <x:c r="D858" s="44" t="str">
        <x:v>厭染之水</x:v>
      </x:c>
      <x:c r="E858" s="44" t="str">
        <x:v>水系</x:v>
      </x:c>
      <x:c r="F858" s="18"/>
      <x:c r="G858" s="46"/>
      <x:c r="H858" s="47" t="e">
        <x:f>HYPERLINK("#'山海经原文总库'!A3","↩ 返回目录")</x:f>
        <x:v>HYPERLINK is not implemented. linkLocation=#'山海经原文总库'!A3, friendlyName=↩ 返回目录</x:v>
      </x:c>
      <x:c r="I858" s="437"/>
      <x:c r="J858" s="437"/>
      <x:c r="K858" s="437" t="str">
        <x:v>待同名检索｜待建档</x:v>
      </x:c>
    </x:row>
    <x:row r="859" ht="22.5" customHeight="1">
      <x:c r="A859" s="44"/>
      <x:c r="B859" s="44"/>
      <x:c r="C859" s="45"/>
      <x:c r="D859" s="44" t="str">
        <x:v>谷水</x:v>
      </x:c>
      <x:c r="E859" s="44" t="str">
        <x:v>水系</x:v>
      </x:c>
      <x:c r="F859" s="18"/>
      <x:c r="G859" s="46"/>
      <x:c r="H859" s="47" t="e">
        <x:f>HYPERLINK("#'山海经原文总库'!A3","↩ 返回目录")</x:f>
        <x:v>HYPERLINK is not implemented. linkLocation=#'山海经原文总库'!A3, friendlyName=↩ 返回目录</x:v>
      </x:c>
      <x:c r="I859" s="437"/>
      <x:c r="J859" s="437"/>
      <x:c r="K859" s="437" t="str">
        <x:v>待同名检索｜待建档</x:v>
      </x:c>
    </x:row>
    <x:row r="860" ht="48" customHeight="1">
      <x:c r="A860" s="44" t="str">
        <x:v>SHJ-05-060</x:v>
      </x:c>
      <x:c r="B860" s="44" t="str">
        <x:v>卷五 《中山經》</x:v>
      </x:c>
      <x:c r="C860" s="45" t="str">
        <x:v>又西五十里，曰橐山，其木多樗，多備（人改木）木，其陽多金玉，其陰多鐵，多蕭。橐水出焉，而北流注於河。其中多修辟之魚，狀如黽而白喙，其音如鴟，食之已白癬。</x:v>
      </x:c>
      <x:c r="D860" s="44" t="str">
        <x:v>橐山</x:v>
      </x:c>
      <x:c r="E860" s="44" t="str">
        <x:v>山</x:v>
      </x:c>
      <x:c r="F860" s="18"/>
      <x:c r="G860" s="46" t="str">
        <x:v>标点与分段参考《山海经校注》；正文对读：https://ctext.org/shan-hai-jing/zhong-shan-jing/zh</x:v>
      </x:c>
      <x:c r="H860" s="47" t="e">
        <x:f>HYPERLINK("#'山海经原文总库'!A3","↩ 返回目录")</x:f>
        <x:v>HYPERLINK is not implemented. linkLocation=#'山海经原文总库'!A3, friendlyName=↩ 返回目录</x:v>
      </x:c>
      <x:c r="I860" s="437"/>
      <x:c r="J860" s="437"/>
      <x:c r="K860" s="437" t="str">
        <x:v>待同名检索｜待建档</x:v>
      </x:c>
    </x:row>
    <x:row r="861" ht="22.5" customHeight="1">
      <x:c r="A861" s="44"/>
      <x:c r="B861" s="44"/>
      <x:c r="C861" s="45"/>
      <x:c r="D861" s="44" t="str">
        <x:v>橐水</x:v>
      </x:c>
      <x:c r="E861" s="44" t="str">
        <x:v>水系</x:v>
      </x:c>
      <x:c r="F861" s="18"/>
      <x:c r="G861" s="46"/>
      <x:c r="H861" s="47" t="e">
        <x:f>HYPERLINK("#'山海经原文总库'!A3","↩ 返回目录")</x:f>
        <x:v>HYPERLINK is not implemented. linkLocation=#'山海经原文总库'!A3, friendlyName=↩ 返回目录</x:v>
      </x:c>
      <x:c r="I861" s="437"/>
      <x:c r="J861" s="437"/>
      <x:c r="K861" s="437" t="str">
        <x:v>待同名检索｜待建档</x:v>
      </x:c>
    </x:row>
    <x:row r="862" ht="22.5" customHeight="1">
      <x:c r="A862" s="44"/>
      <x:c r="B862" s="44"/>
      <x:c r="C862" s="45"/>
      <x:c r="D862" s="44" t="str">
        <x:v>河</x:v>
      </x:c>
      <x:c r="E862" s="44" t="str">
        <x:v>地理名稱</x:v>
      </x:c>
      <x:c r="F862" s="18"/>
      <x:c r="G862" s="46"/>
      <x:c r="H862" s="47" t="e">
        <x:f>HYPERLINK("#'山海经原文总库'!A3","↩ 返回目录")</x:f>
        <x:v>HYPERLINK is not implemented. linkLocation=#'山海经原文总库'!A3, friendlyName=↩ 返回目录</x:v>
      </x:c>
      <x:c r="I862" s="437"/>
      <x:c r="J862" s="437"/>
      <x:c r="K862" s="437" t="str">
        <x:v>待同名检索｜待建档</x:v>
      </x:c>
    </x:row>
    <x:row r="863" ht="48" customHeight="1">
      <x:c r="A863" s="44" t="str">
        <x:v>SHJ-05-061</x:v>
      </x:c>
      <x:c r="B863" s="44" t="str">
        <x:v>卷五 《中山經》</x:v>
      </x:c>
      <x:c r="C863" s="45" t="str">
        <x:v>又西九十里，曰常烝之山，無草木，多堊。潐水出焉，而東北流注於河，其中多蒼玉。菑水出焉，而北流注於河。</x:v>
      </x:c>
      <x:c r="D863" s="44" t="str">
        <x:v>常烝之山</x:v>
      </x:c>
      <x:c r="E863" s="44" t="str">
        <x:v>山</x:v>
      </x:c>
      <x:c r="F863" s="18"/>
      <x:c r="G863" s="46" t="str">
        <x:v>标点与分段参考《山海经校注》；正文对读：https://ctext.org/shan-hai-jing/zhong-shan-jing/zh</x:v>
      </x:c>
      <x:c r="H863" s="47" t="e">
        <x:f>HYPERLINK("#'山海经原文总库'!A3","↩ 返回目录")</x:f>
        <x:v>HYPERLINK is not implemented. linkLocation=#'山海经原文总库'!A3, friendlyName=↩ 返回目录</x:v>
      </x:c>
      <x:c r="I863" s="437"/>
      <x:c r="J863" s="437"/>
      <x:c r="K863" s="437" t="str">
        <x:v>待同名检索｜待建档</x:v>
      </x:c>
    </x:row>
    <x:row r="864" ht="22.5" customHeight="1">
      <x:c r="A864" s="44"/>
      <x:c r="B864" s="44"/>
      <x:c r="C864" s="45"/>
      <x:c r="D864" s="44" t="str">
        <x:v>潐水</x:v>
      </x:c>
      <x:c r="E864" s="44" t="str">
        <x:v>水系</x:v>
      </x:c>
      <x:c r="F864" s="18"/>
      <x:c r="G864" s="46"/>
      <x:c r="H864" s="47" t="e">
        <x:f>HYPERLINK("#'山海经原文总库'!A3","↩ 返回目录")</x:f>
        <x:v>HYPERLINK is not implemented. linkLocation=#'山海经原文总库'!A3, friendlyName=↩ 返回目录</x:v>
      </x:c>
      <x:c r="I864" s="437"/>
      <x:c r="J864" s="437"/>
      <x:c r="K864" s="437" t="str">
        <x:v>待同名检索｜待建档</x:v>
      </x:c>
    </x:row>
    <x:row r="865" ht="22.5" customHeight="1">
      <x:c r="A865" s="44"/>
      <x:c r="B865" s="44"/>
      <x:c r="C865" s="45"/>
      <x:c r="D865" s="44" t="str">
        <x:v>菑水</x:v>
      </x:c>
      <x:c r="E865" s="44" t="str">
        <x:v>水系</x:v>
      </x:c>
      <x:c r="F865" s="18"/>
      <x:c r="G865" s="46"/>
      <x:c r="H865" s="47" t="e">
        <x:f>HYPERLINK("#'山海经原文总库'!A3","↩ 返回目录")</x:f>
        <x:v>HYPERLINK is not implemented. linkLocation=#'山海经原文总库'!A3, friendlyName=↩ 返回目录</x:v>
      </x:c>
      <x:c r="I865" s="437"/>
      <x:c r="J865" s="437"/>
      <x:c r="K865" s="437" t="str">
        <x:v>待同名检索｜待建档</x:v>
      </x:c>
    </x:row>
    <x:row r="866" ht="22.5" customHeight="1">
      <x:c r="A866" s="44"/>
      <x:c r="B866" s="44"/>
      <x:c r="C866" s="45"/>
      <x:c r="D866" s="44" t="str">
        <x:v>河</x:v>
      </x:c>
      <x:c r="E866" s="44" t="str">
        <x:v>地理名稱</x:v>
      </x:c>
      <x:c r="F866" s="18"/>
      <x:c r="G866" s="46"/>
      <x:c r="H866" s="47" t="e">
        <x:f>HYPERLINK("#'山海经原文总库'!A3","↩ 返回目录")</x:f>
        <x:v>HYPERLINK is not implemented. linkLocation=#'山海经原文总库'!A3, friendlyName=↩ 返回目录</x:v>
      </x:c>
      <x:c r="I866" s="437"/>
      <x:c r="J866" s="437"/>
      <x:c r="K866" s="437" t="str">
        <x:v>待同名检索｜待建档</x:v>
      </x:c>
    </x:row>
    <x:row r="867" ht="64.5" customHeight="1">
      <x:c r="A867" s="44" t="str">
        <x:v>SHJ-05-062</x:v>
      </x:c>
      <x:c r="B867" s="44" t="str">
        <x:v>卷五 《中山經》</x:v>
      </x:c>
      <x:c r="C867" s="45" t="str">
        <x:v>又西九十里，曰誇父之山，其木多棕柟，多竹箭，其獸多（牛乍）、牛羬羊，其鳥多鷩，其陽多玉，其陰多鐵。其北有林焉，名曰桃林，是廣員三百里，其中多馬。湖水出焉，而北流注於河，其中多珚玉。</x:v>
      </x:c>
      <x:c r="D867" s="44" t="str">
        <x:v>誇父之山</x:v>
      </x:c>
      <x:c r="E867" s="44" t="str">
        <x:v>山</x:v>
      </x:c>
      <x:c r="F867" s="18"/>
      <x:c r="G867" s="46" t="str">
        <x:v>标点与分段参考《山海经校注》；正文对读：https://ctext.org/shan-hai-jing/zhong-shan-jing/zh</x:v>
      </x:c>
      <x:c r="H867" s="47" t="e">
        <x:f>HYPERLINK("#'山海经原文总库'!A3","↩ 返回目录")</x:f>
        <x:v>HYPERLINK is not implemented. linkLocation=#'山海经原文总库'!A3, friendlyName=↩ 返回目录</x:v>
      </x:c>
      <x:c r="I867" s="437"/>
      <x:c r="J867" s="437"/>
      <x:c r="K867" s="437" t="str">
        <x:v>待同名检索｜待建档</x:v>
      </x:c>
    </x:row>
    <x:row r="868" ht="22.5" customHeight="1">
      <x:c r="A868" s="44"/>
      <x:c r="B868" s="44"/>
      <x:c r="C868" s="45"/>
      <x:c r="D868" s="44" t="str">
        <x:v>湖水</x:v>
      </x:c>
      <x:c r="E868" s="44" t="str">
        <x:v>水系</x:v>
      </x:c>
      <x:c r="F868" s="18"/>
      <x:c r="G868" s="46"/>
      <x:c r="H868" s="47" t="e">
        <x:f>HYPERLINK("#'山海经原文总库'!A3","↩ 返回目录")</x:f>
        <x:v>HYPERLINK is not implemented. linkLocation=#'山海经原文总库'!A3, friendlyName=↩ 返回目录</x:v>
      </x:c>
      <x:c r="I868" s="437"/>
      <x:c r="J868" s="437"/>
      <x:c r="K868" s="437" t="str">
        <x:v>待同名检索｜待建档</x:v>
      </x:c>
    </x:row>
    <x:row r="869" ht="22.5" customHeight="1">
      <x:c r="A869" s="44"/>
      <x:c r="B869" s="44"/>
      <x:c r="C869" s="45"/>
      <x:c r="D869" s="44" t="str">
        <x:v>桃林</x:v>
      </x:c>
      <x:c r="E869" s="44" t="str">
        <x:v>區域</x:v>
      </x:c>
      <x:c r="F869" s="18"/>
      <x:c r="G869" s="46"/>
      <x:c r="H869" s="47" t="e">
        <x:f>HYPERLINK("#'山海经原文总库'!A3","↩ 返回目录")</x:f>
        <x:v>HYPERLINK is not implemented. linkLocation=#'山海经原文总库'!A3, friendlyName=↩ 返回目录</x:v>
      </x:c>
      <x:c r="I869" s="437"/>
      <x:c r="J869" s="437"/>
      <x:c r="K869" s="437" t="str">
        <x:v>待同名检索｜待建档</x:v>
      </x:c>
    </x:row>
    <x:row r="870" ht="22.5" customHeight="1">
      <x:c r="A870" s="44"/>
      <x:c r="B870" s="44"/>
      <x:c r="C870" s="45"/>
      <x:c r="D870" s="44" t="str">
        <x:v>河</x:v>
      </x:c>
      <x:c r="E870" s="44" t="str">
        <x:v>地理名稱</x:v>
      </x:c>
      <x:c r="F870" s="18"/>
      <x:c r="G870" s="46"/>
      <x:c r="H870" s="47" t="e">
        <x:f>HYPERLINK("#'山海经原文总库'!A3","↩ 返回目录")</x:f>
        <x:v>HYPERLINK is not implemented. linkLocation=#'山海经原文总库'!A3, friendlyName=↩ 返回目录</x:v>
      </x:c>
      <x:c r="I870" s="437"/>
      <x:c r="J870" s="437"/>
      <x:c r="K870" s="437" t="str">
        <x:v>待同名检索｜待建档</x:v>
      </x:c>
    </x:row>
    <x:row r="871" ht="22.5" customHeight="1">
      <x:c r="A871" s="44"/>
      <x:c r="B871" s="44"/>
      <x:c r="C871" s="45"/>
      <x:c r="D871" s="44" t="str">
        <x:v>夸父之山</x:v>
      </x:c>
      <x:c r="E871" s="44" t="str">
        <x:v>山</x:v>
      </x:c>
      <x:c r="F871" s="18"/>
      <x:c r="G871" s="46"/>
      <x:c r="H871" s="47" t="e">
        <x:f>HYPERLINK("#'山海经原文总库'!A3","↩ 返回目录")</x:f>
        <x:v>HYPERLINK is not implemented. linkLocation=#'山海经原文总库'!A3, friendlyName=↩ 返回目录</x:v>
      </x:c>
      <x:c r="I871" s="437"/>
      <x:c r="J871" s="437"/>
      <x:c r="K871" s="437" t="str">
        <x:v>待同名检索｜待建档</x:v>
      </x:c>
    </x:row>
    <x:row r="872" ht="64.5" customHeight="1">
      <x:c r="A872" s="44" t="str">
        <x:v>SHJ-05-063</x:v>
      </x:c>
      <x:c r="B872" s="44" t="str">
        <x:v>卷五 《中山經》</x:v>
      </x:c>
      <x:c r="C872" s="45" t="str">
        <x:v>又西九十里，曰陽華之山，其陽多金玉，其陰多青雄黃，其草多藷藇，多苦辛，其狀如橚，其實如瓜，其味酸甘，食之已瘧。楊水出焉，而西南流注於洛，其中多人魚。門水出焉，而東北流注於河，其中多玄（石肅）。（糹昔）姑之水出於其陰，而東流注於門水，其上多銅。門水出於河，七百九十里入雒水。</x:v>
      </x:c>
      <x:c r="D872" s="44" t="str">
        <x:v>陽華之山</x:v>
      </x:c>
      <x:c r="E872" s="44" t="str">
        <x:v>山</x:v>
      </x:c>
      <x:c r="F872" s="18"/>
      <x:c r="G872" s="46" t="str">
        <x:v>标点与分段参考《山海经校注》；正文对读：https://ctext.org/shan-hai-jing/zhong-shan-jing/zh</x:v>
      </x:c>
      <x:c r="H872" s="47" t="e">
        <x:f>HYPERLINK("#'山海经原文总库'!A3","↩ 返回目录")</x:f>
        <x:v>HYPERLINK is not implemented. linkLocation=#'山海经原文总库'!A3, friendlyName=↩ 返回目录</x:v>
      </x:c>
      <x:c r="I872" s="437"/>
      <x:c r="J872" s="437"/>
      <x:c r="K872" s="437" t="str">
        <x:v>待同名检索｜待建档</x:v>
      </x:c>
    </x:row>
    <x:row r="873" ht="22.5" customHeight="1">
      <x:c r="A873" s="44"/>
      <x:c r="B873" s="44"/>
      <x:c r="C873" s="45"/>
      <x:c r="D873" s="44" t="str">
        <x:v>楊水</x:v>
      </x:c>
      <x:c r="E873" s="44" t="str">
        <x:v>水系</x:v>
      </x:c>
      <x:c r="F873" s="18"/>
      <x:c r="G873" s="46"/>
      <x:c r="H873" s="47" t="e">
        <x:f>HYPERLINK("#'山海经原文总库'!A3","↩ 返回目录")</x:f>
        <x:v>HYPERLINK is not implemented. linkLocation=#'山海经原文总库'!A3, friendlyName=↩ 返回目录</x:v>
      </x:c>
      <x:c r="I873" s="437"/>
      <x:c r="J873" s="437"/>
      <x:c r="K873" s="437" t="str">
        <x:v>待同名检索｜待建档</x:v>
      </x:c>
    </x:row>
    <x:row r="874" ht="22.5" customHeight="1">
      <x:c r="A874" s="44"/>
      <x:c r="B874" s="44"/>
      <x:c r="C874" s="45"/>
      <x:c r="D874" s="44" t="str">
        <x:v>門水</x:v>
      </x:c>
      <x:c r="E874" s="44" t="str">
        <x:v>水系</x:v>
      </x:c>
      <x:c r="F874" s="18"/>
      <x:c r="G874" s="46"/>
      <x:c r="H874" s="47" t="e">
        <x:f>HYPERLINK("#'山海经原文总库'!A3","↩ 返回目录")</x:f>
        <x:v>HYPERLINK is not implemented. linkLocation=#'山海经原文总库'!A3, friendlyName=↩ 返回目录</x:v>
      </x:c>
      <x:c r="I874" s="437"/>
      <x:c r="J874" s="437"/>
      <x:c r="K874" s="437" t="str">
        <x:v>待同名检索｜待建档</x:v>
      </x:c>
    </x:row>
    <x:row r="875" ht="22.5" customHeight="1">
      <x:c r="A875" s="44"/>
      <x:c r="B875" s="44"/>
      <x:c r="C875" s="45"/>
      <x:c r="D875" s="44" t="str">
        <x:v>姑之水</x:v>
      </x:c>
      <x:c r="E875" s="44" t="str">
        <x:v>水系</x:v>
      </x:c>
      <x:c r="F875" s="18"/>
      <x:c r="G875" s="46"/>
      <x:c r="H875" s="47" t="e">
        <x:f>HYPERLINK("#'山海经原文总库'!A3","↩ 返回目录")</x:f>
        <x:v>HYPERLINK is not implemented. linkLocation=#'山海经原文总库'!A3, friendlyName=↩ 返回目录</x:v>
      </x:c>
      <x:c r="I875" s="437"/>
      <x:c r="J875" s="437"/>
      <x:c r="K875" s="437" t="str">
        <x:v>待同名检索｜待建档</x:v>
      </x:c>
    </x:row>
    <x:row r="876" ht="22.5" customHeight="1">
      <x:c r="A876" s="44"/>
      <x:c r="B876" s="44"/>
      <x:c r="C876" s="45"/>
      <x:c r="D876" s="44" t="str">
        <x:v>河</x:v>
      </x:c>
      <x:c r="E876" s="44" t="str">
        <x:v>地理名稱</x:v>
      </x:c>
      <x:c r="F876" s="18"/>
      <x:c r="G876" s="46"/>
      <x:c r="H876" s="47" t="e">
        <x:f>HYPERLINK("#'山海经原文总库'!A3","↩ 返回目录")</x:f>
        <x:v>HYPERLINK is not implemented. linkLocation=#'山海经原文总库'!A3, friendlyName=↩ 返回目录</x:v>
      </x:c>
      <x:c r="I876" s="437"/>
      <x:c r="J876" s="437"/>
      <x:c r="K876" s="437" t="str">
        <x:v>待同名检索｜待建档</x:v>
      </x:c>
    </x:row>
    <x:row r="877" ht="22.5" customHeight="1">
      <x:c r="A877" s="44"/>
      <x:c r="B877" s="44"/>
      <x:c r="C877" s="45"/>
      <x:c r="D877" s="44" t="str">
        <x:v>𦁎姑之水</x:v>
      </x:c>
      <x:c r="E877" s="44" t="str">
        <x:v>水系</x:v>
      </x:c>
      <x:c r="F877" s="18"/>
      <x:c r="G877" s="46"/>
      <x:c r="H877" s="47" t="e">
        <x:f>HYPERLINK("#'山海经原文总库'!A3","↩ 返回目录")</x:f>
        <x:v>HYPERLINK is not implemented. linkLocation=#'山海经原文总库'!A3, friendlyName=↩ 返回目录</x:v>
      </x:c>
      <x:c r="I877" s="437"/>
      <x:c r="J877" s="437"/>
      <x:c r="K877" s="437" t="str">
        <x:v>待同名检索｜待建档</x:v>
      </x:c>
    </x:row>
    <x:row r="878" ht="22.5" customHeight="1">
      <x:c r="A878" s="44"/>
      <x:c r="B878" s="44"/>
      <x:c r="C878" s="45"/>
      <x:c r="D878" s="44" t="str">
        <x:v>雒水</x:v>
      </x:c>
      <x:c r="E878" s="44" t="str">
        <x:v>水系</x:v>
      </x:c>
      <x:c r="F878" s="18"/>
      <x:c r="G878" s="46"/>
      <x:c r="H878" s="47" t="e">
        <x:f>HYPERLINK("#'山海经原文总库'!A3","↩ 返回目录")</x:f>
        <x:v>HYPERLINK is not implemented. linkLocation=#'山海经原文总库'!A3, friendlyName=↩ 返回目录</x:v>
      </x:c>
      <x:c r="I878" s="437"/>
      <x:c r="J878" s="437"/>
      <x:c r="K878" s="437" t="str">
        <x:v>待同名检索｜待建档</x:v>
      </x:c>
    </x:row>
    <x:row r="879" ht="48" customHeight="1">
      <x:c r="A879" s="44" t="str">
        <x:v>SHJ-05-064</x:v>
      </x:c>
      <x:c r="B879" s="44" t="str">
        <x:v>卷五 《中山經》</x:v>
      </x:c>
      <x:c r="C879" s="45" t="str">
        <x:v>凡縞羝山之首，自平逢之山至於陽華之山，凡十四山，七百九十里。岳在其中，以六月祭之，如諸岳之祠法，則天下安寧。</x:v>
      </x:c>
      <x:c r="D879" s="44" t="str">
        <x:v>平逢之山至於陽華之山</x:v>
      </x:c>
      <x:c r="E879" s="44" t="str">
        <x:v>山</x:v>
      </x:c>
      <x:c r="F879" s="18"/>
      <x:c r="G879" s="46" t="str">
        <x:v>标点与分段参考《山海经校注》；正文对读：https://ctext.org/shan-hai-jing/zhong-shan-jing/zh</x:v>
      </x:c>
      <x:c r="H879" s="47" t="e">
        <x:f>HYPERLINK("#'山海经原文总库'!A3","↩ 返回目录")</x:f>
        <x:v>HYPERLINK is not implemented. linkLocation=#'山海经原文总库'!A3, friendlyName=↩ 返回目录</x:v>
      </x:c>
      <x:c r="I879" s="437"/>
      <x:c r="J879" s="437"/>
      <x:c r="K879" s="437" t="str">
        <x:v>待同名检索｜待建档</x:v>
      </x:c>
    </x:row>
    <x:row r="880" ht="48" customHeight="1">
      <x:c r="A880" s="44" t="str">
        <x:v>SHJ-05-065</x:v>
      </x:c>
      <x:c r="B880" s="44" t="str">
        <x:v>卷五 《中山經》</x:v>
      </x:c>
      <x:c r="C880" s="45" t="str">
        <x:v>中次七經苦山之首，曰休與之山。其上有石焉，名曰帝台之棋，五色而文，其狀如鶉卵，帝台之石，所以禱百神者也，服之不蠱。有草焉，其狀如蓍，赤葉而本叢生，名曰夙條，可以為簳。</x:v>
      </x:c>
      <x:c r="D880" s="44" t="str">
        <x:v>休與之山</x:v>
      </x:c>
      <x:c r="E880" s="44" t="str">
        <x:v>山</x:v>
      </x:c>
      <x:c r="F880" s="18"/>
      <x:c r="G880" s="46" t="str">
        <x:v>标点与分段参考《山海经校注》；正文对读：https://ctext.org/shan-hai-jing/zhong-shan-jing/zh</x:v>
      </x:c>
      <x:c r="H880" s="47" t="e">
        <x:f>HYPERLINK("#'山海经原文总库'!A3","↩ 返回目录")</x:f>
        <x:v>HYPERLINK is not implemented. linkLocation=#'山海经原文总库'!A3, friendlyName=↩ 返回目录</x:v>
      </x:c>
      <x:c r="I880" s="437"/>
      <x:c r="J880" s="437"/>
      <x:c r="K880" s="437" t="str">
        <x:v>待同名检索｜待建档</x:v>
      </x:c>
    </x:row>
    <x:row r="881" ht="22.5" customHeight="1">
      <x:c r="A881" s="44"/>
      <x:c r="B881" s="44"/>
      <x:c r="C881" s="45"/>
      <x:c r="D881" s="44" t="str">
        <x:v>帝台</x:v>
      </x:c>
      <x:c r="E881" s="44" t="str">
        <x:v>聚落／區域</x:v>
      </x:c>
      <x:c r="F881" s="18"/>
      <x:c r="G881" s="46"/>
      <x:c r="H881" s="47" t="e">
        <x:f>HYPERLINK("#'山海经原文总库'!A3","↩ 返回目录")</x:f>
        <x:v>HYPERLINK is not implemented. linkLocation=#'山海经原文总库'!A3, friendlyName=↩ 返回目录</x:v>
      </x:c>
      <x:c r="I881" s="437"/>
      <x:c r="J881" s="437"/>
      <x:c r="K881" s="437" t="str">
        <x:v>待同名检索｜待建档</x:v>
      </x:c>
    </x:row>
    <x:row r="882" ht="48" customHeight="1">
      <x:c r="A882" s="44" t="str">
        <x:v>SHJ-05-066</x:v>
      </x:c>
      <x:c r="B882" s="44" t="str">
        <x:v>卷五 《中山經》</x:v>
      </x:c>
      <x:c r="C882" s="45" t="str">
        <x:v>東三百里，曰鼓鐘之山，帝台之所以觴百神也。有草焉，方莖而黃華，員葉而三成，其名曰焉酸，可以為毒。其上多礪，其下多砥。</x:v>
      </x:c>
      <x:c r="D882" s="44" t="str">
        <x:v>鼓鐘之山</x:v>
      </x:c>
      <x:c r="E882" s="44" t="str">
        <x:v>山</x:v>
      </x:c>
      <x:c r="F882" s="18"/>
      <x:c r="G882" s="46" t="str">
        <x:v>标点与分段参考《山海经校注》；正文对读：https://ctext.org/shan-hai-jing/zhong-shan-jing/zh</x:v>
      </x:c>
      <x:c r="H882" s="47" t="e">
        <x:f>HYPERLINK("#'山海经原文总库'!A3","↩ 返回目录")</x:f>
        <x:v>HYPERLINK is not implemented. linkLocation=#'山海经原文总库'!A3, friendlyName=↩ 返回目录</x:v>
      </x:c>
      <x:c r="I882" s="437"/>
      <x:c r="J882" s="437"/>
      <x:c r="K882" s="437" t="str">
        <x:v>待同名检索｜待建档</x:v>
      </x:c>
    </x:row>
    <x:row r="883" ht="22.5" customHeight="1">
      <x:c r="A883" s="44"/>
      <x:c r="B883" s="44"/>
      <x:c r="C883" s="45"/>
      <x:c r="D883" s="44" t="str">
        <x:v>帝台</x:v>
      </x:c>
      <x:c r="E883" s="44" t="str">
        <x:v>聚落／區域</x:v>
      </x:c>
      <x:c r="F883" s="18"/>
      <x:c r="G883" s="46"/>
      <x:c r="H883" s="47" t="e">
        <x:f>HYPERLINK("#'山海经原文总库'!A3","↩ 返回目录")</x:f>
        <x:v>HYPERLINK is not implemented. linkLocation=#'山海经原文总库'!A3, friendlyName=↩ 返回目录</x:v>
      </x:c>
      <x:c r="I883" s="437"/>
      <x:c r="J883" s="437"/>
      <x:c r="K883" s="437" t="str">
        <x:v>待同名检索｜待建档</x:v>
      </x:c>
    </x:row>
    <x:row r="884" ht="48" customHeight="1">
      <x:c r="A884" s="44" t="str">
        <x:v>SHJ-05-067</x:v>
      </x:c>
      <x:c r="B884" s="44" t="str">
        <x:v>卷五 《中山經》</x:v>
      </x:c>
      <x:c r="C884" s="45" t="str">
        <x:v>又東二百里，曰姑媱之山。帝女死焉，其名曰女屍，化為（上艹下瑤）草，其葉胥成，其華黃，其實如菟丘，服之媚於人。</x:v>
      </x:c>
      <x:c r="D884" s="44" t="str">
        <x:v>姑媱之山</x:v>
      </x:c>
      <x:c r="E884" s="44" t="str">
        <x:v>山</x:v>
      </x:c>
      <x:c r="F884" s="18"/>
      <x:c r="G884" s="46" t="str">
        <x:v>标点与分段参考《山海经校注》；正文对读：https://ctext.org/shan-hai-jing/zhong-shan-jing/zh</x:v>
      </x:c>
      <x:c r="H884" s="47" t="e">
        <x:f>HYPERLINK("#'山海经原文总库'!A3","↩ 返回目录")</x:f>
        <x:v>HYPERLINK is not implemented. linkLocation=#'山海经原文总库'!A3, friendlyName=↩ 返回目录</x:v>
      </x:c>
      <x:c r="I884" s="437"/>
      <x:c r="J884" s="437"/>
      <x:c r="K884" s="437" t="str">
        <x:v>待同名检索｜待建档</x:v>
      </x:c>
    </x:row>
    <x:row r="885" ht="48" customHeight="1">
      <x:c r="A885" s="44" t="str">
        <x:v>SHJ-05-068</x:v>
      </x:c>
      <x:c r="B885" s="44" t="str">
        <x:v>卷五 《中山經》</x:v>
      </x:c>
      <x:c r="C885" s="45" t="str">
        <x:v>又東二十里，曰苦山。有獸焉，名曰山膏，其狀如逐，赤若丹火，善詈。其上有木焉，名曰黃棘，黃華而員葉，其實如蘭，服之不字。有草焉，員葉而無莖，赤華而不實，名曰無條，服之不癭。</x:v>
      </x:c>
      <x:c r="D885" s="44" t="str">
        <x:v>苦山</x:v>
      </x:c>
      <x:c r="E885" s="44" t="str">
        <x:v>山</x:v>
      </x:c>
      <x:c r="F885" s="18"/>
      <x:c r="G885" s="46" t="str">
        <x:v>标点与分段参考《山海经校注》；正文对读：https://ctext.org/shan-hai-jing/zhong-shan-jing/zh</x:v>
      </x:c>
      <x:c r="H885" s="47" t="e">
        <x:f>HYPERLINK("#'山海经原文总库'!A3","↩ 返回目录")</x:f>
        <x:v>HYPERLINK is not implemented. linkLocation=#'山海经原文总库'!A3, friendlyName=↩ 返回目录</x:v>
      </x:c>
      <x:c r="I885" s="437"/>
      <x:c r="J885" s="437"/>
      <x:c r="K885" s="437" t="str">
        <x:v>待同名检索｜待建档</x:v>
      </x:c>
    </x:row>
    <x:row r="886" ht="48" customHeight="1">
      <x:c r="A886" s="44" t="str">
        <x:v>SHJ-05-069</x:v>
      </x:c>
      <x:c r="B886" s="44" t="str">
        <x:v>卷五 《中山經》</x:v>
      </x:c>
      <x:c r="C886" s="45" t="str">
        <x:v>又東二十七里，曰堵山，神天愚居之，是多怪風雨。其上有木焉，名曰天楄，方莖而葵狀，服者不（口垔）。</x:v>
      </x:c>
      <x:c r="D886" s="44" t="str">
        <x:v>堵山</x:v>
      </x:c>
      <x:c r="E886" s="44" t="str">
        <x:v>山</x:v>
      </x:c>
      <x:c r="F886" s="18"/>
      <x:c r="G886" s="46" t="str">
        <x:v>标点与分段参考《山海经校注》；正文对读：https://ctext.org/shan-hai-jing/zhong-shan-jing/zh</x:v>
      </x:c>
      <x:c r="H886" s="47" t="e">
        <x:f>HYPERLINK("#'山海经原文总库'!A3","↩ 返回目录")</x:f>
        <x:v>HYPERLINK is not implemented. linkLocation=#'山海经原文总库'!A3, friendlyName=↩ 返回目录</x:v>
      </x:c>
      <x:c r="I886" s="437"/>
      <x:c r="J886" s="437"/>
      <x:c r="K886" s="437" t="str">
        <x:v>待同名检索｜待建档</x:v>
      </x:c>
    </x:row>
    <x:row r="887" ht="48" customHeight="1">
      <x:c r="A887" s="44" t="str">
        <x:v>SHJ-05-070</x:v>
      </x:c>
      <x:c r="B887" s="44" t="str">
        <x:v>卷五 《中山經》</x:v>
      </x:c>
      <x:c r="C887" s="45" t="str">
        <x:v>又東五十二里，曰放皋之山。明水出焉，南流注於伊水，其中多蒼玉。有木焉，其葉如槐，黃華而不實，其名曰蒙木，服之不惑。有獸焉，其狀如蜂，枝尾而反舌，善呼，其名曰文文。</x:v>
      </x:c>
      <x:c r="D887" s="44" t="str">
        <x:v>放皋之山</x:v>
      </x:c>
      <x:c r="E887" s="44" t="str">
        <x:v>山</x:v>
      </x:c>
      <x:c r="F887" s="18"/>
      <x:c r="G887" s="46" t="str">
        <x:v>标点与分段参考《山海经校注》；正文对读：https://ctext.org/shan-hai-jing/zhong-shan-jing/zh</x:v>
      </x:c>
      <x:c r="H887" s="47" t="e">
        <x:f>HYPERLINK("#'山海经原文总库'!A3","↩ 返回目录")</x:f>
        <x:v>HYPERLINK is not implemented. linkLocation=#'山海经原文总库'!A3, friendlyName=↩ 返回目录</x:v>
      </x:c>
      <x:c r="I887" s="437"/>
      <x:c r="J887" s="437"/>
      <x:c r="K887" s="437" t="str">
        <x:v>待同名检索｜待建档</x:v>
      </x:c>
    </x:row>
    <x:row r="888" ht="22.5" customHeight="1">
      <x:c r="A888" s="44"/>
      <x:c r="B888" s="44"/>
      <x:c r="C888" s="45"/>
      <x:c r="D888" s="44" t="str">
        <x:v>明水</x:v>
      </x:c>
      <x:c r="E888" s="44" t="str">
        <x:v>水系</x:v>
      </x:c>
      <x:c r="F888" s="18"/>
      <x:c r="G888" s="46"/>
      <x:c r="H888" s="47" t="e">
        <x:f>HYPERLINK("#'山海经原文总库'!A3","↩ 返回目录")</x:f>
        <x:v>HYPERLINK is not implemented. linkLocation=#'山海经原文总库'!A3, friendlyName=↩ 返回目录</x:v>
      </x:c>
      <x:c r="I888" s="437"/>
      <x:c r="J888" s="437"/>
      <x:c r="K888" s="437" t="str">
        <x:v>待同名检索｜待建档</x:v>
      </x:c>
    </x:row>
    <x:row r="889" ht="22.5" customHeight="1">
      <x:c r="A889" s="44"/>
      <x:c r="B889" s="44"/>
      <x:c r="C889" s="45"/>
      <x:c r="D889" s="44" t="str">
        <x:v>伊水</x:v>
      </x:c>
      <x:c r="E889" s="44" t="str">
        <x:v>水系</x:v>
      </x:c>
      <x:c r="F889" s="18"/>
      <x:c r="G889" s="46"/>
      <x:c r="H889" s="47" t="e">
        <x:f>HYPERLINK("#'山海经原文总库'!A3","↩ 返回目录")</x:f>
        <x:v>HYPERLINK is not implemented. linkLocation=#'山海经原文总库'!A3, friendlyName=↩ 返回目录</x:v>
      </x:c>
      <x:c r="I889" s="437"/>
      <x:c r="J889" s="437"/>
      <x:c r="K889" s="437" t="str">
        <x:v>待同名检索｜待建档</x:v>
      </x:c>
    </x:row>
    <x:row r="890" ht="64.5" customHeight="1">
      <x:c r="A890" s="44" t="str">
        <x:v>SHJ-05-071</x:v>
      </x:c>
      <x:c r="B890" s="44" t="str">
        <x:v>卷五 《中山經》</x:v>
      </x:c>
      <x:c r="C890" s="45" t="str">
        <x:v>又東五十七里，曰大之山，多（王雩）琈之玉，多麋玉。有草焉，其狀葉如榆，方莖而蒼傷，其名曰牛傷，其根蒼文，服者不厥，可以御兵。其陽狂水出焉，西南流注於伊水，其中多三足龜，食者無大疾，可以已腫。</x:v>
      </x:c>
      <x:c r="D890" s="44" t="str">
        <x:v>伊水</x:v>
      </x:c>
      <x:c r="E890" s="44" t="str">
        <x:v>水系</x:v>
      </x:c>
      <x:c r="F890" s="18"/>
      <x:c r="G890" s="46" t="str">
        <x:v>标点与分段参考《山海经校注》；正文对读：https://ctext.org/shan-hai-jing/zhong-shan-jing/zh</x:v>
      </x:c>
      <x:c r="H890" s="47" t="e">
        <x:f>HYPERLINK("#'山海经原文总库'!A3","↩ 返回目录")</x:f>
        <x:v>HYPERLINK is not implemented. linkLocation=#'山海经原文总库'!A3, friendlyName=↩ 返回目录</x:v>
      </x:c>
      <x:c r="I890" s="437"/>
      <x:c r="J890" s="437"/>
      <x:c r="K890" s="437" t="str">
        <x:v>待同名检索｜待建档</x:v>
      </x:c>
    </x:row>
    <x:row r="891" ht="22.5" customHeight="1">
      <x:c r="A891" s="44"/>
      <x:c r="B891" s="44"/>
      <x:c r="C891" s="45"/>
      <x:c r="D891" s="44" t="str">
        <x:v>大𩇵之山</x:v>
      </x:c>
      <x:c r="E891" s="44" t="str">
        <x:v>山</x:v>
      </x:c>
      <x:c r="F891" s="18"/>
      <x:c r="G891" s="46"/>
      <x:c r="H891" s="47" t="e">
        <x:f>HYPERLINK("#'山海经原文总库'!A3","↩ 返回目录")</x:f>
        <x:v>HYPERLINK is not implemented. linkLocation=#'山海经原文总库'!A3, friendlyName=↩ 返回目录</x:v>
      </x:c>
      <x:c r="I891" s="437"/>
      <x:c r="J891" s="437"/>
      <x:c r="K891" s="437" t="str">
        <x:v>待同名检索｜待建档</x:v>
      </x:c>
    </x:row>
    <x:row r="892" ht="22.5" customHeight="1">
      <x:c r="A892" s="44"/>
      <x:c r="B892" s="44"/>
      <x:c r="C892" s="45"/>
      <x:c r="D892" s="44" t="str">
        <x:v>狂水</x:v>
      </x:c>
      <x:c r="E892" s="44" t="str">
        <x:v>水系</x:v>
      </x:c>
      <x:c r="F892" s="18"/>
      <x:c r="G892" s="46"/>
      <x:c r="H892" s="47" t="e">
        <x:f>HYPERLINK("#'山海经原文总库'!A3","↩ 返回目录")</x:f>
        <x:v>HYPERLINK is not implemented. linkLocation=#'山海经原文总库'!A3, friendlyName=↩ 返回目录</x:v>
      </x:c>
      <x:c r="I892" s="437"/>
      <x:c r="J892" s="437"/>
      <x:c r="K892" s="437" t="str">
        <x:v>待同名检索｜待建档</x:v>
      </x:c>
    </x:row>
    <x:row r="893" ht="64.5" customHeight="1">
      <x:c r="A893" s="44" t="str">
        <x:v>SHJ-05-072</x:v>
      </x:c>
      <x:c r="B893" s="44" t="str">
        <x:v>卷五 《中山經》</x:v>
      </x:c>
      <x:c r="C893" s="45" t="str">
        <x:v>又東七十里，曰半石之山，其上有草焉，生而秀，其高丈余，赤葉赤華，華而不實，其名曰嘉榮，服之者不霆。來需之水出於其陽，而西流注於伊水，其中多（魚侖）魚，黑文，其狀如鮒，食者不睡。合水出於其陰，而北流注於洛，多騰（馬改魚）魚，狀如鱖，居逵，蒼文赤尾，食者不癰，可以為？。</x:v>
      </x:c>
      <x:c r="D893" s="44" t="str">
        <x:v>半石之山</x:v>
      </x:c>
      <x:c r="E893" s="44" t="str">
        <x:v>山</x:v>
      </x:c>
      <x:c r="F893" s="18"/>
      <x:c r="G893" s="46" t="str">
        <x:v>标点与分段参考《山海经校注》；正文对读：https://ctext.org/shan-hai-jing/zhong-shan-jing/zh</x:v>
      </x:c>
      <x:c r="H893" s="47" t="e">
        <x:f>HYPERLINK("#'山海经原文总库'!A3","↩ 返回目录")</x:f>
        <x:v>HYPERLINK is not implemented. linkLocation=#'山海经原文总库'!A3, friendlyName=↩ 返回目录</x:v>
      </x:c>
      <x:c r="I893" s="437"/>
      <x:c r="J893" s="437"/>
      <x:c r="K893" s="437" t="str">
        <x:v>待同名检索｜待建档</x:v>
      </x:c>
    </x:row>
    <x:row r="894" ht="22.5" customHeight="1">
      <x:c r="A894" s="44"/>
      <x:c r="B894" s="44"/>
      <x:c r="C894" s="45"/>
      <x:c r="D894" s="44" t="str">
        <x:v>來需之水</x:v>
      </x:c>
      <x:c r="E894" s="44" t="str">
        <x:v>水系</x:v>
      </x:c>
      <x:c r="F894" s="18"/>
      <x:c r="G894" s="46"/>
      <x:c r="H894" s="47" t="e">
        <x:f>HYPERLINK("#'山海经原文总库'!A3","↩ 返回目录")</x:f>
        <x:v>HYPERLINK is not implemented. linkLocation=#'山海经原文总库'!A3, friendlyName=↩ 返回目录</x:v>
      </x:c>
      <x:c r="I894" s="437"/>
      <x:c r="J894" s="437"/>
      <x:c r="K894" s="437" t="str">
        <x:v>待同名检索｜待建档</x:v>
      </x:c>
    </x:row>
    <x:row r="895" ht="22.5" customHeight="1">
      <x:c r="A895" s="44"/>
      <x:c r="B895" s="44"/>
      <x:c r="C895" s="45"/>
      <x:c r="D895" s="44" t="str">
        <x:v>合水</x:v>
      </x:c>
      <x:c r="E895" s="44" t="str">
        <x:v>水系</x:v>
      </x:c>
      <x:c r="F895" s="18"/>
      <x:c r="G895" s="46"/>
      <x:c r="H895" s="47" t="e">
        <x:f>HYPERLINK("#'山海经原文总库'!A3","↩ 返回目录")</x:f>
        <x:v>HYPERLINK is not implemented. linkLocation=#'山海经原文总库'!A3, friendlyName=↩ 返回目录</x:v>
      </x:c>
      <x:c r="I895" s="437"/>
      <x:c r="J895" s="437"/>
      <x:c r="K895" s="437" t="str">
        <x:v>待同名检索｜待建档</x:v>
      </x:c>
    </x:row>
    <x:row r="896" ht="22.5" customHeight="1">
      <x:c r="A896" s="44"/>
      <x:c r="B896" s="44"/>
      <x:c r="C896" s="45"/>
      <x:c r="D896" s="44" t="str">
        <x:v>伊水</x:v>
      </x:c>
      <x:c r="E896" s="44" t="str">
        <x:v>水系</x:v>
      </x:c>
      <x:c r="F896" s="18"/>
      <x:c r="G896" s="46"/>
      <x:c r="H896" s="47" t="e">
        <x:f>HYPERLINK("#'山海经原文总库'!A3","↩ 返回目录")</x:f>
        <x:v>HYPERLINK is not implemented. linkLocation=#'山海经原文总库'!A3, friendlyName=↩ 返回目录</x:v>
      </x:c>
      <x:c r="I896" s="437"/>
      <x:c r="J896" s="437"/>
      <x:c r="K896" s="437" t="str">
        <x:v>待同名检索｜待建档</x:v>
      </x:c>
    </x:row>
    <x:row r="897" ht="64.5" customHeight="1">
      <x:c r="A897" s="44" t="str">
        <x:v>SHJ-05-073</x:v>
      </x:c>
      <x:c r="B897" s="44" t="str">
        <x:v>卷五 《中山經》</x:v>
      </x:c>
      <x:c r="C897" s="45" t="str">
        <x:v>又東五十里，曰少室之山，百草木成囷。其上有木焉，其名曰帝休，葉狀如楊，其枝五衢，黃華黑實，服者不怒。其上多玉，其下多鐵。休水出焉，而北流注於洛，其中多（魚帝）魚，狀如？蜼而長距，足白而對，食者無蠱疾，可以御兵。</x:v>
      </x:c>
      <x:c r="D897" s="44" t="str">
        <x:v>少室之山</x:v>
      </x:c>
      <x:c r="E897" s="44" t="str">
        <x:v>山</x:v>
      </x:c>
      <x:c r="F897" s="18"/>
      <x:c r="G897" s="46" t="str">
        <x:v>标点与分段参考《山海经校注》；正文对读：https://ctext.org/shan-hai-jing/zhong-shan-jing/zh</x:v>
      </x:c>
      <x:c r="H897" s="47" t="e">
        <x:f>HYPERLINK("#'山海经原文总库'!A3","↩ 返回目录")</x:f>
        <x:v>HYPERLINK is not implemented. linkLocation=#'山海经原文总库'!A3, friendlyName=↩ 返回目录</x:v>
      </x:c>
      <x:c r="I897" s="437"/>
      <x:c r="J897" s="437"/>
      <x:c r="K897" s="437" t="str">
        <x:v>待同名检索｜待建档</x:v>
      </x:c>
    </x:row>
    <x:row r="898" ht="22.5" customHeight="1">
      <x:c r="A898" s="44"/>
      <x:c r="B898" s="44"/>
      <x:c r="C898" s="45"/>
      <x:c r="D898" s="44" t="str">
        <x:v>休水</x:v>
      </x:c>
      <x:c r="E898" s="44" t="str">
        <x:v>水系</x:v>
      </x:c>
      <x:c r="F898" s="18"/>
      <x:c r="G898" s="46"/>
      <x:c r="H898" s="47" t="e">
        <x:f>HYPERLINK("#'山海经原文总库'!A3","↩ 返回目录")</x:f>
        <x:v>HYPERLINK is not implemented. linkLocation=#'山海经原文总库'!A3, friendlyName=↩ 返回目录</x:v>
      </x:c>
      <x:c r="I898" s="437"/>
      <x:c r="J898" s="437"/>
      <x:c r="K898" s="437" t="str">
        <x:v>待同名检索｜待建档</x:v>
      </x:c>
    </x:row>
    <x:row r="899" ht="48" customHeight="1">
      <x:c r="A899" s="44" t="str">
        <x:v>SHJ-05-074</x:v>
      </x:c>
      <x:c r="B899" s="44" t="str">
        <x:v>卷五 《中山經》</x:v>
      </x:c>
      <x:c r="C899" s="45" t="str">
        <x:v>又東三十里，曰泰室之山。其上有木焉，葉狀如梨而赤理，其名曰栯木，服者不妒。有草焉，其狀如（上艹下朮），白華黑實，澤如蘡薁，其名曰（上艹下瑤）草，服之不昧。上多美石。</x:v>
      </x:c>
      <x:c r="D899" s="44" t="str">
        <x:v>泰室之山</x:v>
      </x:c>
      <x:c r="E899" s="44" t="str">
        <x:v>山</x:v>
      </x:c>
      <x:c r="F899" s="18"/>
      <x:c r="G899" s="46" t="str">
        <x:v>标点与分段参考《山海经校注》；正文对读：https://ctext.org/shan-hai-jing/zhong-shan-jing/zh</x:v>
      </x:c>
      <x:c r="H899" s="47" t="e">
        <x:f>HYPERLINK("#'山海经原文总库'!A3","↩ 返回目录")</x:f>
        <x:v>HYPERLINK is not implemented. linkLocation=#'山海经原文总库'!A3, friendlyName=↩ 返回目录</x:v>
      </x:c>
      <x:c r="I899" s="437"/>
      <x:c r="J899" s="437"/>
      <x:c r="K899" s="437" t="str">
        <x:v>待同名检索｜待建档</x:v>
      </x:c>
    </x:row>
    <x:row r="900" ht="48" customHeight="1">
      <x:c r="A900" s="44" t="str">
        <x:v>SHJ-05-075</x:v>
      </x:c>
      <x:c r="B900" s="44" t="str">
        <x:v>卷五 《中山經》</x:v>
      </x:c>
      <x:c r="C900" s="45" t="str">
        <x:v>又北三十里，曰講山，其上多玉，多柘，多柏。有木焉，名曰帝屋，葉狀如椒，反傷赤實，可以御凶。</x:v>
      </x:c>
      <x:c r="D900" s="44" t="str">
        <x:v>講山</x:v>
      </x:c>
      <x:c r="E900" s="44" t="str">
        <x:v>山</x:v>
      </x:c>
      <x:c r="F900" s="18"/>
      <x:c r="G900" s="46" t="str">
        <x:v>标点与分段参考《山海经校注》；正文对读：https://ctext.org/shan-hai-jing/zhong-shan-jing/zh</x:v>
      </x:c>
      <x:c r="H900" s="47" t="e">
        <x:f>HYPERLINK("#'山海经原文总库'!A3","↩ 返回目录")</x:f>
        <x:v>HYPERLINK is not implemented. linkLocation=#'山海经原文总库'!A3, friendlyName=↩ 返回目录</x:v>
      </x:c>
      <x:c r="I900" s="437"/>
      <x:c r="J900" s="437"/>
      <x:c r="K900" s="437" t="str">
        <x:v>待同名检索｜待建档</x:v>
      </x:c>
    </x:row>
    <x:row r="901" ht="48" customHeight="1">
      <x:c r="A901" s="44" t="str">
        <x:v>SHJ-05-076</x:v>
      </x:c>
      <x:c r="B901" s="44" t="str">
        <x:v>卷五 《中山經》</x:v>
      </x:c>
      <x:c r="C901" s="45" t="str">
        <x:v>又北三十里，曰嬰梁之山，上多蒼玉，錞於玄石。</x:v>
      </x:c>
      <x:c r="D901" s="44" t="str">
        <x:v>嬰梁之山</x:v>
      </x:c>
      <x:c r="E901" s="44" t="str">
        <x:v>山</x:v>
      </x:c>
      <x:c r="F901" s="18"/>
      <x:c r="G901" s="46" t="str">
        <x:v>标点与分段参考《山海经校注》；正文对读：https://ctext.org/shan-hai-jing/zhong-shan-jing/zh</x:v>
      </x:c>
      <x:c r="H901" s="47" t="e">
        <x:f>HYPERLINK("#'山海经原文总库'!A3","↩ 返回目录")</x:f>
        <x:v>HYPERLINK is not implemented. linkLocation=#'山海经原文总库'!A3, friendlyName=↩ 返回目录</x:v>
      </x:c>
      <x:c r="I901" s="437"/>
      <x:c r="J901" s="437"/>
      <x:c r="K901" s="437" t="str">
        <x:v>待同名检索｜待建档</x:v>
      </x:c>
    </x:row>
    <x:row r="902" ht="48" customHeight="1">
      <x:c r="A902" s="44" t="str">
        <x:v>SHJ-05-077</x:v>
      </x:c>
      <x:c r="B902" s="44" t="str">
        <x:v>卷五 《中山經》</x:v>
      </x:c>
      <x:c r="C902" s="45" t="str">
        <x:v>又東三十里，曰浮戲之山。有木焉，葉狀如樗而赤實，名曰亢木，食之不蠱。汜水出焉，而北流注於河。其東有谷，因名曰蛇谷，上多少辛。</x:v>
      </x:c>
      <x:c r="D902" s="44" t="str">
        <x:v>浮戲之山</x:v>
      </x:c>
      <x:c r="E902" s="44" t="str">
        <x:v>山</x:v>
      </x:c>
      <x:c r="F902" s="18"/>
      <x:c r="G902" s="46" t="str">
        <x:v>标点与分段参考《山海经校注》；正文对读：https://ctext.org/shan-hai-jing/zhong-shan-jing/zh</x:v>
      </x:c>
      <x:c r="H902" s="47" t="e">
        <x:f>HYPERLINK("#'山海经原文总库'!A3","↩ 返回目录")</x:f>
        <x:v>HYPERLINK is not implemented. linkLocation=#'山海经原文总库'!A3, friendlyName=↩ 返回目录</x:v>
      </x:c>
      <x:c r="I902" s="437"/>
      <x:c r="J902" s="437"/>
      <x:c r="K902" s="437" t="str">
        <x:v>待同名检索｜待建档</x:v>
      </x:c>
    </x:row>
    <x:row r="903" ht="22.5" customHeight="1">
      <x:c r="A903" s="44"/>
      <x:c r="B903" s="44"/>
      <x:c r="C903" s="45"/>
      <x:c r="D903" s="44" t="str">
        <x:v>汜水</x:v>
      </x:c>
      <x:c r="E903" s="44" t="str">
        <x:v>水系</x:v>
      </x:c>
      <x:c r="F903" s="18"/>
      <x:c r="G903" s="46"/>
      <x:c r="H903" s="47" t="e">
        <x:f>HYPERLINK("#'山海经原文总库'!A3","↩ 返回目录")</x:f>
        <x:v>HYPERLINK is not implemented. linkLocation=#'山海经原文总库'!A3, friendlyName=↩ 返回目录</x:v>
      </x:c>
      <x:c r="I903" s="437"/>
      <x:c r="J903" s="437"/>
      <x:c r="K903" s="437" t="str">
        <x:v>待同名检索｜待建档</x:v>
      </x:c>
    </x:row>
    <x:row r="904" ht="22.5" customHeight="1">
      <x:c r="A904" s="44"/>
      <x:c r="B904" s="44"/>
      <x:c r="C904" s="45"/>
      <x:c r="D904" s="44" t="str">
        <x:v>因名曰蛇谷</x:v>
      </x:c>
      <x:c r="E904" s="44" t="str">
        <x:v>區域</x:v>
      </x:c>
      <x:c r="F904" s="18"/>
      <x:c r="G904" s="46"/>
      <x:c r="H904" s="47" t="e">
        <x:f>HYPERLINK("#'山海经原文总库'!A3","↩ 返回目录")</x:f>
        <x:v>HYPERLINK is not implemented. linkLocation=#'山海经原文总库'!A3, friendlyName=↩ 返回目录</x:v>
      </x:c>
      <x:c r="I904" s="437"/>
      <x:c r="J904" s="437"/>
      <x:c r="K904" s="437" t="str">
        <x:v>待同名检索｜待建档</x:v>
      </x:c>
    </x:row>
    <x:row r="905" ht="22.5" customHeight="1">
      <x:c r="A905" s="44"/>
      <x:c r="B905" s="44"/>
      <x:c r="C905" s="45"/>
      <x:c r="D905" s="44" t="str">
        <x:v>河</x:v>
      </x:c>
      <x:c r="E905" s="44" t="str">
        <x:v>地理名稱</x:v>
      </x:c>
      <x:c r="F905" s="18"/>
      <x:c r="G905" s="46"/>
      <x:c r="H905" s="47" t="e">
        <x:f>HYPERLINK("#'山海经原文总库'!A3","↩ 返回目录")</x:f>
        <x:v>HYPERLINK is not implemented. linkLocation=#'山海经原文总库'!A3, friendlyName=↩ 返回目录</x:v>
      </x:c>
      <x:c r="I905" s="437"/>
      <x:c r="J905" s="437"/>
      <x:c r="K905" s="437" t="str">
        <x:v>待同名检索｜待建档</x:v>
      </x:c>
    </x:row>
    <x:row r="906" ht="48" customHeight="1">
      <x:c r="A906" s="44" t="str">
        <x:v>SHJ-05-078-1</x:v>
      </x:c>
      <x:c r="B906" s="44" t="str">
        <x:v>卷五 《中山經》</x:v>
      </x:c>
      <x:c r="C906" s="45" t="str">
        <x:v>又東四十里，曰少陘之山。有草焉，名曰（上艹下岡）草，葉狀如葵，而赤莖白華，實如蘡薁，食之不愚。器難之水出焉，而北流注於役水。</x:v>
      </x:c>
      <x:c r="D906" s="44" t="str">
        <x:v>少陘之山</x:v>
      </x:c>
      <x:c r="E906" s="44" t="str">
        <x:v>山</x:v>
      </x:c>
      <x:c r="F906" s="18"/>
      <x:c r="G906" s="46" t="str">
        <x:v>标点与分段参考《山海经校注》；正文对读：https://ctext.org/shan-hai-jing/zhong-shan-jing/zh</x:v>
      </x:c>
      <x:c r="H906" s="47" t="e">
        <x:f>HYPERLINK("#'山海经原文总库'!A3","↩ 返回目录")</x:f>
        <x:v>HYPERLINK is not implemented. linkLocation=#'山海经原文总库'!A3, friendlyName=↩ 返回目录</x:v>
      </x:c>
      <x:c r="I906" s="437"/>
      <x:c r="J906" s="437"/>
      <x:c r="K906" s="437" t="str">
        <x:v>待同名检索｜待建档</x:v>
      </x:c>
    </x:row>
    <x:row r="907" ht="22.5" customHeight="1">
      <x:c r="A907" s="44"/>
      <x:c r="B907" s="44"/>
      <x:c r="C907" s="45"/>
      <x:c r="D907" s="44" t="str">
        <x:v>器難之水</x:v>
      </x:c>
      <x:c r="E907" s="44" t="str">
        <x:v>水系</x:v>
      </x:c>
      <x:c r="F907" s="18"/>
      <x:c r="G907" s="46"/>
      <x:c r="H907" s="47" t="e">
        <x:f>HYPERLINK("#'山海经原文总库'!A3","↩ 返回目录")</x:f>
        <x:v>HYPERLINK is not implemented. linkLocation=#'山海经原文总库'!A3, friendlyName=↩ 返回目录</x:v>
      </x:c>
      <x:c r="I907" s="437"/>
      <x:c r="J907" s="437"/>
      <x:c r="K907" s="437" t="str">
        <x:v>待同名检索｜待建档</x:v>
      </x:c>
    </x:row>
    <x:row r="908" ht="22.5" customHeight="1">
      <x:c r="A908" s="44"/>
      <x:c r="B908" s="44"/>
      <x:c r="C908" s="45"/>
      <x:c r="D908" s="44" t="str">
        <x:v>役水</x:v>
      </x:c>
      <x:c r="E908" s="44" t="str">
        <x:v>水系</x:v>
      </x:c>
      <x:c r="F908" s="18"/>
      <x:c r="G908" s="46"/>
      <x:c r="H908" s="47" t="e">
        <x:f>HYPERLINK("#'山海经原文总库'!A3","↩ 返回目录")</x:f>
        <x:v>HYPERLINK is not implemented. linkLocation=#'山海经原文总库'!A3, friendlyName=↩ 返回目录</x:v>
      </x:c>
      <x:c r="I908" s="437"/>
      <x:c r="J908" s="437"/>
      <x:c r="K908" s="437" t="str">
        <x:v>待同名检索｜待建档</x:v>
      </x:c>
    </x:row>
    <x:row r="909" ht="22.5" customHeight="1">
      <x:c r="A909" s="44"/>
      <x:c r="B909" s="44"/>
      <x:c r="C909" s="45"/>
      <x:c r="D909" s="44" t="str">
        <x:v>太山</x:v>
      </x:c>
      <x:c r="E909" s="44" t="str">
        <x:v>山</x:v>
      </x:c>
      <x:c r="F909" s="18"/>
      <x:c r="G909" s="46"/>
      <x:c r="H909" s="47" t="e">
        <x:f>HYPERLINK("#'山海经原文总库'!A3","↩ 返回目录")</x:f>
        <x:v>HYPERLINK is not implemented. linkLocation=#'山海经原文总库'!A3, friendlyName=↩ 返回目录</x:v>
      </x:c>
      <x:c r="I909" s="437"/>
      <x:c r="J909" s="437"/>
      <x:c r="K909" s="437" t="str">
        <x:v>待同名检索｜待建档</x:v>
      </x:c>
    </x:row>
    <x:row r="910" ht="22.5" customHeight="1">
      <x:c r="A910" s="44"/>
      <x:c r="B910" s="44"/>
      <x:c r="C910" s="45"/>
      <x:c r="D910" s="44" t="str">
        <x:v>太水</x:v>
      </x:c>
      <x:c r="E910" s="44" t="str">
        <x:v>水系</x:v>
      </x:c>
      <x:c r="F910" s="18"/>
      <x:c r="G910" s="46"/>
      <x:c r="H910" s="47" t="e">
        <x:f>HYPERLINK("#'山海经原文总库'!A3","↩ 返回目录")</x:f>
        <x:v>HYPERLINK is not implemented. linkLocation=#'山海经原文总库'!A3, friendlyName=↩ 返回目录</x:v>
      </x:c>
      <x:c r="I910" s="437"/>
      <x:c r="J910" s="437"/>
      <x:c r="K910" s="437" t="str">
        <x:v>待同名检索｜待建档</x:v>
      </x:c>
    </x:row>
    <x:row r="911" ht="22.5" customHeight="1">
      <x:c r="A911" s="44"/>
      <x:c r="B911" s="44"/>
      <x:c r="C911" s="45"/>
      <x:c r="D911" s="44" t="str">
        <x:v>承水</x:v>
      </x:c>
      <x:c r="E911" s="44" t="str">
        <x:v>水系</x:v>
      </x:c>
      <x:c r="F911" s="18"/>
      <x:c r="G911" s="46"/>
      <x:c r="H911" s="47" t="e">
        <x:f>HYPERLINK("#'山海经原文总库'!A3","↩ 返回目录")</x:f>
        <x:v>HYPERLINK is not implemented. linkLocation=#'山海经原文总库'!A3, friendlyName=↩ 返回目录</x:v>
      </x:c>
      <x:c r="I911" s="437"/>
      <x:c r="J911" s="437"/>
      <x:c r="K911" s="437" t="str">
        <x:v>待同名检索｜待建档</x:v>
      </x:c>
    </x:row>
    <x:row r="912" ht="48" customHeight="1">
      <x:c r="A912" s="44" t="str">
        <x:v>SHJ-05-078-2</x:v>
      </x:c>
      <x:c r="B912" s="44" t="str">
        <x:v>卷五 《中山經》</x:v>
      </x:c>
      <x:c r="C912" s="45" t="str">
        <x:v>又東南十里，曰太山。有草焉，名曰梨，其葉狀如荻而赤華，可以已疽。太水出於其陽，而東南流注於役水；承水出於其陰，而東北流注於役。</x:v>
      </x:c>
      <x:c r="D912" s="44" t="str">
        <x:v>太山</x:v>
      </x:c>
      <x:c r="E912" s="44" t="str">
        <x:v>山</x:v>
      </x:c>
      <x:c r="F912" s="18"/>
      <x:c r="G912" s="46" t="str">
        <x:v>标点与分段参考《山海经校注》；正文对读：https://ctext.org/shan-hai-jing/zhong-shan-jing/zh</x:v>
      </x:c>
      <x:c r="H912" s="47" t="e">
        <x:f>HYPERLINK("#'山海经原文总库'!A3","↩ 返回目录")</x:f>
        <x:v>HYPERLINK is not implemented. linkLocation=#'山海经原文总库'!A3, friendlyName=↩ 返回目录</x:v>
      </x:c>
      <x:c r="I912" s="437"/>
      <x:c r="J912" s="437"/>
      <x:c r="K912" s="437" t="str">
        <x:v>待同名检索｜待建档</x:v>
      </x:c>
    </x:row>
    <x:row r="913" ht="22.5" customHeight="1">
      <x:c r="A913" s="44"/>
      <x:c r="B913" s="44"/>
      <x:c r="C913" s="45"/>
      <x:c r="D913" s="44" t="str">
        <x:v>太水</x:v>
      </x:c>
      <x:c r="E913" s="44" t="str">
        <x:v>水系</x:v>
      </x:c>
      <x:c r="F913" s="18"/>
      <x:c r="G913" s="46"/>
      <x:c r="H913" s="47" t="e">
        <x:f>HYPERLINK("#'山海经原文总库'!A3","↩ 返回目录")</x:f>
        <x:v>HYPERLINK is not implemented. linkLocation=#'山海经原文总库'!A3, friendlyName=↩ 返回目录</x:v>
      </x:c>
      <x:c r="I913" s="437"/>
      <x:c r="J913" s="437"/>
      <x:c r="K913" s="437" t="str">
        <x:v>待同名检索｜待建档</x:v>
      </x:c>
    </x:row>
    <x:row r="914" ht="22.5" customHeight="1">
      <x:c r="A914" s="44"/>
      <x:c r="B914" s="44"/>
      <x:c r="C914" s="45"/>
      <x:c r="D914" s="44" t="str">
        <x:v>承水</x:v>
      </x:c>
      <x:c r="E914" s="44" t="str">
        <x:v>水系</x:v>
      </x:c>
      <x:c r="F914" s="18"/>
      <x:c r="G914" s="46"/>
      <x:c r="H914" s="47" t="e">
        <x:f>HYPERLINK("#'山海经原文总库'!A3","↩ 返回目录")</x:f>
        <x:v>HYPERLINK is not implemented. linkLocation=#'山海经原文总库'!A3, friendlyName=↩ 返回目录</x:v>
      </x:c>
      <x:c r="I914" s="437"/>
      <x:c r="J914" s="437"/>
      <x:c r="K914" s="437" t="str">
        <x:v>待同名检索｜待建档</x:v>
      </x:c>
    </x:row>
    <x:row r="915" ht="22.5" customHeight="1">
      <x:c r="A915" s="44"/>
      <x:c r="B915" s="44"/>
      <x:c r="C915" s="45"/>
      <x:c r="D915" s="44" t="str">
        <x:v>役水</x:v>
      </x:c>
      <x:c r="E915" s="44" t="str">
        <x:v>水系</x:v>
      </x:c>
      <x:c r="F915" s="18"/>
      <x:c r="G915" s="46"/>
      <x:c r="H915" s="47" t="e">
        <x:f>HYPERLINK("#'山海经原文总库'!A3","↩ 返回目录")</x:f>
        <x:v>HYPERLINK is not implemented. linkLocation=#'山海经原文总库'!A3, friendlyName=↩ 返回目录</x:v>
      </x:c>
      <x:c r="I915" s="437"/>
      <x:c r="J915" s="437"/>
      <x:c r="K915" s="437" t="str">
        <x:v>待同名检索｜待建档</x:v>
      </x:c>
    </x:row>
    <x:row r="916" ht="48" customHeight="1">
      <x:c r="A916" s="44" t="str">
        <x:v>SHJ-05-079</x:v>
      </x:c>
      <x:c r="B916" s="44" t="str">
        <x:v>卷五 《中山經》</x:v>
      </x:c>
      <x:c r="C916" s="45" t="str">
        <x:v>又東二十里，曰末山，上多赤金。末水出焉，北流注於役。</x:v>
      </x:c>
      <x:c r="D916" s="44" t="str">
        <x:v>末山</x:v>
      </x:c>
      <x:c r="E916" s="44" t="str">
        <x:v>山</x:v>
      </x:c>
      <x:c r="F916" s="18"/>
      <x:c r="G916" s="46" t="str">
        <x:v>标点与分段参考《山海经校注》；正文对读：https://ctext.org/shan-hai-jing/zhong-shan-jing/zh</x:v>
      </x:c>
      <x:c r="H916" s="47" t="e">
        <x:f>HYPERLINK("#'山海经原文总库'!A3","↩ 返回目录")</x:f>
        <x:v>HYPERLINK is not implemented. linkLocation=#'山海经原文总库'!A3, friendlyName=↩ 返回目录</x:v>
      </x:c>
      <x:c r="I916" s="437"/>
      <x:c r="J916" s="437"/>
      <x:c r="K916" s="437" t="str">
        <x:v>待同名检索｜待建档</x:v>
      </x:c>
    </x:row>
    <x:row r="917" ht="22.5" customHeight="1">
      <x:c r="A917" s="44"/>
      <x:c r="B917" s="44"/>
      <x:c r="C917" s="45"/>
      <x:c r="D917" s="44" t="str">
        <x:v>末水</x:v>
      </x:c>
      <x:c r="E917" s="44" t="str">
        <x:v>水系</x:v>
      </x:c>
      <x:c r="F917" s="18"/>
      <x:c r="G917" s="46"/>
      <x:c r="H917" s="47" t="e">
        <x:f>HYPERLINK("#'山海经原文总库'!A3","↩ 返回目录")</x:f>
        <x:v>HYPERLINK is not implemented. linkLocation=#'山海经原文总库'!A3, friendlyName=↩ 返回目录</x:v>
      </x:c>
      <x:c r="I917" s="437"/>
      <x:c r="J917" s="437"/>
      <x:c r="K917" s="437" t="str">
        <x:v>待同名检索｜待建档</x:v>
      </x:c>
    </x:row>
    <x:row r="918" ht="48" customHeight="1">
      <x:c r="A918" s="44" t="str">
        <x:v>SHJ-05-080</x:v>
      </x:c>
      <x:c r="B918" s="44" t="str">
        <x:v>卷五 《中山經》</x:v>
      </x:c>
      <x:c r="C918" s="45" t="str">
        <x:v>又東二十五里，曰役山，上多白金，多鐵。役水出焉，北注於河。</x:v>
      </x:c>
      <x:c r="D918" s="44" t="str">
        <x:v>役山</x:v>
      </x:c>
      <x:c r="E918" s="44" t="str">
        <x:v>山</x:v>
      </x:c>
      <x:c r="F918" s="18"/>
      <x:c r="G918" s="46" t="str">
        <x:v>标点与分段参考《山海经校注》；正文对读：https://ctext.org/shan-hai-jing/zhong-shan-jing/zh</x:v>
      </x:c>
      <x:c r="H918" s="47" t="e">
        <x:f>HYPERLINK("#'山海经原文总库'!A3","↩ 返回目录")</x:f>
        <x:v>HYPERLINK is not implemented. linkLocation=#'山海经原文总库'!A3, friendlyName=↩ 返回目录</x:v>
      </x:c>
      <x:c r="I918" s="437"/>
      <x:c r="J918" s="437"/>
      <x:c r="K918" s="437" t="str">
        <x:v>待同名检索｜待建档</x:v>
      </x:c>
    </x:row>
    <x:row r="919" ht="22.5" customHeight="1">
      <x:c r="A919" s="44"/>
      <x:c r="B919" s="44"/>
      <x:c r="C919" s="45"/>
      <x:c r="D919" s="44" t="str">
        <x:v>役水</x:v>
      </x:c>
      <x:c r="E919" s="44" t="str">
        <x:v>水系</x:v>
      </x:c>
      <x:c r="F919" s="18"/>
      <x:c r="G919" s="46"/>
      <x:c r="H919" s="47" t="e">
        <x:f>HYPERLINK("#'山海经原文总库'!A3","↩ 返回目录")</x:f>
        <x:v>HYPERLINK is not implemented. linkLocation=#'山海经原文总库'!A3, friendlyName=↩ 返回目录</x:v>
      </x:c>
      <x:c r="I919" s="437"/>
      <x:c r="J919" s="437"/>
      <x:c r="K919" s="437" t="str">
        <x:v>待同名检索｜待建档</x:v>
      </x:c>
    </x:row>
    <x:row r="920" ht="22.5" customHeight="1">
      <x:c r="A920" s="44"/>
      <x:c r="B920" s="44"/>
      <x:c r="C920" s="45"/>
      <x:c r="D920" s="44" t="str">
        <x:v>河</x:v>
      </x:c>
      <x:c r="E920" s="44" t="str">
        <x:v>地理名稱</x:v>
      </x:c>
      <x:c r="F920" s="18"/>
      <x:c r="G920" s="46"/>
      <x:c r="H920" s="47" t="e">
        <x:f>HYPERLINK("#'山海经原文总库'!A3","↩ 返回目录")</x:f>
        <x:v>HYPERLINK is not implemented. linkLocation=#'山海经原文总库'!A3, friendlyName=↩ 返回目录</x:v>
      </x:c>
      <x:c r="I920" s="437"/>
      <x:c r="J920" s="437"/>
      <x:c r="K920" s="437" t="str">
        <x:v>待同名检索｜待建档</x:v>
      </x:c>
    </x:row>
    <x:row r="921" ht="48" customHeight="1">
      <x:c r="A921" s="44" t="str">
        <x:v>SHJ-05-081</x:v>
      </x:c>
      <x:c r="B921" s="44" t="str">
        <x:v>卷五 《中山經》</x:v>
      </x:c>
      <x:c r="C921" s="45" t="str">
        <x:v>又東三十五里，曰敏山。上有木焉，其狀如荊，白華而赤實，名曰柏，服者不寒。其陽多（王雩）琈之玉。</x:v>
      </x:c>
      <x:c r="D921" s="44" t="str">
        <x:v>敏山</x:v>
      </x:c>
      <x:c r="E921" s="44" t="str">
        <x:v>山</x:v>
      </x:c>
      <x:c r="F921" s="18"/>
      <x:c r="G921" s="46" t="str">
        <x:v>标点与分段参考《山海经校注》；正文对读：https://ctext.org/shan-hai-jing/zhong-shan-jing/zh</x:v>
      </x:c>
      <x:c r="H921" s="47" t="e">
        <x:f>HYPERLINK("#'山海经原文总库'!A3","↩ 返回目录")</x:f>
        <x:v>HYPERLINK is not implemented. linkLocation=#'山海经原文总库'!A3, friendlyName=↩ 返回目录</x:v>
      </x:c>
      <x:c r="I921" s="437"/>
      <x:c r="J921" s="437"/>
      <x:c r="K921" s="437" t="str">
        <x:v>待同名检索｜待建档</x:v>
      </x:c>
    </x:row>
    <x:row r="922" ht="48" customHeight="1">
      <x:c r="A922" s="44" t="str">
        <x:v>SHJ-05-082</x:v>
      </x:c>
      <x:c r="B922" s="44" t="str">
        <x:v>卷五 《中山經》</x:v>
      </x:c>
      <x:c r="C922" s="45" t="str">
        <x:v>又東三十里，曰大騩之山，其陰多鐵、美玉、青堊。有草焉，其狀如蓍而毛，青華而白實，其名曰？，服之不夭，可以為腹病。</x:v>
      </x:c>
      <x:c r="D922" s="44" t="str">
        <x:v>大騩之山</x:v>
      </x:c>
      <x:c r="E922" s="44" t="str">
        <x:v>山</x:v>
      </x:c>
      <x:c r="F922" s="18"/>
      <x:c r="G922" s="46" t="str">
        <x:v>标点与分段参考《山海经校注》；正文对读：https://ctext.org/shan-hai-jing/zhong-shan-jing/zh</x:v>
      </x:c>
      <x:c r="H922" s="47" t="e">
        <x:f>HYPERLINK("#'山海经原文总库'!A3","↩ 返回目录")</x:f>
        <x:v>HYPERLINK is not implemented. linkLocation=#'山海经原文总库'!A3, friendlyName=↩ 返回目录</x:v>
      </x:c>
      <x:c r="I922" s="437"/>
      <x:c r="J922" s="437"/>
      <x:c r="K922" s="437" t="str">
        <x:v>待同名检索｜待建档</x:v>
      </x:c>
    </x:row>
    <x:row r="923" ht="64.5" customHeight="1">
      <x:c r="A923" s="44" t="str">
        <x:v>SHJ-05-083-1</x:v>
      </x:c>
      <x:c r="B923" s="44" t="str">
        <x:v>卷五 《中山經》</x:v>
      </x:c>
      <x:c r="C923" s="45" t="str">
        <x:v>凡苦山之首，自休與之山至於大騩之山，凡十有九山，千一百八十四里。其十六神者，皆豕身而人面。其祠：毛牷用一羊羞，嬰用一藻玉瘞。苦山、少室、太室皆冢也，其祠之：太牢之具，嬰以吉玉。其神狀皆人面而三首，其餘屬皆豕身人面也。</x:v>
      </x:c>
      <x:c r="D923" s="44" t="str">
        <x:v>休與之山至於大騩之山</x:v>
      </x:c>
      <x:c r="E923" s="44" t="str">
        <x:v>山</x:v>
      </x:c>
      <x:c r="F923" s="18"/>
      <x:c r="G923" s="46" t="str">
        <x:v>标点与分段参考《山海经校注》；正文对读：https://ctext.org/shan-hai-jing/zhong-shan-jing/zh</x:v>
      </x:c>
      <x:c r="H923" s="47" t="e">
        <x:f>HYPERLINK("#'山海经原文总库'!A3","↩ 返回目录")</x:f>
        <x:v>HYPERLINK is not implemented. linkLocation=#'山海经原文总库'!A3, friendlyName=↩ 返回目录</x:v>
      </x:c>
      <x:c r="I923" s="437"/>
      <x:c r="J923" s="437"/>
      <x:c r="K923" s="437" t="str">
        <x:v>待同名检索｜待建档</x:v>
      </x:c>
    </x:row>
    <x:row r="924" ht="22.5" customHeight="1">
      <x:c r="A924" s="44"/>
      <x:c r="B924" s="44"/>
      <x:c r="C924" s="45"/>
      <x:c r="D924" s="44" t="str">
        <x:v>九山</x:v>
      </x:c>
      <x:c r="E924" s="44" t="str">
        <x:v>山</x:v>
      </x:c>
      <x:c r="F924" s="18"/>
      <x:c r="G924" s="46"/>
      <x:c r="H924" s="47" t="e">
        <x:f>HYPERLINK("#'山海经原文总库'!A3","↩ 返回目录")</x:f>
        <x:v>HYPERLINK is not implemented. linkLocation=#'山海经原文总库'!A3, friendlyName=↩ 返回目录</x:v>
      </x:c>
      <x:c r="I924" s="437"/>
      <x:c r="J924" s="437"/>
      <x:c r="K924" s="437" t="str">
        <x:v>待同名检索｜待建档</x:v>
      </x:c>
    </x:row>
    <x:row r="925" ht="48" customHeight="1">
      <x:c r="A925" s="44" t="str">
        <x:v>SHJ-05-083-2</x:v>
      </x:c>
      <x:c r="B925" s="44" t="str">
        <x:v>卷五 《中山經》</x:v>
      </x:c>
      <x:c r="C925" s="45" t="str">
        <x:v>中次八經荊山之首，曰景山，其上多金玉，其木多杼檀。雎水出焉，東南流注於江，其中多丹粟，多文魚。</x:v>
      </x:c>
      <x:c r="D925" s="44" t="str">
        <x:v>景山</x:v>
      </x:c>
      <x:c r="E925" s="44" t="str">
        <x:v>山</x:v>
      </x:c>
      <x:c r="F925" s="18"/>
      <x:c r="G925" s="46" t="str">
        <x:v>标点与分段参考《山海经校注》；正文对读：https://ctext.org/shan-hai-jing/zhong-shan-jing/zh</x:v>
      </x:c>
      <x:c r="H925" s="47" t="e">
        <x:f>HYPERLINK("#'山海经原文总库'!A3","↩ 返回目录")</x:f>
        <x:v>HYPERLINK is not implemented. linkLocation=#'山海经原文总库'!A3, friendlyName=↩ 返回目录</x:v>
      </x:c>
      <x:c r="I925" s="437"/>
      <x:c r="J925" s="437"/>
      <x:c r="K925" s="437" t="str">
        <x:v>待同名检索｜待建档</x:v>
      </x:c>
    </x:row>
    <x:row r="926" ht="22.5" customHeight="1">
      <x:c r="A926" s="44"/>
      <x:c r="B926" s="44"/>
      <x:c r="C926" s="45"/>
      <x:c r="D926" s="44" t="str">
        <x:v>雎水</x:v>
      </x:c>
      <x:c r="E926" s="44" t="str">
        <x:v>水系</x:v>
      </x:c>
      <x:c r="F926" s="18"/>
      <x:c r="G926" s="46"/>
      <x:c r="H926" s="47" t="e">
        <x:f>HYPERLINK("#'山海经原文总库'!A3","↩ 返回目录")</x:f>
        <x:v>HYPERLINK is not implemented. linkLocation=#'山海经原文总库'!A3, friendlyName=↩ 返回目录</x:v>
      </x:c>
      <x:c r="I926" s="437"/>
      <x:c r="J926" s="437"/>
      <x:c r="K926" s="437" t="str">
        <x:v>待同名检索｜待建档</x:v>
      </x:c>
    </x:row>
    <x:row r="927" ht="48" customHeight="1">
      <x:c r="A927" s="44" t="str">
        <x:v>SHJ-05-083-3</x:v>
      </x:c>
      <x:c r="B927" s="44" t="str">
        <x:v>卷五 《中山經》</x:v>
      </x:c>
      <x:c r="C927" s="45" t="str">
        <x:v>東北百里，曰荊山，其陰多鐵，其陽多赤金，其中多犛牛，多豹虎，其木多松柏，其草多竹，多橘？。漳水出焉，而東南流注於雎，其中多黃金，多鮫魚。其獸多閭麋。</x:v>
      </x:c>
      <x:c r="D927" s="44" t="str">
        <x:v>荊山</x:v>
      </x:c>
      <x:c r="E927" s="44" t="str">
        <x:v>山</x:v>
      </x:c>
      <x:c r="F927" s="18"/>
      <x:c r="G927" s="46" t="str">
        <x:v>标点与分段参考《山海经校注》；正文对读：https://ctext.org/shan-hai-jing/zhong-shan-jing/zh</x:v>
      </x:c>
      <x:c r="H927" s="47" t="e">
        <x:f>HYPERLINK("#'山海经原文总库'!A3","↩ 返回目录")</x:f>
        <x:v>HYPERLINK is not implemented. linkLocation=#'山海经原文总库'!A3, friendlyName=↩ 返回目录</x:v>
      </x:c>
      <x:c r="I927" s="437"/>
      <x:c r="J927" s="437"/>
      <x:c r="K927" s="437" t="str">
        <x:v>待同名检索｜待建档</x:v>
      </x:c>
    </x:row>
    <x:row r="928" ht="22.5" customHeight="1">
      <x:c r="A928" s="44"/>
      <x:c r="B928" s="44"/>
      <x:c r="C928" s="45"/>
      <x:c r="D928" s="44" t="str">
        <x:v>漳水</x:v>
      </x:c>
      <x:c r="E928" s="44" t="str">
        <x:v>水系</x:v>
      </x:c>
      <x:c r="F928" s="18"/>
      <x:c r="G928" s="46"/>
      <x:c r="H928" s="47" t="e">
        <x:f>HYPERLINK("#'山海经原文总库'!A3","↩ 返回目录")</x:f>
        <x:v>HYPERLINK is not implemented. linkLocation=#'山海经原文总库'!A3, friendlyName=↩ 返回目录</x:v>
      </x:c>
      <x:c r="I928" s="437"/>
      <x:c r="J928" s="437"/>
      <x:c r="K928" s="437" t="str">
        <x:v>待同名检索｜待建档</x:v>
      </x:c>
    </x:row>
    <x:row r="929" ht="48" customHeight="1">
      <x:c r="A929" s="44" t="str">
        <x:v>SHJ-05-084-1</x:v>
      </x:c>
      <x:c r="B929" s="44" t="str">
        <x:v>卷五 《中山經》</x:v>
      </x:c>
      <x:c r="C929" s="45" t="str">
        <x:v>又東北百五十里，曰驕山，其上多玉，其下多青雘，其木多松柏，多桃枝鈎端。神鼉圍處之，其狀如人面，羊角虎爪，恆游於雎漳之淵，出入有光。</x:v>
      </x:c>
      <x:c r="D929" s="44" t="str">
        <x:v>驕山</x:v>
      </x:c>
      <x:c r="E929" s="44" t="str">
        <x:v>山</x:v>
      </x:c>
      <x:c r="F929" s="18"/>
      <x:c r="G929" s="46" t="str">
        <x:v>标点与分段参考《山海经校注》；正文对读：https://ctext.org/shan-hai-jing/zhong-shan-jing/zh</x:v>
      </x:c>
      <x:c r="H929" s="47" t="e">
        <x:f>HYPERLINK("#'山海经原文总库'!A3","↩ 返回目录")</x:f>
        <x:v>HYPERLINK is not implemented. linkLocation=#'山海经原文总库'!A3, friendlyName=↩ 返回目录</x:v>
      </x:c>
      <x:c r="I929" s="437"/>
      <x:c r="J929" s="437"/>
      <x:c r="K929" s="437" t="str">
        <x:v>待同名检索｜待建档</x:v>
      </x:c>
    </x:row>
    <x:row r="930" ht="22.5" customHeight="1">
      <x:c r="A930" s="44"/>
      <x:c r="B930" s="44"/>
      <x:c r="C930" s="45"/>
      <x:c r="D930" s="44" t="str">
        <x:v>恆游於雎漳之淵</x:v>
      </x:c>
      <x:c r="E930" s="44" t="str">
        <x:v>澤／淵</x:v>
      </x:c>
      <x:c r="F930" s="18"/>
      <x:c r="G930" s="46"/>
      <x:c r="H930" s="47" t="e">
        <x:f>HYPERLINK("#'山海经原文总库'!A3","↩ 返回目录")</x:f>
        <x:v>HYPERLINK is not implemented. linkLocation=#'山海经原文总库'!A3, friendlyName=↩ 返回目录</x:v>
      </x:c>
      <x:c r="I930" s="437"/>
      <x:c r="J930" s="437"/>
      <x:c r="K930" s="437" t="str">
        <x:v>待同名检索｜待建档</x:v>
      </x:c>
    </x:row>
    <x:row r="931" ht="48" customHeight="1">
      <x:c r="A931" s="44" t="str">
        <x:v>SHJ-05-084-2</x:v>
      </x:c>
      <x:c r="B931" s="44" t="str">
        <x:v>卷五 《中山經》</x:v>
      </x:c>
      <x:c r="C931" s="45" t="str">
        <x:v>又東北百二十里，曰女幾之山，其上多玉，其下多黃金，其獸多豹虎，多閭麋？麂，其鳥多白鷮，多翟，多鴆。</x:v>
      </x:c>
      <x:c r="D931" s="44" t="str">
        <x:v>女幾之山</x:v>
      </x:c>
      <x:c r="E931" s="44" t="str">
        <x:v>山</x:v>
      </x:c>
      <x:c r="F931" s="18"/>
      <x:c r="G931" s="46" t="str">
        <x:v>标点与分段参考《山海经校注》；正文对读：https://ctext.org/shan-hai-jing/zhong-shan-jing/zh</x:v>
      </x:c>
      <x:c r="H931" s="47" t="e">
        <x:f>HYPERLINK("#'山海经原文总库'!A3","↩ 返回目录")</x:f>
        <x:v>HYPERLINK is not implemented. linkLocation=#'山海经原文总库'!A3, friendlyName=↩ 返回目录</x:v>
      </x:c>
      <x:c r="I931" s="437"/>
      <x:c r="J931" s="437"/>
      <x:c r="K931" s="437" t="str">
        <x:v>待同名检索｜待建档</x:v>
      </x:c>
    </x:row>
    <x:row r="932" ht="48" customHeight="1">
      <x:c r="A932" s="44" t="str">
        <x:v>SHJ-05-084-3</x:v>
      </x:c>
      <x:c r="B932" s="44" t="str">
        <x:v>卷五 《中山經》</x:v>
      </x:c>
      <x:c r="C932" s="45" t="str">
        <x:v>又東北二百里，曰宜諸之山，其上多金玉，其下多青雘。洈水出焉，而南流注於漳，其中多白玉。</x:v>
      </x:c>
      <x:c r="D932" s="44" t="str">
        <x:v>宜諸之山</x:v>
      </x:c>
      <x:c r="E932" s="44" t="str">
        <x:v>山</x:v>
      </x:c>
      <x:c r="F932" s="18"/>
      <x:c r="G932" s="46" t="str">
        <x:v>标点与分段参考《山海经校注》；正文对读：https://ctext.org/shan-hai-jing/zhong-shan-jing/zh</x:v>
      </x:c>
      <x:c r="H932" s="47" t="e">
        <x:f>HYPERLINK("#'山海经原文总库'!A3","↩ 返回目录")</x:f>
        <x:v>HYPERLINK is not implemented. linkLocation=#'山海经原文总库'!A3, friendlyName=↩ 返回目录</x:v>
      </x:c>
      <x:c r="I932" s="437"/>
      <x:c r="J932" s="437"/>
      <x:c r="K932" s="437" t="str">
        <x:v>待同名检索｜待建档</x:v>
      </x:c>
    </x:row>
    <x:row r="933" ht="22.5" customHeight="1">
      <x:c r="A933" s="44"/>
      <x:c r="B933" s="44"/>
      <x:c r="C933" s="45"/>
      <x:c r="D933" s="44" t="str">
        <x:v>洈水</x:v>
      </x:c>
      <x:c r="E933" s="44" t="str">
        <x:v>水系</x:v>
      </x:c>
      <x:c r="F933" s="18"/>
      <x:c r="G933" s="46"/>
      <x:c r="H933" s="47" t="e">
        <x:f>HYPERLINK("#'山海经原文总库'!A3","↩ 返回目录")</x:f>
        <x:v>HYPERLINK is not implemented. linkLocation=#'山海经原文总库'!A3, friendlyName=↩ 返回目录</x:v>
      </x:c>
      <x:c r="I933" s="437"/>
      <x:c r="J933" s="437"/>
      <x:c r="K933" s="437" t="str">
        <x:v>待同名检索｜待建档</x:v>
      </x:c>
    </x:row>
    <x:row r="934" ht="48" customHeight="1">
      <x:c r="A934" s="44" t="str">
        <x:v>SHJ-05-084-4</x:v>
      </x:c>
      <x:c r="B934" s="44" t="str">
        <x:v>卷五 《中山經》</x:v>
      </x:c>
      <x:c r="C934" s="45" t="str">
        <x:v>又東北二百里，曰綸山，其木多梓柟，多桃枝，多柤栗橘？，其獸多閭麈¤？。</x:v>
      </x:c>
      <x:c r="D934" s="44" t="str">
        <x:v>綸山</x:v>
      </x:c>
      <x:c r="E934" s="44" t="str">
        <x:v>山</x:v>
      </x:c>
      <x:c r="F934" s="18"/>
      <x:c r="G934" s="46" t="str">
        <x:v>标点与分段参考《山海经校注》；正文对读：https://ctext.org/shan-hai-jing/zhong-shan-jing/zh</x:v>
      </x:c>
      <x:c r="H934" s="47" t="e">
        <x:f>HYPERLINK("#'山海经原文总库'!A3","↩ 返回目录")</x:f>
        <x:v>HYPERLINK is not implemented. linkLocation=#'山海经原文总库'!A3, friendlyName=↩ 返回目录</x:v>
      </x:c>
      <x:c r="I934" s="437"/>
      <x:c r="J934" s="437"/>
      <x:c r="K934" s="437" t="str">
        <x:v>待同名检索｜待建档</x:v>
      </x:c>
    </x:row>
    <x:row r="935" ht="48" customHeight="1">
      <x:c r="A935" s="44" t="str">
        <x:v>SHJ-05-085</x:v>
      </x:c>
      <x:c r="B935" s="44" t="str">
        <x:v>卷五 《中山經》</x:v>
      </x:c>
      <x:c r="C935" s="45" t="str">
        <x:v>又東百三十里，曰光山，其上多碧，其下多木。神計蒙處之，其狀人身而龍首，恆游於漳淵，出入必有飄風暴雨。</x:v>
      </x:c>
      <x:c r="D935" s="44" t="str">
        <x:v>光山</x:v>
      </x:c>
      <x:c r="E935" s="44" t="str">
        <x:v>山</x:v>
      </x:c>
      <x:c r="F935" s="18"/>
      <x:c r="G935" s="46" t="str">
        <x:v>标点与分段参考《山海经校注》；正文对读：https://ctext.org/shan-hai-jing/zhong-shan-jing/zh</x:v>
      </x:c>
      <x:c r="H935" s="47" t="e">
        <x:f>HYPERLINK("#'山海经原文总库'!A3","↩ 返回目录")</x:f>
        <x:v>HYPERLINK is not implemented. linkLocation=#'山海经原文总库'!A3, friendlyName=↩ 返回目录</x:v>
      </x:c>
      <x:c r="I935" s="437"/>
      <x:c r="J935" s="437"/>
      <x:c r="K935" s="437" t="str">
        <x:v>待同名检索｜待建档</x:v>
      </x:c>
    </x:row>
    <x:row r="936" ht="22.5" customHeight="1">
      <x:c r="A936" s="44"/>
      <x:c r="B936" s="44"/>
      <x:c r="C936" s="45"/>
      <x:c r="D936" s="44" t="str">
        <x:v>恆游於漳淵</x:v>
      </x:c>
      <x:c r="E936" s="44" t="str">
        <x:v>澤／淵</x:v>
      </x:c>
      <x:c r="F936" s="18"/>
      <x:c r="G936" s="46"/>
      <x:c r="H936" s="47" t="e">
        <x:f>HYPERLINK("#'山海经原文总库'!A3","↩ 返回目录")</x:f>
        <x:v>HYPERLINK is not implemented. linkLocation=#'山海经原文总库'!A3, friendlyName=↩ 返回目录</x:v>
      </x:c>
      <x:c r="I936" s="437"/>
      <x:c r="J936" s="437"/>
      <x:c r="K936" s="437" t="str">
        <x:v>待同名检索｜待建档</x:v>
      </x:c>
    </x:row>
    <x:row r="937" ht="48" customHeight="1">
      <x:c r="A937" s="44" t="str">
        <x:v>SHJ-05-086</x:v>
      </x:c>
      <x:c r="B937" s="44" t="str">
        <x:v>卷五 《中山經》</x:v>
      </x:c>
      <x:c r="C937" s="45" t="str">
        <x:v>又東百五十里，曰岐山，其陽多赤金，其陰多白？，其上多金玉，其下多青雘，其木多樗。神涉鼉處之，其狀人身而方面三足。</x:v>
      </x:c>
      <x:c r="D937" s="44" t="str">
        <x:v>岐山</x:v>
      </x:c>
      <x:c r="E937" s="44" t="str">
        <x:v>山</x:v>
      </x:c>
      <x:c r="F937" s="18"/>
      <x:c r="G937" s="46" t="str">
        <x:v>标点与分段参考《山海经校注》；正文对读：https://ctext.org/shan-hai-jing/zhong-shan-jing/zh</x:v>
      </x:c>
      <x:c r="H937" s="47" t="e">
        <x:f t="shared" ref="H937:H942" si="3">HYPERLINK("#'山海经原文总库'!A3","↩ 返回目录")</x:f>
        <x:v>HYPERLINK is not implemented. linkLocation=#'山海经原文总库'!A3, friendlyName=↩ 返回目录</x:v>
      </x:c>
      <x:c r="I937" s="437"/>
      <x:c r="J937" s="437"/>
      <x:c r="K937" s="437" t="str">
        <x:v>待同名检索｜待建档</x:v>
      </x:c>
    </x:row>
    <x:row r="938" ht="48" customHeight="1">
      <x:c r="A938" s="44" t="str">
        <x:v>SHJ-05-087-1</x:v>
      </x:c>
      <x:c r="B938" s="44" t="str">
        <x:v>卷五 《中山經》</x:v>
      </x:c>
      <x:c r="C938" s="45" t="str">
        <x:v>又東北一百里，曰美山，其獸多兕牛，多閭麈，多豕鹿，其上多金，其下多青雘。</x:v>
      </x:c>
      <x:c r="D938" s="44" t="str">
        <x:v>美山</x:v>
      </x:c>
      <x:c r="E938" s="44" t="str">
        <x:v>山</x:v>
      </x:c>
      <x:c r="F938" s="18"/>
      <x:c r="G938" s="46" t="str">
        <x:v>标点与分段参考《山海经校注》；正文对读：https://ctext.org/shan-hai-jing/zhong-shan-jing/zh</x:v>
      </x:c>
      <x:c r="H938" s="47" t="e">
        <x:f t="shared" si="3">HYPERLINK("#'山海经原文总库'!A3","↩ 返回目录")</x:f>
        <x:v>HYPERLINK is not implemented. linkLocation=#'山海经原文总库'!A3, friendlyName=↩ 返回目录</x:v>
      </x:c>
      <x:c r="I938" s="437"/>
      <x:c r="J938" s="437"/>
      <x:c r="K938" s="437" t="str">
        <x:v>待同名检索｜待建档</x:v>
      </x:c>
    </x:row>
    <x:row r="939" ht="48" customHeight="1">
      <x:c r="A939" s="44" t="str">
        <x:v>SHJ-05-087-2</x:v>
      </x:c>
      <x:c r="B939" s="44" t="str">
        <x:v>卷五 《中山經》</x:v>
      </x:c>
      <x:c r="C939" s="45" t="str">
        <x:v>又東北百里，曰大堯之山，其木多松柏，多梓桑，多機，其草多竹，其獸多豹虎¤？。</x:v>
      </x:c>
      <x:c r="D939" s="44" t="str">
        <x:v>大堯之山</x:v>
      </x:c>
      <x:c r="E939" s="44" t="str">
        <x:v>山</x:v>
      </x:c>
      <x:c r="F939" s="18"/>
      <x:c r="G939" s="46" t="str">
        <x:v>标点与分段参考《山海经校注》；正文对读：https://ctext.org/shan-hai-jing/zhong-shan-jing/zh</x:v>
      </x:c>
      <x:c r="H939" s="47" t="e">
        <x:f t="shared" si="3">HYPERLINK("#'山海经原文总库'!A3","↩ 返回目录")</x:f>
        <x:v>HYPERLINK is not implemented. linkLocation=#'山海经原文总库'!A3, friendlyName=↩ 返回目录</x:v>
      </x:c>
      <x:c r="I939" s="437"/>
      <x:c r="J939" s="437"/>
      <x:c r="K939" s="437" t="str">
        <x:v>待同名检索｜待建档</x:v>
      </x:c>
    </x:row>
    <x:row r="940" ht="48" customHeight="1">
      <x:c r="A940" s="44" t="str">
        <x:v>SHJ-05-087-3</x:v>
      </x:c>
      <x:c r="B940" s="44" t="str">
        <x:v>卷五 《中山經》</x:v>
      </x:c>
      <x:c r="C940" s="45" t="str">
        <x:v>又東北三百里，曰靈山，其上多金玉，其下多菁雘，其木多桃李梅杏。</x:v>
      </x:c>
      <x:c r="D940" s="44" t="str">
        <x:v>靈山</x:v>
      </x:c>
      <x:c r="E940" s="44" t="str">
        <x:v>山</x:v>
      </x:c>
      <x:c r="F940" s="18"/>
      <x:c r="G940" s="46" t="str">
        <x:v>标点与分段参考《山海经校注》；正文对读：https://ctext.org/shan-hai-jing/zhong-shan-jing/zh</x:v>
      </x:c>
      <x:c r="H940" s="47" t="e">
        <x:f t="shared" si="3">HYPERLINK("#'山海经原文总库'!A3","↩ 返回目录")</x:f>
        <x:v>HYPERLINK is not implemented. linkLocation=#'山海经原文总库'!A3, friendlyName=↩ 返回目录</x:v>
      </x:c>
      <x:c r="I940" s="437"/>
      <x:c r="J940" s="437"/>
      <x:c r="K940" s="437" t="str">
        <x:v>待同名检索｜待建档</x:v>
      </x:c>
    </x:row>
    <x:row r="941" ht="48" customHeight="1">
      <x:c r="A941" s="44" t="str">
        <x:v>SHJ-05-087-4</x:v>
      </x:c>
      <x:c r="B941" s="44" t="str">
        <x:v>卷五 《中山經》</x:v>
      </x:c>
      <x:c r="C941" s="45" t="str">
        <x:v>又東北七十里，曰龍山，上多寓木，其上多碧，其下多赤錫，其草多桃枝鈎端。</x:v>
      </x:c>
      <x:c r="D941" s="44" t="str">
        <x:v>龍山</x:v>
      </x:c>
      <x:c r="E941" s="44" t="str">
        <x:v>山</x:v>
      </x:c>
      <x:c r="F941" s="18"/>
      <x:c r="G941" s="46" t="str">
        <x:v>标点与分段参考《山海经校注》；正文对读：https://ctext.org/shan-hai-jing/zhong-shan-jing/zh</x:v>
      </x:c>
      <x:c r="H941" s="47" t="e">
        <x:f t="shared" si="3">HYPERLINK("#'山海经原文总库'!A3","↩ 返回目录")</x:f>
        <x:v>HYPERLINK is not implemented. linkLocation=#'山海经原文总库'!A3, friendlyName=↩ 返回目录</x:v>
      </x:c>
      <x:c r="I941" s="437"/>
      <x:c r="J941" s="437"/>
      <x:c r="K941" s="437" t="str">
        <x:v>待同名检索｜待建档</x:v>
      </x:c>
    </x:row>
    <x:row r="942" ht="48" customHeight="1">
      <x:c r="A942" s="44" t="str">
        <x:v>SHJ-05-088-1</x:v>
      </x:c>
      <x:c r="B942" s="44" t="str">
        <x:v>卷五 《中山經》</x:v>
      </x:c>
      <x:c r="C942" s="45" t="str">
        <x:v>又南百二十里，曰若山，其上多（王雩）琈之玉，多赭，多邽石，多寓木，多柘。</x:v>
      </x:c>
      <x:c r="D942" s="44" t="str">
        <x:v>若山</x:v>
      </x:c>
      <x:c r="E942" s="44" t="str">
        <x:v>山</x:v>
      </x:c>
      <x:c r="F942" s="18"/>
      <x:c r="G942" s="46" t="str">
        <x:v>标点与分段参考《山海经校注》；正文对读：https://ctext.org/shan-hai-jing/zhong-shan-jing/zh</x:v>
      </x:c>
      <x:c r="H942" s="47" t="e">
        <x:f t="shared" si="3">HYPERLINK("#'山海经原文总库'!A3","↩ 返回目录")</x:f>
        <x:v>HYPERLINK is not implemented. linkLocation=#'山海经原文总库'!A3, friendlyName=↩ 返回目录</x:v>
      </x:c>
      <x:c r="I942" s="437"/>
      <x:c r="J942" s="437"/>
      <x:c r="K942" s="437" t="str">
        <x:v>待同名检索｜待建档</x:v>
      </x:c>
    </x:row>
    <x:row r="943" ht="22.5" customHeight="1">
      <x:c r="A943" s="44"/>
      <x:c r="B943" s="44"/>
      <x:c r="C943" s="45"/>
      <x:c r="D943" s="44" t="str">
        <x:v>彘山</x:v>
      </x:c>
      <x:c r="E943" s="44" t="str">
        <x:v>山</x:v>
      </x:c>
      <x:c r="F943" s="18"/>
      <x:c r="G943" s="46"/>
      <x:c r="H943" s="47" t="e">
        <x:f>HYPERLINK("#'山海经原文总库'!A3","↩ 返回目录")</x:f>
        <x:v>HYPERLINK is not implemented. linkLocation=#'山海经原文总库'!A3, friendlyName=↩ 返回目录</x:v>
      </x:c>
      <x:c r="I943" s="437"/>
      <x:c r="J943" s="437"/>
      <x:c r="K943" s="437" t="str">
        <x:v>待同名检索｜待建档</x:v>
      </x:c>
    </x:row>
    <x:row r="944" ht="22.5" customHeight="1">
      <x:c r="A944" s="44"/>
      <x:c r="B944" s="44"/>
      <x:c r="C944" s="45"/>
      <x:c r="D944" s="44" t="str">
        <x:v>玉山</x:v>
      </x:c>
      <x:c r="E944" s="44" t="str">
        <x:v>山</x:v>
      </x:c>
      <x:c r="F944" s="18"/>
      <x:c r="G944" s="46"/>
      <x:c r="H944" s="47" t="e">
        <x:f>HYPERLINK("#'山海经原文总库'!A3","↩ 返回目录")</x:f>
        <x:v>HYPERLINK is not implemented. linkLocation=#'山海经原文总库'!A3, friendlyName=↩ 返回目录</x:v>
      </x:c>
      <x:c r="I944" s="437"/>
      <x:c r="J944" s="437"/>
      <x:c r="K944" s="437" t="str">
        <x:v>待同名检索｜待建档</x:v>
      </x:c>
    </x:row>
    <x:row r="945" ht="22.5" customHeight="1">
      <x:c r="A945" s="44"/>
      <x:c r="B945" s="44"/>
      <x:c r="C945" s="45"/>
      <x:c r="D945" s="44" t="str">
        <x:v>讙山</x:v>
      </x:c>
      <x:c r="E945" s="44" t="str">
        <x:v>山</x:v>
      </x:c>
      <x:c r="F945" s="18"/>
      <x:c r="G945" s="46"/>
      <x:c r="H945" s="47" t="e">
        <x:f>HYPERLINK("#'山海经原文总库'!A3","↩ 返回目录")</x:f>
        <x:v>HYPERLINK is not implemented. linkLocation=#'山海经原文总库'!A3, friendlyName=↩ 返回目录</x:v>
      </x:c>
      <x:c r="I945" s="437"/>
      <x:c r="J945" s="437"/>
      <x:c r="K945" s="437" t="str">
        <x:v>待同名检索｜待建档</x:v>
      </x:c>
    </x:row>
    <x:row r="946" ht="22.5" customHeight="1">
      <x:c r="A946" s="44"/>
      <x:c r="B946" s="44"/>
      <x:c r="C946" s="45"/>
      <x:c r="D946" s="44" t="str">
        <x:v>郁水</x:v>
      </x:c>
      <x:c r="E946" s="44" t="str">
        <x:v>水系</x:v>
      </x:c>
      <x:c r="F946" s="18"/>
      <x:c r="G946" s="46"/>
      <x:c r="H946" s="47" t="e">
        <x:f>HYPERLINK("#'山海经原文总库'!A3","↩ 返回目录")</x:f>
        <x:v>HYPERLINK is not implemented. linkLocation=#'山海经原文总库'!A3, friendlyName=↩ 返回目录</x:v>
      </x:c>
      <x:c r="I946" s="437"/>
      <x:c r="J946" s="437"/>
      <x:c r="K946" s="437" t="str">
        <x:v>待同名检索｜待建档</x:v>
      </x:c>
    </x:row>
    <x:row r="947" ht="22.5" customHeight="1">
      <x:c r="A947" s="44"/>
      <x:c r="B947" s="44"/>
      <x:c r="C947" s="45"/>
      <x:c r="D947" s="44" t="str">
        <x:v>仁舉之山</x:v>
      </x:c>
      <x:c r="E947" s="44" t="str">
        <x:v>山</x:v>
      </x:c>
      <x:c r="F947" s="18"/>
      <x:c r="G947" s="46"/>
      <x:c r="H947" s="47" t="e">
        <x:f>HYPERLINK("#'山海经原文总库'!A3","↩ 返回目录")</x:f>
        <x:v>HYPERLINK is not implemented. linkLocation=#'山海经原文总库'!A3, friendlyName=↩ 返回目录</x:v>
      </x:c>
      <x:c r="I947" s="437"/>
      <x:c r="J947" s="437"/>
      <x:c r="K947" s="437" t="str">
        <x:v>待同名检索｜待建档</x:v>
      </x:c>
    </x:row>
    <x:row r="948" ht="48" customHeight="1">
      <x:c r="A948" s="44" t="str">
        <x:v>SHJ-05-088-2</x:v>
      </x:c>
      <x:c r="B948" s="44" t="str">
        <x:v>卷五 《中山經》</x:v>
      </x:c>
      <x:c r="C948" s="45" t="str">
        <x:v>又東南一百二十里，曰彘山，多美石，多柘。</x:v>
      </x:c>
      <x:c r="D948" s="44" t="str">
        <x:v>彘山</x:v>
      </x:c>
      <x:c r="E948" s="44" t="str">
        <x:v>山</x:v>
      </x:c>
      <x:c r="F948" s="18"/>
      <x:c r="G948" s="46" t="str">
        <x:v>标点与分段参考《山海经校注》；正文对读：https://ctext.org/shan-hai-jing/zhong-shan-jing/zh</x:v>
      </x:c>
      <x:c r="H948" s="47" t="e">
        <x:f>HYPERLINK("#'山海经原文总库'!A3","↩ 返回目录")</x:f>
        <x:v>HYPERLINK is not implemented. linkLocation=#'山海经原文总库'!A3, friendlyName=↩ 返回目录</x:v>
      </x:c>
      <x:c r="I948" s="437"/>
      <x:c r="J948" s="437"/>
      <x:c r="K948" s="437" t="str">
        <x:v>待同名检索｜待建档</x:v>
      </x:c>
    </x:row>
    <x:row r="949" ht="48" customHeight="1">
      <x:c r="A949" s="44" t="str">
        <x:v>SHJ-05-088-3</x:v>
      </x:c>
      <x:c r="B949" s="44" t="str">
        <x:v>卷五 《中山經》</x:v>
      </x:c>
      <x:c r="C949" s="45" t="str">
        <x:v>又東南一百五十里，曰玉山，其上多金玉，其下多碧鐵，其木多柏。</x:v>
      </x:c>
      <x:c r="D949" s="44" t="str">
        <x:v>玉山</x:v>
      </x:c>
      <x:c r="E949" s="44" t="str">
        <x:v>山</x:v>
      </x:c>
      <x:c r="F949" s="18"/>
      <x:c r="G949" s="46" t="str">
        <x:v>标点与分段参考《山海经校注》；正文对读：https://ctext.org/shan-hai-jing/zhong-shan-jing/zh</x:v>
      </x:c>
      <x:c r="H949" s="47" t="e">
        <x:f>HYPERLINK("#'山海经原文总库'!A3","↩ 返回目录")</x:f>
        <x:v>HYPERLINK is not implemented. linkLocation=#'山海经原文总库'!A3, friendlyName=↩ 返回目录</x:v>
      </x:c>
      <x:c r="I949" s="437"/>
      <x:c r="J949" s="437"/>
      <x:c r="K949" s="437" t="str">
        <x:v>待同名检索｜待建档</x:v>
      </x:c>
    </x:row>
    <x:row r="950" ht="48" customHeight="1">
      <x:c r="A950" s="44" t="str">
        <x:v>SHJ-05-088-4</x:v>
      </x:c>
      <x:c r="B950" s="44" t="str">
        <x:v>卷五 《中山經》</x:v>
      </x:c>
      <x:c r="C950" s="45" t="str">
        <x:v>又東南七十里，曰灌山，其木多檀，多邽石，多白錫。郁水出於其上，潛於其下，其中多砥礪。</x:v>
      </x:c>
      <x:c r="D950" s="44" t="str">
        <x:v>灌山</x:v>
      </x:c>
      <x:c r="E950" s="44" t="str">
        <x:v>山</x:v>
      </x:c>
      <x:c r="F950" s="18"/>
      <x:c r="G950" s="46" t="str">
        <x:v>标点与分段参考《山海经校注》；正文对读：https://ctext.org/shan-hai-jing/zhong-shan-jing/zh</x:v>
      </x:c>
      <x:c r="H950" s="47" t="e">
        <x:f>HYPERLINK("#'山海经原文总库'!A3","↩ 返回目录")</x:f>
        <x:v>HYPERLINK is not implemented. linkLocation=#'山海经原文总库'!A3, friendlyName=↩ 返回目录</x:v>
      </x:c>
      <x:c r="I950" s="437"/>
      <x:c r="J950" s="437"/>
      <x:c r="K950" s="437" t="str">
        <x:v>待同名检索｜待建档</x:v>
      </x:c>
    </x:row>
    <x:row r="951" ht="22.5" customHeight="1">
      <x:c r="A951" s="44"/>
      <x:c r="B951" s="44"/>
      <x:c r="C951" s="45"/>
      <x:c r="D951" s="44" t="str">
        <x:v>郁水</x:v>
      </x:c>
      <x:c r="E951" s="44" t="str">
        <x:v>水系</x:v>
      </x:c>
      <x:c r="F951" s="18"/>
      <x:c r="G951" s="46"/>
      <x:c r="H951" s="47" t="e">
        <x:f>HYPERLINK("#'山海经原文总库'!A3","↩ 返回目录")</x:f>
        <x:v>HYPERLINK is not implemented. linkLocation=#'山海经原文总库'!A3, friendlyName=↩ 返回目录</x:v>
      </x:c>
      <x:c r="I951" s="437"/>
      <x:c r="J951" s="437"/>
      <x:c r="K951" s="437" t="str">
        <x:v>待同名检索｜待建档</x:v>
      </x:c>
    </x:row>
    <x:row r="952" ht="48" customHeight="1">
      <x:c r="A952" s="44" t="str">
        <x:v>SHJ-05-089-1</x:v>
      </x:c>
      <x:c r="B952" s="44" t="str">
        <x:v>卷五 《中山經》</x:v>
      </x:c>
      <x:c r="C952" s="45" t="str">
        <x:v>又東五十里，曰師每之山，其陽多砥礪，其陰多青雘，其木多柏，多檀，多柘，其草多竹。</x:v>
      </x:c>
      <x:c r="D952" s="44" t="str">
        <x:v>師每之山</x:v>
      </x:c>
      <x:c r="E952" s="44" t="str">
        <x:v>山</x:v>
      </x:c>
      <x:c r="F952" s="18"/>
      <x:c r="G952" s="46" t="str">
        <x:v>标点与分段参考《山海经校注》；正文对读：https://ctext.org/shan-hai-jing/zhong-shan-jing/zh</x:v>
      </x:c>
      <x:c r="H952" s="47" t="e">
        <x:f>HYPERLINK("#'山海经原文总库'!A3","↩ 返回目录")</x:f>
        <x:v>HYPERLINK is not implemented. linkLocation=#'山海经原文总库'!A3, friendlyName=↩ 返回目录</x:v>
      </x:c>
      <x:c r="I952" s="437"/>
      <x:c r="J952" s="437"/>
      <x:c r="K952" s="437" t="str">
        <x:v>待同名检索｜待建档</x:v>
      </x:c>
    </x:row>
    <x:row r="953" ht="48" customHeight="1">
      <x:c r="A953" s="44" t="str">
        <x:v>SHJ-05-089-2</x:v>
      </x:c>
      <x:c r="B953" s="44" t="str">
        <x:v>卷五 《中山經》</x:v>
      </x:c>
      <x:c r="C953" s="45" t="str">
        <x:v>又東南二百里，曰琴鼓之山，其木多榖柞椒柘，其上多白？，其下多洗石，其獸多豕鹿，多白犀，其鳥多鴆。</x:v>
      </x:c>
      <x:c r="D953" s="44" t="str">
        <x:v>琴鼓之山</x:v>
      </x:c>
      <x:c r="E953" s="44" t="str">
        <x:v>山</x:v>
      </x:c>
      <x:c r="F953" s="18"/>
      <x:c r="G953" s="46" t="str">
        <x:v>标点与分段参考《山海经校注》；正文对读：https://ctext.org/shan-hai-jing/zhong-shan-jing/zh</x:v>
      </x:c>
      <x:c r="H953" s="47" t="e">
        <x:f>HYPERLINK("#'山海经原文总库'!A3","↩ 返回目录")</x:f>
        <x:v>HYPERLINK is not implemented. linkLocation=#'山海经原文总库'!A3, friendlyName=↩ 返回目录</x:v>
      </x:c>
      <x:c r="I953" s="437"/>
      <x:c r="J953" s="437"/>
      <x:c r="K953" s="437" t="str">
        <x:v>待同名检索｜待建档</x:v>
      </x:c>
    </x:row>
    <x:row r="954" ht="48" customHeight="1">
      <x:c r="A954" s="44" t="str">
        <x:v>SHJ-05-090-1</x:v>
      </x:c>
      <x:c r="B954" s="44" t="str">
        <x:v>卷五 《中山經》</x:v>
      </x:c>
      <x:c r="C954" s="45" t="str">
        <x:v>凡荊山之首，自景山至琴鼓之山，凡二十三山，二千八百九十里。其神狀皆鳥身而人面。其祠：用一雄雞祈瘞，用一藻圭，糈用稌。驕山，冢也，其祠：用羞酒少牢祈瘞，嬰毛一璧。</x:v>
      </x:c>
      <x:c r="D954" s="44" t="str">
        <x:v>景山至琴鼓之山</x:v>
      </x:c>
      <x:c r="E954" s="44" t="str">
        <x:v>山</x:v>
      </x:c>
      <x:c r="F954" s="18"/>
      <x:c r="G954" s="46" t="str">
        <x:v>标点与分段参考《山海经校注》；正文对读：https://ctext.org/shan-hai-jing/zhong-shan-jing/zh</x:v>
      </x:c>
      <x:c r="H954" s="47" t="e">
        <x:f>HYPERLINK("#'山海经原文总库'!A3","↩ 返回目录")</x:f>
        <x:v>HYPERLINK is not implemented. linkLocation=#'山海经原文总库'!A3, friendlyName=↩ 返回目录</x:v>
      </x:c>
      <x:c r="I954" s="437"/>
      <x:c r="J954" s="437"/>
      <x:c r="K954" s="437" t="str">
        <x:v>待同名检索｜待建档</x:v>
      </x:c>
    </x:row>
    <x:row r="955" ht="48" customHeight="1">
      <x:c r="A955" s="44" t="str">
        <x:v>SHJ-05-090-2</x:v>
      </x:c>
      <x:c r="B955" s="44" t="str">
        <x:v>卷五 《中山經》</x:v>
      </x:c>
      <x:c r="C955" s="45" t="str">
        <x:v>中次九經岷山之首，曰女幾之山，其上多石涅，其木多杻橿，其草多菊（上艹下朮）。洛水出焉，東注於江，其中多雄黃，其獸多虎豹。</x:v>
      </x:c>
      <x:c r="D955" s="44" t="str">
        <x:v>女幾之山</x:v>
      </x:c>
      <x:c r="E955" s="44" t="str">
        <x:v>山</x:v>
      </x:c>
      <x:c r="F955" s="18"/>
      <x:c r="G955" s="46" t="str">
        <x:v>标点与分段参考《山海经校注》；正文对读：https://ctext.org/shan-hai-jing/zhong-shan-jing/zh</x:v>
      </x:c>
      <x:c r="H955" s="47" t="e">
        <x:f>HYPERLINK("#'山海经原文总库'!A3","↩ 返回目录")</x:f>
        <x:v>HYPERLINK is not implemented. linkLocation=#'山海经原文总库'!A3, friendlyName=↩ 返回目录</x:v>
      </x:c>
      <x:c r="I955" s="437"/>
      <x:c r="J955" s="437"/>
      <x:c r="K955" s="437" t="str">
        <x:v>待同名检索｜待建档</x:v>
      </x:c>
    </x:row>
    <x:row r="956" ht="22.5" customHeight="1">
      <x:c r="A956" s="44"/>
      <x:c r="B956" s="44"/>
      <x:c r="C956" s="45"/>
      <x:c r="D956" s="44" t="str">
        <x:v>洛水</x:v>
      </x:c>
      <x:c r="E956" s="44" t="str">
        <x:v>水系</x:v>
      </x:c>
      <x:c r="F956" s="18"/>
      <x:c r="G956" s="46"/>
      <x:c r="H956" s="47" t="e">
        <x:f>HYPERLINK("#'山海经原文总库'!A3","↩ 返回目录")</x:f>
        <x:v>HYPERLINK is not implemented. linkLocation=#'山海经原文总库'!A3, friendlyName=↩ 返回目录</x:v>
      </x:c>
      <x:c r="I956" s="437"/>
      <x:c r="J956" s="437"/>
      <x:c r="K956" s="437" t="str">
        <x:v>待同名检索｜待建档</x:v>
      </x:c>
    </x:row>
    <x:row r="957" ht="48" customHeight="1">
      <x:c r="A957" s="44" t="str">
        <x:v>SHJ-05-090-3</x:v>
      </x:c>
      <x:c r="B957" s="44" t="str">
        <x:v>卷五 《中山經》</x:v>
      </x:c>
      <x:c r="C957" s="45" t="str">
        <x:v>又東北三百里，曰岷山，江水出焉，東北流注於海，其中多良龜，多鼉。其上多金玉，其下多白？，其木多梅棠，其獸多犀象，多夔牛，其鳥多翰鷩。</x:v>
      </x:c>
      <x:c r="D957" s="44" t="str">
        <x:v>岷山</x:v>
      </x:c>
      <x:c r="E957" s="44" t="str">
        <x:v>山</x:v>
      </x:c>
      <x:c r="F957" s="18"/>
      <x:c r="G957" s="46" t="str">
        <x:v>标点与分段参考《山海经校注》；正文对读：https://ctext.org/shan-hai-jing/zhong-shan-jing/zh</x:v>
      </x:c>
      <x:c r="H957" s="47" t="e">
        <x:f>HYPERLINK("#'山海经原文总库'!A3","↩ 返回目录")</x:f>
        <x:v>HYPERLINK is not implemented. linkLocation=#'山海经原文总库'!A3, friendlyName=↩ 返回目录</x:v>
      </x:c>
      <x:c r="I957" s="437"/>
      <x:c r="J957" s="437"/>
      <x:c r="K957" s="437" t="str">
        <x:v>待同名检索｜待建档</x:v>
      </x:c>
    </x:row>
    <x:row r="958" ht="22.5" customHeight="1">
      <x:c r="A958" s="44"/>
      <x:c r="B958" s="44"/>
      <x:c r="C958" s="45"/>
      <x:c r="D958" s="44" t="str">
        <x:v>江水</x:v>
      </x:c>
      <x:c r="E958" s="44" t="str">
        <x:v>水系</x:v>
      </x:c>
      <x:c r="F958" s="18"/>
      <x:c r="G958" s="46"/>
      <x:c r="H958" s="47" t="e">
        <x:f>HYPERLINK("#'山海经原文总库'!A3","↩ 返回目录")</x:f>
        <x:v>HYPERLINK is not implemented. linkLocation=#'山海经原文总库'!A3, friendlyName=↩ 返回目录</x:v>
      </x:c>
      <x:c r="I958" s="437"/>
      <x:c r="J958" s="437"/>
      <x:c r="K958" s="437" t="str">
        <x:v>待同名检索｜待建档</x:v>
      </x:c>
    </x:row>
    <x:row r="959" ht="48" customHeight="1">
      <x:c r="A959" s="44" t="str">
        <x:v>SHJ-05-090-4</x:v>
      </x:c>
      <x:c r="B959" s="44" t="str">
        <x:v>卷五 《中山經》</x:v>
      </x:c>
      <x:c r="C959" s="45" t="str">
        <x:v>又東北一百四十里，曰崍山，江水出焉，東流注大江。其陽多黃金，其陰多麋麈，其木多檀柘，其草多？韭，多藥空奪。</x:v>
      </x:c>
      <x:c r="D959" s="44" t="str">
        <x:v>崍山</x:v>
      </x:c>
      <x:c r="E959" s="44" t="str">
        <x:v>山</x:v>
      </x:c>
      <x:c r="F959" s="18"/>
      <x:c r="G959" s="46" t="str">
        <x:v>标点与分段参考《山海经校注》；正文对读：https://ctext.org/shan-hai-jing/zhong-shan-jing/zh</x:v>
      </x:c>
      <x:c r="H959" s="47" t="e">
        <x:f>HYPERLINK("#'山海经原文总库'!A3","↩ 返回目录")</x:f>
        <x:v>HYPERLINK is not implemented. linkLocation=#'山海经原文总库'!A3, friendlyName=↩ 返回目录</x:v>
      </x:c>
      <x:c r="I959" s="437"/>
      <x:c r="J959" s="437"/>
      <x:c r="K959" s="437" t="str">
        <x:v>待同名检索｜待建档</x:v>
      </x:c>
    </x:row>
    <x:row r="960" ht="22.5" customHeight="1">
      <x:c r="A960" s="44"/>
      <x:c r="B960" s="44"/>
      <x:c r="C960" s="45"/>
      <x:c r="D960" s="44" t="str">
        <x:v>江水</x:v>
      </x:c>
      <x:c r="E960" s="44" t="str">
        <x:v>水系</x:v>
      </x:c>
      <x:c r="F960" s="18"/>
      <x:c r="G960" s="46"/>
      <x:c r="H960" s="47" t="e">
        <x:f>HYPERLINK("#'山海经原文总库'!A3","↩ 返回目录")</x:f>
        <x:v>HYPERLINK is not implemented. linkLocation=#'山海经原文总库'!A3, friendlyName=↩ 返回目录</x:v>
      </x:c>
      <x:c r="I960" s="437"/>
      <x:c r="J960" s="437"/>
      <x:c r="K960" s="437" t="str">
        <x:v>待同名检索｜待建档</x:v>
      </x:c>
    </x:row>
    <x:row r="961" ht="48" customHeight="1">
      <x:c r="A961" s="44" t="str">
        <x:v>SHJ-05-091</x:v>
      </x:c>
      <x:c r="B961" s="44" t="str">
        <x:v>卷五 《中山經》</x:v>
      </x:c>
      <x:c r="C961" s="45" t="str">
        <x:v>又東一百五十里，曰崌山，江水出焉，東流注於大江，其中多怪蛇，多（上執下魚）魚，其木多楢杻，多梅梓，其獸多夔牛¤？犀兕。有鳥焉，狀如鴞而赤身白首，其名曰竊脂，可以御火。</x:v>
      </x:c>
      <x:c r="D961" s="44" t="str">
        <x:v>崌山</x:v>
      </x:c>
      <x:c r="E961" s="44" t="str">
        <x:v>山</x:v>
      </x:c>
      <x:c r="F961" s="18"/>
      <x:c r="G961" s="46" t="str">
        <x:v>标点与分段参考《山海经校注》；正文对读：https://ctext.org/shan-hai-jing/zhong-shan-jing/zh</x:v>
      </x:c>
      <x:c r="H961" s="47" t="e">
        <x:f>HYPERLINK("#'山海经原文总库'!A3","↩ 返回目录")</x:f>
        <x:v>HYPERLINK is not implemented. linkLocation=#'山海经原文总库'!A3, friendlyName=↩ 返回目录</x:v>
      </x:c>
      <x:c r="I961" s="437"/>
      <x:c r="J961" s="437"/>
      <x:c r="K961" s="437" t="str">
        <x:v>待同名检索｜待建档</x:v>
      </x:c>
    </x:row>
    <x:row r="962" ht="22.5" customHeight="1">
      <x:c r="A962" s="44"/>
      <x:c r="B962" s="44"/>
      <x:c r="C962" s="45"/>
      <x:c r="D962" s="44" t="str">
        <x:v>江水</x:v>
      </x:c>
      <x:c r="E962" s="44" t="str">
        <x:v>水系</x:v>
      </x:c>
      <x:c r="F962" s="18"/>
      <x:c r="G962" s="46"/>
      <x:c r="H962" s="47" t="e">
        <x:f>HYPERLINK("#'山海经原文总库'!A3","↩ 返回目录")</x:f>
        <x:v>HYPERLINK is not implemented. linkLocation=#'山海经原文总库'!A3, friendlyName=↩ 返回目录</x:v>
      </x:c>
      <x:c r="I962" s="437"/>
      <x:c r="J962" s="437"/>
      <x:c r="K962" s="437" t="str">
        <x:v>待同名检索｜待建档</x:v>
      </x:c>
    </x:row>
    <x:row r="963" ht="22.5" customHeight="1">
      <x:c r="A963" s="44"/>
      <x:c r="B963" s="44"/>
      <x:c r="C963" s="45"/>
      <x:c r="D963" s="44" t="str">
        <x:v>大江</x:v>
      </x:c>
      <x:c r="E963" s="44" t="str">
        <x:v>地理名稱</x:v>
      </x:c>
      <x:c r="F963" s="18"/>
      <x:c r="G963" s="46"/>
      <x:c r="H963" s="47" t="e">
        <x:f>HYPERLINK("#'山海经原文总库'!A3","↩ 返回目录")</x:f>
        <x:v>HYPERLINK is not implemented. linkLocation=#'山海经原文总库'!A3, friendlyName=↩ 返回目录</x:v>
      </x:c>
      <x:c r="I963" s="437"/>
      <x:c r="J963" s="437"/>
      <x:c r="K963" s="437" t="str">
        <x:v>待同名检索｜待建档</x:v>
      </x:c>
    </x:row>
    <x:row r="964" ht="48" customHeight="1">
      <x:c r="A964" s="44" t="str">
        <x:v>SHJ-05-092</x:v>
      </x:c>
      <x:c r="B964" s="44" t="str">
        <x:v>卷五 《中山經》</x:v>
      </x:c>
      <x:c r="C964" s="45" t="str">
        <x:v>又東三百里，曰高梁之山，其上多堊，其下多砥礪，其木多桃枝鈎端。有草焉，狀如葵而赤華，莢實白柎，可以走馬。</x:v>
      </x:c>
      <x:c r="D964" s="44" t="str">
        <x:v>高梁之山</x:v>
      </x:c>
      <x:c r="E964" s="44" t="str">
        <x:v>山</x:v>
      </x:c>
      <x:c r="F964" s="18"/>
      <x:c r="G964" s="46" t="str">
        <x:v>标点与分段参考《山海经校注》；正文对读：https://ctext.org/shan-hai-jing/zhong-shan-jing/zh</x:v>
      </x:c>
      <x:c r="H964" s="47" t="e">
        <x:f>HYPERLINK("#'山海经原文总库'!A3","↩ 返回目录")</x:f>
        <x:v>HYPERLINK is not implemented. linkLocation=#'山海经原文总库'!A3, friendlyName=↩ 返回目录</x:v>
      </x:c>
      <x:c r="I964" s="437"/>
      <x:c r="J964" s="437"/>
      <x:c r="K964" s="437" t="str">
        <x:v>待同名检索｜待建档</x:v>
      </x:c>
    </x:row>
    <x:row r="965" ht="48" customHeight="1">
      <x:c r="A965" s="44" t="str">
        <x:v>SHJ-05-093</x:v>
      </x:c>
      <x:c r="B965" s="44" t="str">
        <x:v>卷五 《中山經》</x:v>
      </x:c>
      <x:c r="C965" s="45" t="str">
        <x:v>又東四百里，曰蛇山，其上多黃金，其下多堊，其木多栒，多橡章，其草多嘉榮、少辛。有獸焉，其狀如狐，而白尾長耳，名（犬也）狼，見則國內有兵。</x:v>
      </x:c>
      <x:c r="D965" s="44" t="str">
        <x:v>蛇山</x:v>
      </x:c>
      <x:c r="E965" s="44" t="str">
        <x:v>山</x:v>
      </x:c>
      <x:c r="F965" s="18"/>
      <x:c r="G965" s="46" t="str">
        <x:v>标点与分段参考《山海经校注》；正文对读：https://ctext.org/shan-hai-jing/zhong-shan-jing/zh</x:v>
      </x:c>
      <x:c r="H965" s="47" t="e">
        <x:f>HYPERLINK("#'山海经原文总库'!A3","↩ 返回目录")</x:f>
        <x:v>HYPERLINK is not implemented. linkLocation=#'山海经原文总库'!A3, friendlyName=↩ 返回目录</x:v>
      </x:c>
      <x:c r="I965" s="437"/>
      <x:c r="J965" s="437"/>
      <x:c r="K965" s="437" t="str">
        <x:v>待同名检索｜待建档</x:v>
      </x:c>
    </x:row>
    <x:row r="966" ht="48" customHeight="1">
      <x:c r="A966" s="44" t="str">
        <x:v>SHJ-05-094-1</x:v>
      </x:c>
      <x:c r="B966" s="44" t="str">
        <x:v>卷五 《中山經》</x:v>
      </x:c>
      <x:c r="C966" s="45" t="str">
        <x:v>又東五百里，曰鬲山，其陽多金，其陰多白？。蒲（薨鳥）之水出焉，而東流注於江，其中多白玉。其獸多犀象熊羆，多猿蜼。</x:v>
      </x:c>
      <x:c r="D966" s="44" t="str">
        <x:v>鬲山</x:v>
      </x:c>
      <x:c r="E966" s="44" t="str">
        <x:v>山</x:v>
      </x:c>
      <x:c r="F966" s="18"/>
      <x:c r="G966" s="46" t="str">
        <x:v>标点与分段参考《山海经校注》；正文对读：https://ctext.org/shan-hai-jing/zhong-shan-jing/zh</x:v>
      </x:c>
      <x:c r="H966" s="47" t="e">
        <x:f>HYPERLINK("#'山海经原文总库'!A3","↩ 返回目录")</x:f>
        <x:v>HYPERLINK is not implemented. linkLocation=#'山海经原文总库'!A3, friendlyName=↩ 返回目录</x:v>
      </x:c>
      <x:c r="I966" s="437"/>
      <x:c r="J966" s="437"/>
      <x:c r="K966" s="437" t="str">
        <x:v>待同名检索｜待建档</x:v>
      </x:c>
    </x:row>
    <x:row r="967" ht="22.5" customHeight="1">
      <x:c r="A967" s="44"/>
      <x:c r="B967" s="44"/>
      <x:c r="C967" s="45"/>
      <x:c r="D967" s="44" t="str">
        <x:v>蒲𪈘之水</x:v>
      </x:c>
      <x:c r="E967" s="44" t="str">
        <x:v>水系</x:v>
      </x:c>
      <x:c r="F967" s="18"/>
      <x:c r="G967" s="46"/>
      <x:c r="H967" s="47" t="e">
        <x:f>HYPERLINK("#'山海经原文总库'!A3","↩ 返回目录")</x:f>
        <x:v>HYPERLINK is not implemented. linkLocation=#'山海经原文总库'!A3, friendlyName=↩ 返回目录</x:v>
      </x:c>
      <x:c r="I967" s="437"/>
      <x:c r="J967" s="437"/>
      <x:c r="K967" s="437" t="str">
        <x:v>待同名检索｜待建档</x:v>
      </x:c>
    </x:row>
    <x:row r="968" ht="22.5" customHeight="1">
      <x:c r="A968" s="44"/>
      <x:c r="B968" s="44"/>
      <x:c r="C968" s="45"/>
      <x:c r="D968" s="44" t="str">
        <x:v>隅陽之山</x:v>
      </x:c>
      <x:c r="E968" s="44" t="str">
        <x:v>山</x:v>
      </x:c>
      <x:c r="F968" s="18"/>
      <x:c r="G968" s="46"/>
      <x:c r="H968" s="47" t="e">
        <x:f>HYPERLINK("#'山海经原文总库'!A3","↩ 返回目录")</x:f>
        <x:v>HYPERLINK is not implemented. linkLocation=#'山海经原文总库'!A3, friendlyName=↩ 返回目录</x:v>
      </x:c>
      <x:c r="I968" s="437"/>
      <x:c r="J968" s="437"/>
      <x:c r="K968" s="437" t="str">
        <x:v>待同名检索｜待建档</x:v>
      </x:c>
    </x:row>
    <x:row r="969" ht="22.5" customHeight="1">
      <x:c r="A969" s="44"/>
      <x:c r="B969" s="44"/>
      <x:c r="C969" s="45"/>
      <x:c r="D969" s="44" t="str">
        <x:v>茈徐之水</x:v>
      </x:c>
      <x:c r="E969" s="44" t="str">
        <x:v>水系</x:v>
      </x:c>
      <x:c r="F969" s="18"/>
      <x:c r="G969" s="46"/>
      <x:c r="H969" s="47" t="e">
        <x:f>HYPERLINK("#'山海经原文总库'!A3","↩ 返回目录")</x:f>
        <x:v>HYPERLINK is not implemented. linkLocation=#'山海经原文总库'!A3, friendlyName=↩ 返回目录</x:v>
      </x:c>
      <x:c r="I969" s="437"/>
      <x:c r="J969" s="437"/>
      <x:c r="K969" s="437" t="str">
        <x:v>待同名检索｜待建档</x:v>
      </x:c>
    </x:row>
    <x:row r="970" ht="48" customHeight="1">
      <x:c r="A970" s="44" t="str">
        <x:v>SHJ-05-094-2</x:v>
      </x:c>
      <x:c r="B970" s="44" t="str">
        <x:v>卷五 《中山經》</x:v>
      </x:c>
      <x:c r="C970" s="45" t="str">
        <x:v>又東北三百里，曰隅陽之山，其上多金玉，其下多青雘，其木多梓桑，其草多茈。徐之水出焉，東流注於江，其中多丹粟。</x:v>
      </x:c>
      <x:c r="D970" s="44" t="str">
        <x:v>隅陽之山</x:v>
      </x:c>
      <x:c r="E970" s="44" t="str">
        <x:v>山</x:v>
      </x:c>
      <x:c r="F970" s="18"/>
      <x:c r="G970" s="46" t="str">
        <x:v>标点与分段参考《山海经校注》；正文对读：https://ctext.org/shan-hai-jing/zhong-shan-jing/zh</x:v>
      </x:c>
      <x:c r="H970" s="47" t="e">
        <x:f>HYPERLINK("#'山海经原文总库'!A3","↩ 返回目录")</x:f>
        <x:v>HYPERLINK is not implemented. linkLocation=#'山海经原文总库'!A3, friendlyName=↩ 返回目录</x:v>
      </x:c>
      <x:c r="I970" s="437"/>
      <x:c r="J970" s="437"/>
      <x:c r="K970" s="437" t="str">
        <x:v>待同名检索｜待建档</x:v>
      </x:c>
    </x:row>
    <x:row r="971" ht="22.5" customHeight="1">
      <x:c r="A971" s="44"/>
      <x:c r="B971" s="44"/>
      <x:c r="C971" s="45"/>
      <x:c r="D971" s="44" t="str">
        <x:v>徐之水</x:v>
      </x:c>
      <x:c r="E971" s="44" t="str">
        <x:v>水系</x:v>
      </x:c>
      <x:c r="F971" s="18"/>
      <x:c r="G971" s="46"/>
      <x:c r="H971" s="47" t="e">
        <x:f>HYPERLINK("#'山海经原文总库'!A3","↩ 返回目录")</x:f>
        <x:v>HYPERLINK is not implemented. linkLocation=#'山海经原文总库'!A3, friendlyName=↩ 返回目录</x:v>
      </x:c>
      <x:c r="I971" s="437"/>
      <x:c r="J971" s="437"/>
      <x:c r="K971" s="437" t="str">
        <x:v>待同名检索｜待建档</x:v>
      </x:c>
    </x:row>
    <x:row r="972" ht="48" customHeight="1">
      <x:c r="A972" s="44" t="str">
        <x:v>SHJ-05-095</x:v>
      </x:c>
      <x:c r="B972" s="44" t="str">
        <x:v>卷五 《中山經》</x:v>
      </x:c>
      <x:c r="C972" s="45" t="str">
        <x:v>又東二百五十里，曰岐山，其上多白金，其下多鐵，其木多梅梓，多杻楢。減水出焉，東南流注於江。</x:v>
      </x:c>
      <x:c r="D972" s="44" t="str">
        <x:v>岐山</x:v>
      </x:c>
      <x:c r="E972" s="44" t="str">
        <x:v>山</x:v>
      </x:c>
      <x:c r="F972" s="18"/>
      <x:c r="G972" s="46" t="str">
        <x:v>标点与分段参考《山海经校注》；正文对读：https://ctext.org/shan-hai-jing/zhong-shan-jing/zh</x:v>
      </x:c>
      <x:c r="H972" s="47" t="e">
        <x:f>HYPERLINK("#'山海经原文总库'!A3","↩ 返回目录")</x:f>
        <x:v>HYPERLINK is not implemented. linkLocation=#'山海经原文总库'!A3, friendlyName=↩ 返回目录</x:v>
      </x:c>
      <x:c r="I972" s="437"/>
      <x:c r="J972" s="437"/>
      <x:c r="K972" s="437" t="str">
        <x:v>待同名检索｜待建档</x:v>
      </x:c>
    </x:row>
    <x:row r="973" ht="22.5" customHeight="1">
      <x:c r="A973" s="44"/>
      <x:c r="B973" s="44"/>
      <x:c r="C973" s="45"/>
      <x:c r="D973" s="44" t="str">
        <x:v>減水</x:v>
      </x:c>
      <x:c r="E973" s="44" t="str">
        <x:v>水系</x:v>
      </x:c>
      <x:c r="F973" s="18"/>
      <x:c r="G973" s="46"/>
      <x:c r="H973" s="47" t="e">
        <x:f>HYPERLINK("#'山海经原文总库'!A3","↩ 返回目录")</x:f>
        <x:v>HYPERLINK is not implemented. linkLocation=#'山海经原文总库'!A3, friendlyName=↩ 返回目录</x:v>
      </x:c>
      <x:c r="I973" s="437"/>
      <x:c r="J973" s="437"/>
      <x:c r="K973" s="437" t="str">
        <x:v>待同名检索｜待建档</x:v>
      </x:c>
    </x:row>
    <x:row r="974" ht="48" customHeight="1">
      <x:c r="A974" s="44" t="str">
        <x:v>SHJ-05-096</x:v>
      </x:c>
      <x:c r="B974" s="44" t="str">
        <x:v>卷五 《中山經》</x:v>
      </x:c>
      <x:c r="C974" s="45" t="str">
        <x:v>又東一百七十里，曰賈超之山，其陽多黃堊，其陰多美赭，其木多柤栗橘？，其中多龍脩。</x:v>
      </x:c>
      <x:c r="D974" s="44" t="str">
        <x:v>賈超之山</x:v>
      </x:c>
      <x:c r="E974" s="44" t="str">
        <x:v>山</x:v>
      </x:c>
      <x:c r="F974" s="18"/>
      <x:c r="G974" s="46" t="str">
        <x:v>标点与分段参考《山海经校注》；正文对读：https://ctext.org/shan-hai-jing/zhong-shan-jing/zh</x:v>
      </x:c>
      <x:c r="H974" s="47" t="e">
        <x:f t="shared" ref="H974:H982" si="4">HYPERLINK("#'山海经原文总库'!A3","↩ 返回目录")</x:f>
        <x:v>HYPERLINK is not implemented. linkLocation=#'山海经原文总库'!A3, friendlyName=↩ 返回目录</x:v>
      </x:c>
      <x:c r="I974" s="437"/>
      <x:c r="J974" s="437"/>
      <x:c r="K974" s="437" t="str">
        <x:v>待同名检索｜待建档</x:v>
      </x:c>
    </x:row>
    <x:row r="975" ht="64.5" customHeight="1">
      <x:c r="A975" s="44" t="str">
        <x:v>SHJ-05-097</x:v>
      </x:c>
      <x:c r="B975" s="44" t="str">
        <x:v>卷五 《中山經》</x:v>
      </x:c>
      <x:c r="C975" s="45" t="str">
        <x:v>凡岷山之首，自女幾山至於賈超之山，凡十六山，三千五百里。其神狀皆馬身而龍首。其祠：毛用一雄雞瘞，糈用稌。文山、勾檷、風雨、騩之山，是皆冢也，其祠之：羞酒，少牢具，嬰毛一吉玉。熊山，席也，其祠：羞酒，太牢具，嬰毛一璧。乾，用兵以禳；祈，璆冕舞。</x:v>
      </x:c>
      <x:c r="D975" s="44" t="str">
        <x:v>女幾山至於賈超之山</x:v>
      </x:c>
      <x:c r="E975" s="44" t="str">
        <x:v>山</x:v>
      </x:c>
      <x:c r="F975" s="18"/>
      <x:c r="G975" s="46" t="str">
        <x:v>标点与分段参考《山海经校注》；正文对读：https://ctext.org/shan-hai-jing/zhong-shan-jing/zh</x:v>
      </x:c>
      <x:c r="H975" s="47" t="e">
        <x:f t="shared" si="4">HYPERLINK("#'山海经原文总库'!A3","↩ 返回目录")</x:f>
        <x:v>HYPERLINK is not implemented. linkLocation=#'山海经原文总库'!A3, friendlyName=↩ 返回目录</x:v>
      </x:c>
      <x:c r="I975" s="437"/>
      <x:c r="J975" s="437"/>
      <x:c r="K975" s="437" t="str">
        <x:v>待同名检索｜待建档</x:v>
      </x:c>
    </x:row>
    <x:row r="976" ht="48" customHeight="1">
      <x:c r="A976" s="44" t="str">
        <x:v>SHJ-05-098</x:v>
      </x:c>
      <x:c r="B976" s="44" t="str">
        <x:v>卷五 《中山經》</x:v>
      </x:c>
      <x:c r="C976" s="45" t="str">
        <x:v>中次十經之首，曰首陽之山，其上多金玉，無草木。</x:v>
      </x:c>
      <x:c r="D976" s="44" t="str">
        <x:v>首陽之山</x:v>
      </x:c>
      <x:c r="E976" s="44" t="str">
        <x:v>山</x:v>
      </x:c>
      <x:c r="F976" s="18"/>
      <x:c r="G976" s="46" t="str">
        <x:v>标点与分段参考《山海经校注》；正文对读：https://ctext.org/shan-hai-jing/zhong-shan-jing/zh</x:v>
      </x:c>
      <x:c r="H976" s="47" t="e">
        <x:f t="shared" si="4">HYPERLINK("#'山海经原文总库'!A3","↩ 返回目录")</x:f>
        <x:v>HYPERLINK is not implemented. linkLocation=#'山海经原文总库'!A3, friendlyName=↩ 返回目录</x:v>
      </x:c>
      <x:c r="I976" s="437"/>
      <x:c r="J976" s="437"/>
      <x:c r="K976" s="437" t="str">
        <x:v>待同名检索｜待建档</x:v>
      </x:c>
    </x:row>
    <x:row r="977" ht="48" customHeight="1">
      <x:c r="A977" s="44" t="str">
        <x:v>SHJ-05-099-1</x:v>
      </x:c>
      <x:c r="B977" s="44" t="str">
        <x:v>卷五 《中山經》</x:v>
      </x:c>
      <x:c r="C977" s="45" t="str">
        <x:v>又西五十里，曰虎尾之山，其木多椒椐，多封石，其陽多赤金，其陰多鐵。</x:v>
      </x:c>
      <x:c r="D977" s="44" t="str">
        <x:v>虎尾之山</x:v>
      </x:c>
      <x:c r="E977" s="44" t="str">
        <x:v>山</x:v>
      </x:c>
      <x:c r="F977" s="18"/>
      <x:c r="G977" s="46" t="str">
        <x:v>标点与分段参考《山海经校注》；正文对读：https://ctext.org/shan-hai-jing/zhong-shan-jing/zh</x:v>
      </x:c>
      <x:c r="H977" s="47" t="e">
        <x:f t="shared" si="4">HYPERLINK("#'山海经原文总库'!A3","↩ 返回目录")</x:f>
        <x:v>HYPERLINK is not implemented. linkLocation=#'山海经原文总库'!A3, friendlyName=↩ 返回目录</x:v>
      </x:c>
      <x:c r="I977" s="437"/>
      <x:c r="J977" s="437"/>
      <x:c r="K977" s="437" t="str">
        <x:v>待同名检索｜待建档</x:v>
      </x:c>
    </x:row>
    <x:row r="978" ht="48" customHeight="1">
      <x:c r="A978" s="44" t="str">
        <x:v>SHJ-05-099-2</x:v>
      </x:c>
      <x:c r="B978" s="44" t="str">
        <x:v>卷五 《中山經》</x:v>
      </x:c>
      <x:c r="C978" s="45" t="str">
        <x:v>又西南五十里，曰繁繢之山，其木多楢杻，其草多枝勾。</x:v>
      </x:c>
      <x:c r="D978" s="44" t="str">
        <x:v>繁繢之山</x:v>
      </x:c>
      <x:c r="E978" s="44" t="str">
        <x:v>山</x:v>
      </x:c>
      <x:c r="F978" s="18"/>
      <x:c r="G978" s="46" t="str">
        <x:v>标点与分段参考《山海经校注》；正文对读：https://ctext.org/shan-hai-jing/zhong-shan-jing/zh</x:v>
      </x:c>
      <x:c r="H978" s="47" t="e">
        <x:f t="shared" si="4">HYPERLINK("#'山海经原文总库'!A3","↩ 返回目录")</x:f>
        <x:v>HYPERLINK is not implemented. linkLocation=#'山海经原文总库'!A3, friendlyName=↩ 返回目录</x:v>
      </x:c>
      <x:c r="I978" s="437"/>
      <x:c r="J978" s="437"/>
      <x:c r="K978" s="437" t="str">
        <x:v>待同名检索｜待建档</x:v>
      </x:c>
    </x:row>
    <x:row r="979" ht="48" customHeight="1">
      <x:c r="A979" s="44" t="str">
        <x:v>SHJ-05-099-3</x:v>
      </x:c>
      <x:c r="B979" s="44" t="str">
        <x:v>卷五 《中山經》</x:v>
      </x:c>
      <x:c r="C979" s="45" t="str">
        <x:v>又西南二十里，曰勇石之山，無草木，多白金，多水。</x:v>
      </x:c>
      <x:c r="D979" s="44" t="str">
        <x:v>勇石之山</x:v>
      </x:c>
      <x:c r="E979" s="44" t="str">
        <x:v>山</x:v>
      </x:c>
      <x:c r="F979" s="18"/>
      <x:c r="G979" s="46" t="str">
        <x:v>标点与分段参考《山海经校注》；正文对读：https://ctext.org/shan-hai-jing/zhong-shan-jing/zh</x:v>
      </x:c>
      <x:c r="H979" s="47" t="e">
        <x:f t="shared" si="4">HYPERLINK("#'山海经原文总库'!A3","↩ 返回目录")</x:f>
        <x:v>HYPERLINK is not implemented. linkLocation=#'山海经原文总库'!A3, friendlyName=↩ 返回目录</x:v>
      </x:c>
      <x:c r="I979" s="437"/>
      <x:c r="J979" s="437"/>
      <x:c r="K979" s="437" t="str">
        <x:v>待同名检索｜待建档</x:v>
      </x:c>
    </x:row>
    <x:row r="980" ht="48" customHeight="1">
      <x:c r="A980" s="44" t="str">
        <x:v>SHJ-05-100</x:v>
      </x:c>
      <x:c r="B980" s="44" t="str">
        <x:v>卷五 《中山經》</x:v>
      </x:c>
      <x:c r="C980" s="45" t="str">
        <x:v>又西二十里，曰復州之山，其木多檀，其陽多黃金。有鳥焉，其狀如鴞，而一足彘尾，其名曰跂踵，見則其國大疫。</x:v>
      </x:c>
      <x:c r="D980" s="44" t="str">
        <x:v>復州之山</x:v>
      </x:c>
      <x:c r="E980" s="44" t="str">
        <x:v>山</x:v>
      </x:c>
      <x:c r="F980" s="18"/>
      <x:c r="G980" s="46" t="str">
        <x:v>标点与分段参考《山海经校注》；正文对读：https://ctext.org/shan-hai-jing/zhong-shan-jing/zh</x:v>
      </x:c>
      <x:c r="H980" s="47" t="e">
        <x:f t="shared" si="4">HYPERLINK("#'山海经原文总库'!A3","↩ 返回目录")</x:f>
        <x:v>HYPERLINK is not implemented. linkLocation=#'山海经原文总库'!A3, friendlyName=↩ 返回目录</x:v>
      </x:c>
      <x:c r="I980" s="437"/>
      <x:c r="J980" s="437"/>
      <x:c r="K980" s="437" t="str">
        <x:v>待同名检索｜待建档</x:v>
      </x:c>
    </x:row>
    <x:row r="981" ht="48" customHeight="1">
      <x:c r="A981" s="44" t="str">
        <x:v>SHJ-05-101</x:v>
      </x:c>
      <x:c r="B981" s="44" t="str">
        <x:v>卷五 《中山經》</x:v>
      </x:c>
      <x:c r="C981" s="45" t="str">
        <x:v>又西三十里，曰楮山，多寓木，多椒椐，多柘，多堊。</x:v>
      </x:c>
      <x:c r="D981" s="44" t="str">
        <x:v>楮山</x:v>
      </x:c>
      <x:c r="E981" s="44" t="str">
        <x:v>山</x:v>
      </x:c>
      <x:c r="F981" s="18"/>
      <x:c r="G981" s="46" t="str">
        <x:v>标点与分段参考《山海经校注》；正文对读：https://ctext.org/shan-hai-jing/zhong-shan-jing/zh</x:v>
      </x:c>
      <x:c r="H981" s="47" t="e">
        <x:f t="shared" si="4">HYPERLINK("#'山海经原文总库'!A3","↩ 返回目录")</x:f>
        <x:v>HYPERLINK is not implemented. linkLocation=#'山海经原文总库'!A3, friendlyName=↩ 返回目录</x:v>
      </x:c>
      <x:c r="I981" s="437"/>
      <x:c r="J981" s="437"/>
      <x:c r="K981" s="437" t="str">
        <x:v>待同名检索｜待建档</x:v>
      </x:c>
    </x:row>
    <x:row r="982" ht="48" customHeight="1">
      <x:c r="A982" s="44" t="str">
        <x:v>SHJ-05-102</x:v>
      </x:c>
      <x:c r="B982" s="44" t="str">
        <x:v>卷五 《中山經》</x:v>
      </x:c>
      <x:c r="C982" s="45" t="str">
        <x:v>又西二十里，曰又原之山，其陽多青雘，其陰多鐵，其鳥多？鵒。</x:v>
      </x:c>
      <x:c r="D982" s="44" t="str">
        <x:v>又原之山</x:v>
      </x:c>
      <x:c r="E982" s="44" t="str">
        <x:v>山</x:v>
      </x:c>
      <x:c r="F982" s="18"/>
      <x:c r="G982" s="46" t="str">
        <x:v>标点与分段参考《山海经校注》；正文对读：https://ctext.org/shan-hai-jing/zhong-shan-jing/zh</x:v>
      </x:c>
      <x:c r="H982" s="47" t="e">
        <x:f t="shared" si="4">HYPERLINK("#'山海经原文总库'!A3","↩ 返回目录")</x:f>
        <x:v>HYPERLINK is not implemented. linkLocation=#'山海经原文总库'!A3, friendlyName=↩ 返回目录</x:v>
      </x:c>
      <x:c r="I982" s="437"/>
      <x:c r="J982" s="437"/>
      <x:c r="K982" s="437" t="str">
        <x:v>待同名检索｜待建档</x:v>
      </x:c>
    </x:row>
    <x:row r="983" ht="22.5" customHeight="1">
      <x:c r="A983" s="44"/>
      <x:c r="B983" s="44"/>
      <x:c r="C983" s="45"/>
      <x:c r="D983" s="44" t="str">
        <x:v>原之山</x:v>
      </x:c>
      <x:c r="E983" s="44" t="str">
        <x:v>山</x:v>
      </x:c>
      <x:c r="F983" s="18"/>
      <x:c r="G983" s="46"/>
      <x:c r="H983" s="47" t="e">
        <x:f>HYPERLINK("#'山海经原文总库'!A3","↩ 返回目录")</x:f>
        <x:v>HYPERLINK is not implemented. linkLocation=#'山海经原文总库'!A3, friendlyName=↩ 返回目录</x:v>
      </x:c>
      <x:c r="I983" s="437"/>
      <x:c r="J983" s="437"/>
      <x:c r="K983" s="437" t="str">
        <x:v>待同名检索｜待建档</x:v>
      </x:c>
    </x:row>
    <x:row r="984" ht="48" customHeight="1">
      <x:c r="A984" s="44" t="str">
        <x:v>SHJ-05-103</x:v>
      </x:c>
      <x:c r="B984" s="44" t="str">
        <x:v>卷五 《中山經》</x:v>
      </x:c>
      <x:c r="C984" s="45" t="str">
        <x:v>又西五十里，曰涿山，其木多榖柞杻，其陽多（王雩）琈之玉。</x:v>
      </x:c>
      <x:c r="D984" s="44" t="str">
        <x:v>涿山</x:v>
      </x:c>
      <x:c r="E984" s="44" t="str">
        <x:v>山</x:v>
      </x:c>
      <x:c r="F984" s="18"/>
      <x:c r="G984" s="46" t="str">
        <x:v>标点与分段参考《山海经校注》；正文对读：https://ctext.org/shan-hai-jing/zhong-shan-jing/zh</x:v>
      </x:c>
      <x:c r="H984" s="47" t="e">
        <x:f>HYPERLINK("#'山海经原文总库'!A3","↩ 返回目录")</x:f>
        <x:v>HYPERLINK is not implemented. linkLocation=#'山海经原文总库'!A3, friendlyName=↩ 返回目录</x:v>
      </x:c>
      <x:c r="I984" s="437"/>
      <x:c r="J984" s="437"/>
      <x:c r="K984" s="437" t="str">
        <x:v>待同名检索｜待建档</x:v>
      </x:c>
    </x:row>
    <x:row r="985" ht="48" customHeight="1">
      <x:c r="A985" s="44" t="str">
        <x:v>SHJ-05-104</x:v>
      </x:c>
      <x:c r="B985" s="44" t="str">
        <x:v>卷五 《中山經》</x:v>
      </x:c>
      <x:c r="C985" s="45" t="str">
        <x:v>又西七十里，曰丙山，其木多梓檀，多（弓欠）杻。</x:v>
      </x:c>
      <x:c r="D985" s="44" t="str">
        <x:v>丙山</x:v>
      </x:c>
      <x:c r="E985" s="44" t="str">
        <x:v>山</x:v>
      </x:c>
      <x:c r="F985" s="18"/>
      <x:c r="G985" s="46" t="str">
        <x:v>标点与分段参考《山海经校注》；正文对读：https://ctext.org/shan-hai-jing/zhong-shan-jing/zh</x:v>
      </x:c>
      <x:c r="H985" s="47" t="e">
        <x:f>HYPERLINK("#'山海经原文总库'!A3","↩ 返回目录")</x:f>
        <x:v>HYPERLINK is not implemented. linkLocation=#'山海经原文总库'!A3, friendlyName=↩ 返回目录</x:v>
      </x:c>
      <x:c r="I985" s="437"/>
      <x:c r="J985" s="437"/>
      <x:c r="K985" s="437" t="str">
        <x:v>待同名检索｜待建档</x:v>
      </x:c>
    </x:row>
    <x:row r="986" ht="64.5" customHeight="1">
      <x:c r="A986" s="44" t="str">
        <x:v>SHJ-05-105-1</x:v>
      </x:c>
      <x:c r="B986" s="44" t="str">
        <x:v>卷五 《中山經》</x:v>
      </x:c>
      <x:c r="C986" s="45" t="str">
        <x:v>凡首陽山之首，自首山至於丙山，凡九山，二百六十七里。其神狀皆龍身而人面。其祠之：毛用一雄雞瘞，糈用五種之糈。堵山，冢也，其祠之：少牢具，羞酒祠，嬰毛一璧瘞。騩山，帝也，其祠羞酒，太牢其；合巫祝二人，嬰一璧。</x:v>
      </x:c>
      <x:c r="D986" s="44" t="str">
        <x:v>首山至於丙山</x:v>
      </x:c>
      <x:c r="E986" s="44" t="str">
        <x:v>山</x:v>
      </x:c>
      <x:c r="F986" s="18"/>
      <x:c r="G986" s="46" t="str">
        <x:v>标点与分段参考《山海经校注》；正文对读：https://ctext.org/shan-hai-jing/zhong-shan-jing/zh</x:v>
      </x:c>
      <x:c r="H986" s="47" t="e">
        <x:f>HYPERLINK("#'山海经原文总库'!A3","↩ 返回目录")</x:f>
        <x:v>HYPERLINK is not implemented. linkLocation=#'山海经原文总库'!A3, friendlyName=↩ 返回目录</x:v>
      </x:c>
      <x:c r="I986" s="437"/>
      <x:c r="J986" s="437"/>
      <x:c r="K986" s="437" t="str">
        <x:v>待同名检索｜待建档</x:v>
      </x:c>
    </x:row>
    <x:row r="987" ht="48" customHeight="1">
      <x:c r="A987" s="44" t="str">
        <x:v>SHJ-05-105-2</x:v>
      </x:c>
      <x:c r="B987" s="44" t="str">
        <x:v>卷五 《中山經》</x:v>
      </x:c>
      <x:c r="C987" s="45" t="str">
        <x:v>中次一十一山經荊山之首，曰翼望之山。湍水出焉，東流注於濟；貺水出焉，東南流注於漢，其中多蛟。其上多松柏，其下多漆梓，其陽多赤金，其陰多？。</x:v>
      </x:c>
      <x:c r="D987" s="44" t="str">
        <x:v>翼望之山</x:v>
      </x:c>
      <x:c r="E987" s="44" t="str">
        <x:v>山</x:v>
      </x:c>
      <x:c r="F987" s="18"/>
      <x:c r="G987" s="46" t="str">
        <x:v>标点与分段参考《山海经校注》；正文对读：https://ctext.org/shan-hai-jing/zhong-shan-jing/zh</x:v>
      </x:c>
      <x:c r="H987" s="47" t="e">
        <x:f>HYPERLINK("#'山海经原文总库'!A3","↩ 返回目录")</x:f>
        <x:v>HYPERLINK is not implemented. linkLocation=#'山海经原文总库'!A3, friendlyName=↩ 返回目录</x:v>
      </x:c>
      <x:c r="I987" s="437"/>
      <x:c r="J987" s="437"/>
      <x:c r="K987" s="437" t="str">
        <x:v>待同名检索｜待建档</x:v>
      </x:c>
    </x:row>
    <x:row r="988" ht="22.5" customHeight="1">
      <x:c r="A988" s="44"/>
      <x:c r="B988" s="44"/>
      <x:c r="C988" s="45"/>
      <x:c r="D988" s="44" t="str">
        <x:v>湍水</x:v>
      </x:c>
      <x:c r="E988" s="44" t="str">
        <x:v>水系</x:v>
      </x:c>
      <x:c r="F988" s="18"/>
      <x:c r="G988" s="46"/>
      <x:c r="H988" s="47" t="e">
        <x:f>HYPERLINK("#'山海经原文总库'!A3","↩ 返回目录")</x:f>
        <x:v>HYPERLINK is not implemented. linkLocation=#'山海经原文总库'!A3, friendlyName=↩ 返回目录</x:v>
      </x:c>
      <x:c r="I988" s="437"/>
      <x:c r="J988" s="437"/>
      <x:c r="K988" s="437" t="str">
        <x:v>待同名检索｜待建档</x:v>
      </x:c>
    </x:row>
    <x:row r="989" ht="22.5" customHeight="1">
      <x:c r="A989" s="44"/>
      <x:c r="B989" s="44"/>
      <x:c r="C989" s="45"/>
      <x:c r="D989" s="44" t="str">
        <x:v>貺水</x:v>
      </x:c>
      <x:c r="E989" s="44" t="str">
        <x:v>水系</x:v>
      </x:c>
      <x:c r="F989" s="18"/>
      <x:c r="G989" s="46"/>
      <x:c r="H989" s="47" t="e">
        <x:f>HYPERLINK("#'山海经原文总库'!A3","↩ 返回目录")</x:f>
        <x:v>HYPERLINK is not implemented. linkLocation=#'山海经原文总库'!A3, friendlyName=↩ 返回目录</x:v>
      </x:c>
      <x:c r="I989" s="437"/>
      <x:c r="J989" s="437"/>
      <x:c r="K989" s="437" t="str">
        <x:v>待同名检索｜待建档</x:v>
      </x:c>
    </x:row>
    <x:row r="990" ht="48" customHeight="1">
      <x:c r="A990" s="44" t="str">
        <x:v>SHJ-05-105-3</x:v>
      </x:c>
      <x:c r="B990" s="44" t="str">
        <x:v>卷五 《中山經》</x:v>
      </x:c>
      <x:c r="C990" s="45" t="str">
        <x:v>又東北一百五十里，曰朝歌之山。潕水出焉，東南流注於滎，其中多人魚。其上多梓柟，其獸多¤麋。有草焉，名曰莽草，可以毒魚。</x:v>
      </x:c>
      <x:c r="D990" s="44" t="str">
        <x:v>朝歌之山</x:v>
      </x:c>
      <x:c r="E990" s="44" t="str">
        <x:v>山</x:v>
      </x:c>
      <x:c r="F990" s="18"/>
      <x:c r="G990" s="46" t="str">
        <x:v>标点与分段参考《山海经校注》；正文对读：https://ctext.org/shan-hai-jing/zhong-shan-jing/zh</x:v>
      </x:c>
      <x:c r="H990" s="47" t="e">
        <x:f>HYPERLINK("#'山海经原文总库'!A3","↩ 返回目录")</x:f>
        <x:v>HYPERLINK is not implemented. linkLocation=#'山海经原文总库'!A3, friendlyName=↩ 返回目录</x:v>
      </x:c>
      <x:c r="I990" s="437"/>
      <x:c r="J990" s="437"/>
      <x:c r="K990" s="437" t="str">
        <x:v>待同名检索｜待建档</x:v>
      </x:c>
    </x:row>
    <x:row r="991" ht="22.5" customHeight="1">
      <x:c r="A991" s="44"/>
      <x:c r="B991" s="44"/>
      <x:c r="C991" s="45"/>
      <x:c r="D991" s="44" t="str">
        <x:v>潕水</x:v>
      </x:c>
      <x:c r="E991" s="44" t="str">
        <x:v>水系</x:v>
      </x:c>
      <x:c r="F991" s="18"/>
      <x:c r="G991" s="46"/>
      <x:c r="H991" s="47" t="e">
        <x:f>HYPERLINK("#'山海经原文总库'!A3","↩ 返回目录")</x:f>
        <x:v>HYPERLINK is not implemented. linkLocation=#'山海经原文总库'!A3, friendlyName=↩ 返回目录</x:v>
      </x:c>
      <x:c r="I991" s="437"/>
      <x:c r="J991" s="437"/>
      <x:c r="K991" s="437" t="str">
        <x:v>待同名检索｜待建档</x:v>
      </x:c>
    </x:row>
    <x:row r="992" ht="48" customHeight="1">
      <x:c r="A992" s="44" t="str">
        <x:v>SHJ-05-105-4</x:v>
      </x:c>
      <x:c r="B992" s="44" t="str">
        <x:v>卷五 《中山經》</x:v>
      </x:c>
      <x:c r="C992" s="45" t="str">
        <x:v>又東南二百里，曰帝囷之山，其陽多（王雩）琈之玉，其陰多鐵。帝囷之水出於其上，潛於其下，多鳴蛇。</x:v>
      </x:c>
      <x:c r="D992" s="44" t="str">
        <x:v>帝囷之山</x:v>
      </x:c>
      <x:c r="E992" s="44" t="str">
        <x:v>山</x:v>
      </x:c>
      <x:c r="F992" s="18"/>
      <x:c r="G992" s="46" t="str">
        <x:v>标点与分段参考《山海经校注》；正文对读：https://ctext.org/shan-hai-jing/zhong-shan-jing/zh</x:v>
      </x:c>
      <x:c r="H992" s="47" t="e">
        <x:f>HYPERLINK("#'山海经原文总库'!A3","↩ 返回目录")</x:f>
        <x:v>HYPERLINK is not implemented. linkLocation=#'山海经原文总库'!A3, friendlyName=↩ 返回目录</x:v>
      </x:c>
      <x:c r="I992" s="437"/>
      <x:c r="J992" s="437"/>
      <x:c r="K992" s="437" t="str">
        <x:v>待同名检索｜待建档</x:v>
      </x:c>
    </x:row>
    <x:row r="993" ht="22.5" customHeight="1">
      <x:c r="A993" s="44"/>
      <x:c r="B993" s="44"/>
      <x:c r="C993" s="45"/>
      <x:c r="D993" s="44" t="str">
        <x:v>帝囷之水</x:v>
      </x:c>
      <x:c r="E993" s="44" t="str">
        <x:v>水系</x:v>
      </x:c>
      <x:c r="F993" s="18"/>
      <x:c r="G993" s="46"/>
      <x:c r="H993" s="47" t="e">
        <x:f>HYPERLINK("#'山海经原文总库'!A3","↩ 返回目录")</x:f>
        <x:v>HYPERLINK is not implemented. linkLocation=#'山海经原文总库'!A3, friendlyName=↩ 返回目录</x:v>
      </x:c>
      <x:c r="I993" s="437"/>
      <x:c r="J993" s="437"/>
      <x:c r="K993" s="437" t="str">
        <x:v>待同名检索｜待建档</x:v>
      </x:c>
    </x:row>
    <x:row r="994" ht="48" customHeight="1">
      <x:c r="A994" s="44" t="str">
        <x:v>SHJ-05-106-1</x:v>
      </x:c>
      <x:c r="B994" s="44" t="str">
        <x:v>卷五 《中山經》</x:v>
      </x:c>
      <x:c r="C994" s="45" t="str">
        <x:v>又東南五十里，曰視山，其上多韭。有井焉，名曰天井，夏有水，冬竭。其上多桑，多美堊金玉。</x:v>
      </x:c>
      <x:c r="D994" s="44" t="str">
        <x:v>視山</x:v>
      </x:c>
      <x:c r="E994" s="44" t="str">
        <x:v>山</x:v>
      </x:c>
      <x:c r="F994" s="18"/>
      <x:c r="G994" s="46" t="str">
        <x:v>标点与分段参考《山海经校注》；正文对读：https://ctext.org/shan-hai-jing/zhong-shan-jing/zh</x:v>
      </x:c>
      <x:c r="H994" s="47" t="e">
        <x:f>HYPERLINK("#'山海经原文总库'!A3","↩ 返回目录")</x:f>
        <x:v>HYPERLINK is not implemented. linkLocation=#'山海经原文总库'!A3, friendlyName=↩ 返回目录</x:v>
      </x:c>
      <x:c r="I994" s="437"/>
      <x:c r="J994" s="437"/>
      <x:c r="K994" s="437" t="str">
        <x:v>待同名检索｜待建档</x:v>
      </x:c>
    </x:row>
    <x:row r="995" ht="48" customHeight="1">
      <x:c r="A995" s="44" t="str">
        <x:v>SHJ-05-106-2</x:v>
      </x:c>
      <x:c r="B995" s="44" t="str">
        <x:v>卷五 《中山經》</x:v>
      </x:c>
      <x:c r="C995" s="45" t="str">
        <x:v>又東南二百里，曰前山，其木多櫧，多柏，其陽多金，其陰多赭。</x:v>
      </x:c>
      <x:c r="D995" s="44" t="str">
        <x:v>前山</x:v>
      </x:c>
      <x:c r="E995" s="44" t="str">
        <x:v>山</x:v>
      </x:c>
      <x:c r="F995" s="18"/>
      <x:c r="G995" s="46" t="str">
        <x:v>标点与分段参考《山海经校注》；正文对读：https://ctext.org/shan-hai-jing/zhong-shan-jing/zh</x:v>
      </x:c>
      <x:c r="H995" s="47" t="e">
        <x:f>HYPERLINK("#'山海经原文总库'!A3","↩ 返回目录")</x:f>
        <x:v>HYPERLINK is not implemented. linkLocation=#'山海经原文总库'!A3, friendlyName=↩ 返回目录</x:v>
      </x:c>
      <x:c r="I995" s="437"/>
      <x:c r="J995" s="437"/>
      <x:c r="K995" s="437" t="str">
        <x:v>待同名检索｜待建档</x:v>
      </x:c>
    </x:row>
    <x:row r="996" ht="48" customHeight="1">
      <x:c r="A996" s="44" t="str">
        <x:v>SHJ-05-106-3</x:v>
      </x:c>
      <x:c r="B996" s="44" t="str">
        <x:v>卷五 《中山經》</x:v>
      </x:c>
      <x:c r="C996" s="45" t="str">
        <x:v>又東南三百里，曰豐山。有獸焉，其狀如蝯，赤目、赤喙、黃身，名曰雍和，見則國有大恐。神耕父處之，常游清泠之淵，出入有光，見則其國為敗。有九鐘焉，是知霜鳴。其上多金，其下多榖柞杻橿。</x:v>
      </x:c>
      <x:c r="D996" s="44" t="str">
        <x:v>豐山</x:v>
      </x:c>
      <x:c r="E996" s="44" t="str">
        <x:v>山</x:v>
      </x:c>
      <x:c r="F996" s="18"/>
      <x:c r="G996" s="46" t="str">
        <x:v>标点与分段参考《山海经校注》；正文对读：https://ctext.org/shan-hai-jing/zhong-shan-jing/zh</x:v>
      </x:c>
      <x:c r="H996" s="47" t="e">
        <x:f>HYPERLINK("#'山海经原文总库'!A3","↩ 返回目录")</x:f>
        <x:v>HYPERLINK is not implemented. linkLocation=#'山海经原文总库'!A3, friendlyName=↩ 返回目录</x:v>
      </x:c>
      <x:c r="I996" s="437"/>
      <x:c r="J996" s="437"/>
      <x:c r="K996" s="437" t="str">
        <x:v>待同名检索｜待建档</x:v>
      </x:c>
    </x:row>
    <x:row r="997" ht="22.5" customHeight="1">
      <x:c r="A997" s="44"/>
      <x:c r="B997" s="44"/>
      <x:c r="C997" s="45"/>
      <x:c r="D997" s="44" t="str">
        <x:v>常游清泠之淵</x:v>
      </x:c>
      <x:c r="E997" s="44" t="str">
        <x:v>澤／淵</x:v>
      </x:c>
      <x:c r="F997" s="18"/>
      <x:c r="G997" s="46"/>
      <x:c r="H997" s="47" t="e">
        <x:f>HYPERLINK("#'山海经原文总库'!A3","↩ 返回目录")</x:f>
        <x:v>HYPERLINK is not implemented. linkLocation=#'山海经原文总库'!A3, friendlyName=↩ 返回目录</x:v>
      </x:c>
      <x:c r="I997" s="437"/>
      <x:c r="J997" s="437"/>
      <x:c r="K997" s="437" t="str">
        <x:v>待同名检索｜待建档</x:v>
      </x:c>
    </x:row>
    <x:row r="998" ht="48" customHeight="1">
      <x:c r="A998" s="44" t="str">
        <x:v>SHJ-05-106-4</x:v>
      </x:c>
      <x:c r="B998" s="44" t="str">
        <x:v>卷五 《中山經》</x:v>
      </x:c>
      <x:c r="C998" s="45" t="str">
        <x:v>又東北八百里，曰兔床之山，其陽多鐵，其木多藷藇，其草多雞谷，其本如雞卵，其味酸甘，食者利於人。</x:v>
      </x:c>
      <x:c r="D998" s="44" t="str">
        <x:v>兔床之山</x:v>
      </x:c>
      <x:c r="E998" s="44" t="str">
        <x:v>山</x:v>
      </x:c>
      <x:c r="F998" s="18"/>
      <x:c r="G998" s="46" t="str">
        <x:v>标点与分段参考《山海经校注》；正文对读：https://ctext.org/shan-hai-jing/zhong-shan-jing/zh</x:v>
      </x:c>
      <x:c r="H998" s="47" t="e">
        <x:f>HYPERLINK("#'山海经原文总库'!A3","↩ 返回目录")</x:f>
        <x:v>HYPERLINK is not implemented. linkLocation=#'山海经原文总库'!A3, friendlyName=↩ 返回目录</x:v>
      </x:c>
      <x:c r="I998" s="437"/>
      <x:c r="J998" s="437"/>
      <x:c r="K998" s="437" t="str">
        <x:v>待同名检索｜待建档</x:v>
      </x:c>
    </x:row>
    <x:row r="999" ht="48" customHeight="1">
      <x:c r="A999" s="44" t="str">
        <x:v>SHJ-05-107</x:v>
      </x:c>
      <x:c r="B999" s="44" t="str">
        <x:v>卷五 《中山經》</x:v>
      </x:c>
      <x:c r="C999" s="45" t="str">
        <x:v>又東六十里，曰皮山，多堊，多赭，其木多松柏。</x:v>
      </x:c>
      <x:c r="D999" s="44" t="str">
        <x:v>皮山</x:v>
      </x:c>
      <x:c r="E999" s="44" t="str">
        <x:v>山</x:v>
      </x:c>
      <x:c r="F999" s="18"/>
      <x:c r="G999" s="46" t="str">
        <x:v>标点与分段参考《山海经校注》；正文对读：https://ctext.org/shan-hai-jing/zhong-shan-jing/zh</x:v>
      </x:c>
      <x:c r="H999" s="47" t="e">
        <x:f>HYPERLINK("#'山海经原文总库'!A3","↩ 返回目录")</x:f>
        <x:v>HYPERLINK is not implemented. linkLocation=#'山海经原文总库'!A3, friendlyName=↩ 返回目录</x:v>
      </x:c>
      <x:c r="I999" s="437"/>
      <x:c r="J999" s="437"/>
      <x:c r="K999" s="437" t="str">
        <x:v>待同名检索｜待建档</x:v>
      </x:c>
    </x:row>
    <x:row r="1000" ht="48" customHeight="1">
      <x:c r="A1000" s="44" t="str">
        <x:v>SHJ-05-108</x:v>
      </x:c>
      <x:c r="B1000" s="44" t="str">
        <x:v>卷五 《中山經》</x:v>
      </x:c>
      <x:c r="C1000" s="45" t="str">
        <x:v>又東六十里，曰瑤碧之山，其木多梓柟，其陰多青雘，其陽多白金。有鳥焉，其狀如雉，恆食蜚，名曰鴆。</x:v>
      </x:c>
      <x:c r="D1000" s="44" t="str">
        <x:v>瑤碧之山</x:v>
      </x:c>
      <x:c r="E1000" s="44" t="str">
        <x:v>山</x:v>
      </x:c>
      <x:c r="F1000" s="18"/>
      <x:c r="G1000" s="46" t="str">
        <x:v>标点与分段参考《山海经校注》；正文对读：https://ctext.org/shan-hai-jing/zhong-shan-jing/zh</x:v>
      </x:c>
      <x:c r="H1000" s="47" t="e">
        <x:f>HYPERLINK("#'山海经原文总库'!A3","↩ 返回目录")</x:f>
        <x:v>HYPERLINK is not implemented. linkLocation=#'山海经原文总库'!A3, friendlyName=↩ 返回目录</x:v>
      </x:c>
      <x:c r="I1000" s="437"/>
      <x:c r="J1000" s="437"/>
      <x:c r="K1000" s="437" t="str">
        <x:v>待同名检索｜待建档</x:v>
      </x:c>
    </x:row>
    <x:row r="1001" ht="48" customHeight="1">
      <x:c r="A1001" s="44" t="str">
        <x:v>SHJ-05-109</x:v>
      </x:c>
      <x:c r="B1001" s="44" t="str">
        <x:v>卷五 《中山經》</x:v>
      </x:c>
      <x:c r="C1001" s="45" t="str">
        <x:v>又東十里，曰踵臼之山，無草木。</x:v>
      </x:c>
      <x:c r="D1001" s="44" t="str">
        <x:v>踵臼之山</x:v>
      </x:c>
      <x:c r="E1001" s="44" t="str">
        <x:v>山</x:v>
      </x:c>
      <x:c r="F1001" s="18"/>
      <x:c r="G1001" s="46" t="str">
        <x:v>标点与分段参考《山海经校注》；正文对读：https://ctext.org/shan-hai-jing/zhong-shan-jing/zh</x:v>
      </x:c>
      <x:c r="H1001" s="47" t="e">
        <x:f>HYPERLINK("#'山海经原文总库'!A3","↩ 返回目录")</x:f>
        <x:v>HYPERLINK is not implemented. linkLocation=#'山海经原文总库'!A3, friendlyName=↩ 返回目录</x:v>
      </x:c>
      <x:c r="I1001" s="437"/>
      <x:c r="J1001" s="437"/>
      <x:c r="K1001" s="437" t="str">
        <x:v>待同名检索｜待建档</x:v>
      </x:c>
    </x:row>
    <x:row r="1002" ht="100.5" customHeight="1">
      <x:c r="A1002" s="44" t="str">
        <x:v>SHJ-05-110</x:v>
      </x:c>
      <x:c r="B1002" s="44" t="str">
        <x:v>卷五 《中山經》</x:v>
      </x:c>
      <x:c r="C1002" s="45" t="str">
        <x:v>濟水出焉南流，注于漢。有鳥焉，其名曰嬰勺，其狀如鵲赤目赤喙白身其尾若勺似酒勺形其鳴自呼多㸲牛多羬羊又東北五十里，曰袟𥮐之山，其上多松栢机桓又西北一百里，曰堇理之山，其上多松栢多美梓，其隂多丹䨼多金其獸多豹虎。有鳥焉，其狀如鵲青身白喙白目白尾名曰青耕。可以禦疫其鳴自叫又東南三十里，曰依軲之山，其上多杻橿多苴。有獸焉，其狀如犬虎爪有甲，其名曰獜善駚𤘝食者不風又東南三十五里，曰即谷之山多美玉多玄豹多閭麈多麢㚟，其陽多珉，其隂多青䨼又東南四十里，曰鷄山，其上多美梓多桑其草多韭又東南五十里，曰高前之山，其上。</x:v>
      </x:c>
      <x:c r="D1002" s="44" t="str">
        <x:v>袟𥮐之山</x:v>
      </x:c>
      <x:c r="E1002" s="44" t="str">
        <x:v>山</x:v>
      </x:c>
      <x:c r="F1002" s="18"/>
      <x:c r="G1002" s="46" t="str">
        <x:v>标点与分段参考《山海经校注》；正文对读：https://ctext.org/shan-hai-jing/zhong-shan-jing/zh</x:v>
      </x:c>
      <x:c r="H1002" s="47" t="e">
        <x:f>HYPERLINK("#'山海经原文总库'!A3","↩ 返回目录")</x:f>
        <x:v>HYPERLINK is not implemented. linkLocation=#'山海经原文总库'!A3, friendlyName=↩ 返回目录</x:v>
      </x:c>
      <x:c r="I1002" s="437"/>
      <x:c r="J1002" s="437"/>
      <x:c r="K1002" s="437" t="str">
        <x:v>待同名检索｜待建档</x:v>
      </x:c>
    </x:row>
    <x:row r="1003" ht="22.5" customHeight="1">
      <x:c r="A1003" s="44"/>
      <x:c r="B1003" s="44"/>
      <x:c r="C1003" s="45"/>
      <x:c r="D1003" s="44" t="str">
        <x:v>堇理之山</x:v>
      </x:c>
      <x:c r="E1003" s="44" t="str">
        <x:v>山</x:v>
      </x:c>
      <x:c r="F1003" s="18"/>
      <x:c r="G1003" s="46"/>
      <x:c r="H1003" s="47" t="e">
        <x:f>HYPERLINK("#'山海经原文总库'!A3","↩ 返回目录")</x:f>
        <x:v>HYPERLINK is not implemented. linkLocation=#'山海经原文总库'!A3, friendlyName=↩ 返回目录</x:v>
      </x:c>
      <x:c r="I1003" s="437"/>
      <x:c r="J1003" s="437"/>
      <x:c r="K1003" s="437" t="str">
        <x:v>待同名检索｜待建档</x:v>
      </x:c>
    </x:row>
    <x:row r="1004" ht="22.5" customHeight="1">
      <x:c r="A1004" s="44"/>
      <x:c r="B1004" s="44"/>
      <x:c r="C1004" s="45"/>
      <x:c r="D1004" s="44" t="str">
        <x:v>依軲之山</x:v>
      </x:c>
      <x:c r="E1004" s="44" t="str">
        <x:v>山</x:v>
      </x:c>
      <x:c r="F1004" s="18"/>
      <x:c r="G1004" s="46"/>
      <x:c r="H1004" s="47" t="e">
        <x:f>HYPERLINK("#'山海经原文总库'!A3","↩ 返回目录")</x:f>
        <x:v>HYPERLINK is not implemented. linkLocation=#'山海经原文总库'!A3, friendlyName=↩ 返回目录</x:v>
      </x:c>
      <x:c r="I1004" s="437"/>
      <x:c r="J1004" s="437"/>
      <x:c r="K1004" s="437" t="str">
        <x:v>待同名检索｜待建档</x:v>
      </x:c>
    </x:row>
    <x:row r="1005" ht="22.5" customHeight="1">
      <x:c r="A1005" s="44"/>
      <x:c r="B1005" s="44"/>
      <x:c r="C1005" s="45"/>
      <x:c r="D1005" s="44" t="str">
        <x:v>即谷之山</x:v>
      </x:c>
      <x:c r="E1005" s="44" t="str">
        <x:v>山</x:v>
      </x:c>
      <x:c r="F1005" s="18"/>
      <x:c r="G1005" s="46"/>
      <x:c r="H1005" s="47" t="e">
        <x:f>HYPERLINK("#'山海经原文总库'!A3","↩ 返回目录")</x:f>
        <x:v>HYPERLINK is not implemented. linkLocation=#'山海经原文总库'!A3, friendlyName=↩ 返回目录</x:v>
      </x:c>
      <x:c r="I1005" s="437"/>
      <x:c r="J1005" s="437"/>
      <x:c r="K1005" s="437" t="str">
        <x:v>待同名检索｜待建档</x:v>
      </x:c>
    </x:row>
    <x:row r="1006" ht="22.5" customHeight="1">
      <x:c r="A1006" s="44"/>
      <x:c r="B1006" s="44"/>
      <x:c r="C1006" s="45"/>
      <x:c r="D1006" s="44" t="str">
        <x:v>鷄山</x:v>
      </x:c>
      <x:c r="E1006" s="44" t="str">
        <x:v>山</x:v>
      </x:c>
      <x:c r="F1006" s="18"/>
      <x:c r="G1006" s="46"/>
      <x:c r="H1006" s="47" t="e">
        <x:f>HYPERLINK("#'山海经原文总库'!A3","↩ 返回目录")</x:f>
        <x:v>HYPERLINK is not implemented. linkLocation=#'山海经原文总库'!A3, friendlyName=↩ 返回目录</x:v>
      </x:c>
      <x:c r="I1006" s="437"/>
      <x:c r="J1006" s="437"/>
      <x:c r="K1006" s="437" t="str">
        <x:v>待同名检索｜待建档</x:v>
      </x:c>
    </x:row>
    <x:row r="1007" ht="22.5" customHeight="1">
      <x:c r="A1007" s="44"/>
      <x:c r="B1007" s="44"/>
      <x:c r="C1007" s="45"/>
      <x:c r="D1007" s="44" t="str">
        <x:v>高前之山</x:v>
      </x:c>
      <x:c r="E1007" s="44" t="str">
        <x:v>山</x:v>
      </x:c>
      <x:c r="F1007" s="18"/>
      <x:c r="G1007" s="46"/>
      <x:c r="H1007" s="47" t="e">
        <x:f>HYPERLINK("#'山海经原文总库'!A3","↩ 返回目录")</x:f>
        <x:v>HYPERLINK is not implemented. linkLocation=#'山海经原文总库'!A3, friendlyName=↩ 返回目录</x:v>
      </x:c>
      <x:c r="I1007" s="437"/>
      <x:c r="J1007" s="437"/>
      <x:c r="K1007" s="437" t="str">
        <x:v>待同名检索｜待建档</x:v>
      </x:c>
    </x:row>
    <x:row r="1008" ht="22.5" customHeight="1">
      <x:c r="A1008" s="44"/>
      <x:c r="B1008" s="44"/>
      <x:c r="C1008" s="45"/>
      <x:c r="D1008" s="44" t="str">
        <x:v>濟水</x:v>
      </x:c>
      <x:c r="E1008" s="44" t="str">
        <x:v>水系</x:v>
      </x:c>
      <x:c r="F1008" s="18"/>
      <x:c r="G1008" s="46"/>
      <x:c r="H1008" s="47" t="e">
        <x:f>HYPERLINK("#'山海经原文总库'!A3","↩ 返回目录")</x:f>
        <x:v>HYPERLINK is not implemented. linkLocation=#'山海经原文总库'!A3, friendlyName=↩ 返回目录</x:v>
      </x:c>
      <x:c r="I1008" s="437"/>
      <x:c r="J1008" s="437"/>
      <x:c r="K1008" s="437" t="str">
        <x:v>待同名检索｜待建档</x:v>
      </x:c>
    </x:row>
    <x:row r="1009" ht="22.5" customHeight="1">
      <x:c r="A1009" s="44"/>
      <x:c r="B1009" s="44"/>
      <x:c r="C1009" s="45"/>
      <x:c r="D1009" s="44" t="str">
        <x:v>即谷</x:v>
      </x:c>
      <x:c r="E1009" s="44" t="str">
        <x:v>區域</x:v>
      </x:c>
      <x:c r="F1009" s="18"/>
      <x:c r="G1009" s="46"/>
      <x:c r="H1009" s="47" t="e">
        <x:f>HYPERLINK("#'山海经原文总库'!A3","↩ 返回目录")</x:f>
        <x:v>HYPERLINK is not implemented. linkLocation=#'山海经原文总库'!A3, friendlyName=↩ 返回目录</x:v>
      </x:c>
      <x:c r="I1009" s="437"/>
      <x:c r="J1009" s="437"/>
      <x:c r="K1009" s="437" t="str">
        <x:v>待同名检索｜待建档</x:v>
      </x:c>
    </x:row>
    <x:row r="1010" ht="100.5" customHeight="1">
      <x:c r="A1010" s="44" t="str">
        <x:v>SHJ-05-111</x:v>
      </x:c>
      <x:c r="B1010" s="44" t="str">
        <x:v>卷五 《中山經》</x:v>
      </x:c>
      <x:c r="C1010" s="45" t="str">
        <x:v>有水焉甚寒而清帝臺之漿也飲之者不心痛，其上有金，其下有赭又東南三十里，曰游戲之山多杻橿穀多玉多封石又東南三十五里，曰從山，其上多松栢，其下多竹從水出于，其上潜于，其下，其中多三足鼈枝尾。食之無蠱疫又東南三十里，曰嬰䃌之山，其上多松栢，其下多梓櫄又東南三十里，曰畢山帝苑之水出焉東北流，注于視，其中多水玉多蛟，其上多㻬琈之玉又東南二十里，曰樂馬之山。有獸焉，其狀如彙赤如丹火，其名曰𤟑見則其國大疫又東南二十五里，曰葴山視水出焉東南流，注于汝水，其中多人魚多蛟多頡。</x:v>
      </x:c>
      <x:c r="D1010" s="44" t="str">
        <x:v>游戲之山</x:v>
      </x:c>
      <x:c r="E1010" s="44" t="str">
        <x:v>山</x:v>
      </x:c>
      <x:c r="F1010" s="18"/>
      <x:c r="G1010" s="46" t="str">
        <x:v>标点与分段参考《山海经校注》；正文对读：https://ctext.org/shan-hai-jing/zhong-shan-jing/zh</x:v>
      </x:c>
      <x:c r="H1010" s="47" t="e">
        <x:f>HYPERLINK("#'山海经原文总库'!A3","↩ 返回目录")</x:f>
        <x:v>HYPERLINK is not implemented. linkLocation=#'山海经原文总库'!A3, friendlyName=↩ 返回目录</x:v>
      </x:c>
      <x:c r="I1010" s="437"/>
      <x:c r="J1010" s="437"/>
      <x:c r="K1010" s="437" t="str">
        <x:v>待同名检索｜待建档</x:v>
      </x:c>
    </x:row>
    <x:row r="1011" ht="22.5" customHeight="1">
      <x:c r="A1011" s="44"/>
      <x:c r="B1011" s="44"/>
      <x:c r="C1011" s="45"/>
      <x:c r="D1011" s="44" t="str">
        <x:v>從山</x:v>
      </x:c>
      <x:c r="E1011" s="44" t="str">
        <x:v>山</x:v>
      </x:c>
      <x:c r="F1011" s="18"/>
      <x:c r="G1011" s="46"/>
      <x:c r="H1011" s="47" t="e">
        <x:f>HYPERLINK("#'山海经原文总库'!A3","↩ 返回目录")</x:f>
        <x:v>HYPERLINK is not implemented. linkLocation=#'山海经原文总库'!A3, friendlyName=↩ 返回目录</x:v>
      </x:c>
      <x:c r="I1011" s="437"/>
      <x:c r="J1011" s="437"/>
      <x:c r="K1011" s="437" t="str">
        <x:v>待同名检索｜待建档</x:v>
      </x:c>
    </x:row>
    <x:row r="1012" ht="22.5" customHeight="1">
      <x:c r="A1012" s="44"/>
      <x:c r="B1012" s="44"/>
      <x:c r="C1012" s="45"/>
      <x:c r="D1012" s="44" t="str">
        <x:v>嬰䃌之山</x:v>
      </x:c>
      <x:c r="E1012" s="44" t="str">
        <x:v>山</x:v>
      </x:c>
      <x:c r="F1012" s="18"/>
      <x:c r="G1012" s="46"/>
      <x:c r="H1012" s="47" t="e">
        <x:f>HYPERLINK("#'山海经原文总库'!A3","↩ 返回目录")</x:f>
        <x:v>HYPERLINK is not implemented. linkLocation=#'山海经原文总库'!A3, friendlyName=↩ 返回目录</x:v>
      </x:c>
      <x:c r="I1012" s="437"/>
      <x:c r="J1012" s="437"/>
      <x:c r="K1012" s="437" t="str">
        <x:v>待同名检索｜待建档</x:v>
      </x:c>
    </x:row>
    <x:row r="1013" ht="22.5" customHeight="1">
      <x:c r="A1013" s="44"/>
      <x:c r="B1013" s="44"/>
      <x:c r="C1013" s="45"/>
      <x:c r="D1013" s="44" t="str">
        <x:v>畢山</x:v>
      </x:c>
      <x:c r="E1013" s="44" t="str">
        <x:v>山</x:v>
      </x:c>
      <x:c r="F1013" s="18"/>
      <x:c r="G1013" s="46"/>
      <x:c r="H1013" s="47" t="e">
        <x:f>HYPERLINK("#'山海经原文总库'!A3","↩ 返回目录")</x:f>
        <x:v>HYPERLINK is not implemented. linkLocation=#'山海经原文总库'!A3, friendlyName=↩ 返回目录</x:v>
      </x:c>
      <x:c r="I1013" s="437"/>
      <x:c r="J1013" s="437"/>
      <x:c r="K1013" s="437" t="str">
        <x:v>待同名检索｜待建档</x:v>
      </x:c>
    </x:row>
    <x:row r="1014" ht="22.5" customHeight="1">
      <x:c r="A1014" s="44"/>
      <x:c r="B1014" s="44"/>
      <x:c r="C1014" s="45"/>
      <x:c r="D1014" s="44" t="str">
        <x:v>樂馬之山</x:v>
      </x:c>
      <x:c r="E1014" s="44" t="str">
        <x:v>山</x:v>
      </x:c>
      <x:c r="F1014" s="18"/>
      <x:c r="G1014" s="46"/>
      <x:c r="H1014" s="47" t="e">
        <x:f>HYPERLINK("#'山海经原文总库'!A3","↩ 返回目录")</x:f>
        <x:v>HYPERLINK is not implemented. linkLocation=#'山海经原文总库'!A3, friendlyName=↩ 返回目录</x:v>
      </x:c>
      <x:c r="I1014" s="437"/>
      <x:c r="J1014" s="437"/>
      <x:c r="K1014" s="437" t="str">
        <x:v>待同名检索｜待建档</x:v>
      </x:c>
    </x:row>
    <x:row r="1015" ht="22.5" customHeight="1">
      <x:c r="A1015" s="44"/>
      <x:c r="B1015" s="44"/>
      <x:c r="C1015" s="45"/>
      <x:c r="D1015" s="44" t="str">
        <x:v>葴山</x:v>
      </x:c>
      <x:c r="E1015" s="44" t="str">
        <x:v>山</x:v>
      </x:c>
      <x:c r="F1015" s="18"/>
      <x:c r="G1015" s="46"/>
      <x:c r="H1015" s="47" t="e">
        <x:f>HYPERLINK("#'山海经原文总库'!A3","↩ 返回目录")</x:f>
        <x:v>HYPERLINK is not implemented. linkLocation=#'山海经原文总库'!A3, friendlyName=↩ 返回目录</x:v>
      </x:c>
      <x:c r="I1015" s="437"/>
      <x:c r="J1015" s="437"/>
      <x:c r="K1015" s="437" t="str">
        <x:v>待同名检索｜待建档</x:v>
      </x:c>
    </x:row>
    <x:row r="1016" ht="22.5" customHeight="1">
      <x:c r="A1016" s="44"/>
      <x:c r="B1016" s="44"/>
      <x:c r="C1016" s="45"/>
      <x:c r="D1016" s="44" t="str">
        <x:v>𤟑見則其國</x:v>
      </x:c>
      <x:c r="E1016" s="44" t="str">
        <x:v>國</x:v>
      </x:c>
      <x:c r="F1016" s="18"/>
      <x:c r="G1016" s="46"/>
      <x:c r="H1016" s="47" t="e">
        <x:f>HYPERLINK("#'山海经原文总库'!A3","↩ 返回目录")</x:f>
        <x:v>HYPERLINK is not implemented. linkLocation=#'山海经原文总库'!A3, friendlyName=↩ 返回目录</x:v>
      </x:c>
      <x:c r="I1016" s="437"/>
      <x:c r="J1016" s="437"/>
      <x:c r="K1016" s="437" t="str">
        <x:v>待同名检索｜待建档</x:v>
      </x:c>
    </x:row>
    <x:row r="1017" ht="22.5" customHeight="1">
      <x:c r="A1017" s="44"/>
      <x:c r="B1017" s="44"/>
      <x:c r="C1017" s="45"/>
      <x:c r="D1017" s="44" t="str">
        <x:v>畢山帝苑之水</x:v>
      </x:c>
      <x:c r="E1017" s="44" t="str">
        <x:v>水系</x:v>
      </x:c>
      <x:c r="F1017" s="18"/>
      <x:c r="G1017" s="46"/>
      <x:c r="H1017" s="47" t="e">
        <x:f>HYPERLINK("#'山海经原文总库'!A3","↩ 返回目录")</x:f>
        <x:v>HYPERLINK is not implemented. linkLocation=#'山海经原文总库'!A3, friendlyName=↩ 返回目录</x:v>
      </x:c>
      <x:c r="I1017" s="437"/>
      <x:c r="J1017" s="437"/>
      <x:c r="K1017" s="437" t="str">
        <x:v>待同名检索｜待建档</x:v>
      </x:c>
    </x:row>
    <x:row r="1018" ht="22.5" customHeight="1">
      <x:c r="A1018" s="44"/>
      <x:c r="B1018" s="44"/>
      <x:c r="C1018" s="45"/>
      <x:c r="D1018" s="44" t="str">
        <x:v>葴山視水</x:v>
      </x:c>
      <x:c r="E1018" s="44" t="str">
        <x:v>水系</x:v>
      </x:c>
      <x:c r="F1018" s="18"/>
      <x:c r="G1018" s="46"/>
      <x:c r="H1018" s="47" t="e">
        <x:f>HYPERLINK("#'山海经原文总库'!A3","↩ 返回目录")</x:f>
        <x:v>HYPERLINK is not implemented. linkLocation=#'山海经原文总库'!A3, friendlyName=↩ 返回目录</x:v>
      </x:c>
      <x:c r="I1018" s="437"/>
      <x:c r="J1018" s="437"/>
      <x:c r="K1018" s="437" t="str">
        <x:v>待同名检索｜待建档</x:v>
      </x:c>
    </x:row>
    <x:row r="1019" ht="22.5" customHeight="1">
      <x:c r="A1019" s="44"/>
      <x:c r="B1019" s="44"/>
      <x:c r="C1019" s="45"/>
      <x:c r="D1019" s="44" t="str">
        <x:v>汝水</x:v>
      </x:c>
      <x:c r="E1019" s="44" t="str">
        <x:v>水系</x:v>
      </x:c>
      <x:c r="F1019" s="18"/>
      <x:c r="G1019" s="46"/>
      <x:c r="H1019" s="47" t="e">
        <x:f>HYPERLINK("#'山海经原文总库'!A3","↩ 返回目录")</x:f>
        <x:v>HYPERLINK is not implemented. linkLocation=#'山海经原文总库'!A3, friendlyName=↩ 返回目录</x:v>
      </x:c>
      <x:c r="I1019" s="437"/>
      <x:c r="J1019" s="437"/>
      <x:c r="K1019" s="437" t="str">
        <x:v>待同名检索｜待建档</x:v>
      </x:c>
    </x:row>
    <x:row r="1020" ht="22.5" customHeight="1">
      <x:c r="A1020" s="44"/>
      <x:c r="B1020" s="44"/>
      <x:c r="C1020" s="45"/>
      <x:c r="D1020" s="44" t="str">
        <x:v>水焉甚寒而清帝臺</x:v>
      </x:c>
      <x:c r="E1020" s="44" t="str">
        <x:v>聚落／區域</x:v>
      </x:c>
      <x:c r="F1020" s="18"/>
      <x:c r="G1020" s="46"/>
      <x:c r="H1020" s="47" t="e">
        <x:f>HYPERLINK("#'山海经原文总库'!A3","↩ 返回目录")</x:f>
        <x:v>HYPERLINK is not implemented. linkLocation=#'山海经原文总库'!A3, friendlyName=↩ 返回目录</x:v>
      </x:c>
      <x:c r="I1020" s="437"/>
      <x:c r="J1020" s="437"/>
      <x:c r="K1020" s="437" t="str">
        <x:v>待同名检索｜待建档</x:v>
      </x:c>
    </x:row>
    <x:row r="1021" ht="22.5" customHeight="1">
      <x:c r="A1021" s="44"/>
      <x:c r="B1021" s="44"/>
      <x:c r="C1021" s="45"/>
      <x:c r="D1021" s="44" t="str">
        <x:v>從水</x:v>
      </x:c>
      <x:c r="E1021" s="44" t="str">
        <x:v>水系</x:v>
      </x:c>
      <x:c r="F1021" s="18"/>
      <x:c r="G1021" s="46"/>
      <x:c r="H1021" s="47" t="e">
        <x:f>HYPERLINK("#'山海经原文总库'!A3","↩ 返回目录")</x:f>
        <x:v>HYPERLINK is not implemented. linkLocation=#'山海经原文总库'!A3, friendlyName=↩ 返回目录</x:v>
      </x:c>
      <x:c r="I1021" s="437"/>
      <x:c r="J1021" s="437"/>
      <x:c r="K1021" s="437" t="str">
        <x:v>待同名检索｜待建档</x:v>
      </x:c>
    </x:row>
    <x:row r="1022" ht="22.5" customHeight="1">
      <x:c r="A1022" s="44"/>
      <x:c r="B1022" s="44"/>
      <x:c r="C1022" s="45"/>
      <x:c r="D1022" s="44" t="str">
        <x:v>帝苑之水</x:v>
      </x:c>
      <x:c r="E1022" s="44" t="str">
        <x:v>水系</x:v>
      </x:c>
      <x:c r="F1022" s="18"/>
      <x:c r="G1022" s="46"/>
      <x:c r="H1022" s="47" t="e">
        <x:f>HYPERLINK("#'山海经原文总库'!A3","↩ 返回目录")</x:f>
        <x:v>HYPERLINK is not implemented. linkLocation=#'山海经原文总库'!A3, friendlyName=↩ 返回目录</x:v>
      </x:c>
      <x:c r="I1022" s="437"/>
      <x:c r="J1022" s="437"/>
      <x:c r="K1022" s="437" t="str">
        <x:v>待同名检索｜待建档</x:v>
      </x:c>
    </x:row>
    <x:row r="1023" ht="22.5" customHeight="1">
      <x:c r="A1023" s="44"/>
      <x:c r="B1023" s="44"/>
      <x:c r="C1023" s="45"/>
      <x:c r="D1023" s="44" t="str">
        <x:v>視水</x:v>
      </x:c>
      <x:c r="E1023" s="44" t="str">
        <x:v>水系</x:v>
      </x:c>
      <x:c r="F1023" s="18"/>
      <x:c r="G1023" s="46"/>
      <x:c r="H1023" s="47" t="e">
        <x:f>HYPERLINK("#'山海经原文总库'!A3","↩ 返回目录")</x:f>
        <x:v>HYPERLINK is not implemented. linkLocation=#'山海经原文总库'!A3, friendlyName=↩ 返回目录</x:v>
      </x:c>
      <x:c r="I1023" s="437"/>
      <x:c r="J1023" s="437"/>
      <x:c r="K1023" s="437" t="str">
        <x:v>待同名检索｜待建档</x:v>
      </x:c>
    </x:row>
    <x:row r="1024" ht="48" customHeight="1">
      <x:c r="A1024" s="44" t="str">
        <x:v>SHJ-05-112</x:v>
      </x:c>
      <x:c r="B1024" s="44" t="str">
        <x:v>卷五 《中山經》</x:v>
      </x:c>
      <x:c r="C1024" s="45" t="str">
        <x:v>又東百十里，曰杳山，其上多嘉榮草，多金玉。</x:v>
      </x:c>
      <x:c r="D1024" s="44" t="str">
        <x:v>杳山</x:v>
      </x:c>
      <x:c r="E1024" s="44" t="str">
        <x:v>山</x:v>
      </x:c>
      <x:c r="F1024" s="18"/>
      <x:c r="G1024" s="46" t="str">
        <x:v>标点与分段参考《山海经校注》；正文对读：https://ctext.org/shan-hai-jing/zhong-shan-jing/zh</x:v>
      </x:c>
      <x:c r="H1024" s="47" t="e">
        <x:f>HYPERLINK("#'山海经原文总库'!A3","↩ 返回目录")</x:f>
        <x:v>HYPERLINK is not implemented. linkLocation=#'山海经原文总库'!A3, friendlyName=↩ 返回目录</x:v>
      </x:c>
      <x:c r="I1024" s="437"/>
      <x:c r="J1024" s="437"/>
      <x:c r="K1024" s="437" t="str">
        <x:v>待同名检索｜待建档</x:v>
      </x:c>
    </x:row>
    <x:row r="1025" ht="48" customHeight="1">
      <x:c r="A1025" s="44" t="str">
        <x:v>SHJ-05-113</x:v>
      </x:c>
      <x:c r="B1025" s="44" t="str">
        <x:v>卷五 《中山經》</x:v>
      </x:c>
      <x:c r="C1025" s="45" t="str">
        <x:v>又東三十里，曰虎首之山，多苴椆椐。</x:v>
      </x:c>
      <x:c r="D1025" s="44" t="str">
        <x:v>虎首之山</x:v>
      </x:c>
      <x:c r="E1025" s="44" t="str">
        <x:v>山</x:v>
      </x:c>
      <x:c r="F1025" s="18"/>
      <x:c r="G1025" s="46" t="str">
        <x:v>标点与分段参考《山海经校注》；正文对读：https://ctext.org/shan-hai-jing/zhong-shan-jing/zh</x:v>
      </x:c>
      <x:c r="H1025" s="47" t="e">
        <x:f>HYPERLINK("#'山海经原文总库'!A3","↩ 返回目录")</x:f>
        <x:v>HYPERLINK is not implemented. linkLocation=#'山海经原文总库'!A3, friendlyName=↩ 返回目录</x:v>
      </x:c>
      <x:c r="I1025" s="437"/>
      <x:c r="J1025" s="437"/>
      <x:c r="K1025" s="437" t="str">
        <x:v>待同名检索｜待建档</x:v>
      </x:c>
    </x:row>
    <x:row r="1026" ht="48" customHeight="1">
      <x:c r="A1026" s="44" t="str">
        <x:v>SHJ-05-114</x:v>
      </x:c>
      <x:c r="B1026" s="44" t="str">
        <x:v>卷五 《中山經》</x:v>
      </x:c>
      <x:c r="C1026" s="45" t="str">
        <x:v>又東二百三十里，曰榮余之山，其上多銅，其下多銀，其木多柳芑，其蟲多怪蛇怪蟲。</x:v>
      </x:c>
      <x:c r="D1026" s="44" t="str">
        <x:v>榮余之山</x:v>
      </x:c>
      <x:c r="E1026" s="44" t="str">
        <x:v>山</x:v>
      </x:c>
      <x:c r="F1026" s="18"/>
      <x:c r="G1026" s="46" t="str">
        <x:v>标点与分段参考《山海经校注》；正文对读：https://ctext.org/shan-hai-jing/zhong-shan-jing/zh</x:v>
      </x:c>
      <x:c r="H1026" s="47" t="e">
        <x:f>HYPERLINK("#'山海经原文总库'!A3","↩ 返回目录")</x:f>
        <x:v>HYPERLINK is not implemented. linkLocation=#'山海经原文总库'!A3, friendlyName=↩ 返回目录</x:v>
      </x:c>
      <x:c r="I1026" s="437"/>
      <x:c r="J1026" s="437"/>
      <x:c r="K1026" s="437" t="str">
        <x:v>待同名检索｜待建档</x:v>
      </x:c>
    </x:row>
    <x:row r="1027" ht="48" customHeight="1">
      <x:c r="A1027" s="44" t="str">
        <x:v>SHJ-05-115</x:v>
      </x:c>
      <x:c r="B1027" s="44" t="str">
        <x:v>卷五 《中山經》</x:v>
      </x:c>
      <x:c r="C1027" s="45" t="str">
        <x:v>又東五十里，曰大孰之山，殺水出焉東北流，注于視水，其中多白堊。</x:v>
      </x:c>
      <x:c r="D1027" s="44" t="str">
        <x:v>大孰之山</x:v>
      </x:c>
      <x:c r="E1027" s="44" t="str">
        <x:v>山</x:v>
      </x:c>
      <x:c r="F1027" s="18"/>
      <x:c r="G1027" s="46" t="str">
        <x:v>标点与分段参考《山海经校注》；正文对读：https://ctext.org/shan-hai-jing/zhong-shan-jing/zh</x:v>
      </x:c>
      <x:c r="H1027" s="47" t="e">
        <x:f>HYPERLINK("#'山海经原文总库'!A3","↩ 返回目录")</x:f>
        <x:v>HYPERLINK is not implemented. linkLocation=#'山海经原文总库'!A3, friendlyName=↩ 返回目录</x:v>
      </x:c>
      <x:c r="I1027" s="437"/>
      <x:c r="J1027" s="437"/>
      <x:c r="K1027" s="437" t="str">
        <x:v>待同名检索｜待建档</x:v>
      </x:c>
    </x:row>
    <x:row r="1028" ht="22.5" customHeight="1">
      <x:c r="A1028" s="44"/>
      <x:c r="B1028" s="44"/>
      <x:c r="C1028" s="45"/>
      <x:c r="D1028" s="44" t="str">
        <x:v>殺水</x:v>
      </x:c>
      <x:c r="E1028" s="44" t="str">
        <x:v>水系</x:v>
      </x:c>
      <x:c r="F1028" s="18"/>
      <x:c r="G1028" s="46"/>
      <x:c r="H1028" s="47" t="e">
        <x:f>HYPERLINK("#'山海经原文总库'!A3","↩ 返回目录")</x:f>
        <x:v>HYPERLINK is not implemented. linkLocation=#'山海经原文总库'!A3, friendlyName=↩ 返回目录</x:v>
      </x:c>
      <x:c r="I1028" s="437"/>
      <x:c r="J1028" s="437"/>
      <x:c r="K1028" s="437" t="str">
        <x:v>待同名检索｜待建档</x:v>
      </x:c>
    </x:row>
    <x:row r="1029" ht="22.5" customHeight="1">
      <x:c r="A1029" s="44"/>
      <x:c r="B1029" s="44"/>
      <x:c r="C1029" s="45"/>
      <x:c r="D1029" s="44" t="str">
        <x:v>視水</x:v>
      </x:c>
      <x:c r="E1029" s="44" t="str">
        <x:v>水系</x:v>
      </x:c>
      <x:c r="F1029" s="18"/>
      <x:c r="G1029" s="46"/>
      <x:c r="H1029" s="47" t="e">
        <x:f>HYPERLINK("#'山海经原文总库'!A3","↩ 返回目录")</x:f>
        <x:v>HYPERLINK is not implemented. linkLocation=#'山海经原文总库'!A3, friendlyName=↩ 返回目录</x:v>
      </x:c>
      <x:c r="I1029" s="437"/>
      <x:c r="J1029" s="437"/>
      <x:c r="K1029" s="437" t="str">
        <x:v>待同名检索｜待建档</x:v>
      </x:c>
    </x:row>
    <x:row r="1030" ht="48" customHeight="1">
      <x:c r="A1030" s="44" t="str">
        <x:v>SHJ-05-116</x:v>
      </x:c>
      <x:c r="B1030" s="44" t="str">
        <x:v>卷五 《中山經》</x:v>
      </x:c>
      <x:c r="C1030" s="45" t="str">
        <x:v>又東四十里，曰卑山，其上多桃李苴梓多纍。</x:v>
      </x:c>
      <x:c r="D1030" s="44" t="str">
        <x:v>卑山</x:v>
      </x:c>
      <x:c r="E1030" s="44" t="str">
        <x:v>山</x:v>
      </x:c>
      <x:c r="F1030" s="18"/>
      <x:c r="G1030" s="46" t="str">
        <x:v>标点与分段参考《山海经校注》；正文对读：https://ctext.org/shan-hai-jing/zhong-shan-jing/zh</x:v>
      </x:c>
      <x:c r="H1030" s="47" t="e">
        <x:f>HYPERLINK("#'山海经原文总库'!A3","↩ 返回目录")</x:f>
        <x:v>HYPERLINK is not implemented. linkLocation=#'山海经原文总库'!A3, friendlyName=↩ 返回目录</x:v>
      </x:c>
      <x:c r="I1030" s="437"/>
      <x:c r="J1030" s="437"/>
      <x:c r="K1030" s="437" t="str">
        <x:v>待同名检索｜待建档</x:v>
      </x:c>
    </x:row>
    <x:row r="1031" ht="48" customHeight="1">
      <x:c r="A1031" s="44" t="str">
        <x:v>SHJ-05-117</x:v>
      </x:c>
      <x:c r="B1031" s="44" t="str">
        <x:v>卷五 《中山經》</x:v>
      </x:c>
      <x:c r="C1031" s="45" t="str">
        <x:v>又東三十里，曰倚帝之山，其上多玉，其下多金。有獸焉，其狀如鼣鼠白耳白喙名曰狙如見則其國有大兵。</x:v>
      </x:c>
      <x:c r="D1031" s="44" t="str">
        <x:v>倚帝之山</x:v>
      </x:c>
      <x:c r="E1031" s="44" t="str">
        <x:v>山</x:v>
      </x:c>
      <x:c r="F1031" s="18"/>
      <x:c r="G1031" s="46" t="str">
        <x:v>标点与分段参考《山海经校注》；正文对读：https://ctext.org/shan-hai-jing/zhong-shan-jing/zh</x:v>
      </x:c>
      <x:c r="H1031" s="47" t="e">
        <x:f>HYPERLINK("#'山海经原文总库'!A3","↩ 返回目录")</x:f>
        <x:v>HYPERLINK is not implemented. linkLocation=#'山海经原文总库'!A3, friendlyName=↩ 返回目录</x:v>
      </x:c>
      <x:c r="I1031" s="437"/>
      <x:c r="J1031" s="437"/>
      <x:c r="K1031" s="437" t="str">
        <x:v>待同名检索｜待建档</x:v>
      </x:c>
    </x:row>
    <x:row r="1032" ht="22.5" customHeight="1">
      <x:c r="A1032" s="44"/>
      <x:c r="B1032" s="44"/>
      <x:c r="C1032" s="45"/>
      <x:c r="D1032" s="44" t="str">
        <x:v>狙如見則其國</x:v>
      </x:c>
      <x:c r="E1032" s="44" t="str">
        <x:v>國</x:v>
      </x:c>
      <x:c r="F1032" s="18"/>
      <x:c r="G1032" s="46"/>
      <x:c r="H1032" s="47" t="e">
        <x:f>HYPERLINK("#'山海经原文总库'!A3","↩ 返回目录")</x:f>
        <x:v>HYPERLINK is not implemented. linkLocation=#'山海经原文总库'!A3, friendlyName=↩ 返回目录</x:v>
      </x:c>
      <x:c r="I1032" s="437"/>
      <x:c r="J1032" s="437"/>
      <x:c r="K1032" s="437" t="str">
        <x:v>待同名检索｜待建档</x:v>
      </x:c>
    </x:row>
    <x:row r="1033" ht="48" customHeight="1">
      <x:c r="A1033" s="44" t="str">
        <x:v>SHJ-05-118</x:v>
      </x:c>
      <x:c r="B1033" s="44" t="str">
        <x:v>卷五 《中山經》</x:v>
      </x:c>
      <x:c r="C1033" s="45" t="str">
        <x:v>又東三十里，曰鯢山，鯢水出于，其上潜于，其下，其中多美堊，其上多金，其下多青䨼。</x:v>
      </x:c>
      <x:c r="D1033" s="44" t="str">
        <x:v>鯢山</x:v>
      </x:c>
      <x:c r="E1033" s="44" t="str">
        <x:v>山</x:v>
      </x:c>
      <x:c r="F1033" s="18"/>
      <x:c r="G1033" s="46" t="str">
        <x:v>标点与分段参考《山海经校注》；正文对读：https://ctext.org/shan-hai-jing/zhong-shan-jing/zh</x:v>
      </x:c>
      <x:c r="H1033" s="47" t="e">
        <x:f>HYPERLINK("#'山海经原文总库'!A3","↩ 返回目录")</x:f>
        <x:v>HYPERLINK is not implemented. linkLocation=#'山海经原文总库'!A3, friendlyName=↩ 返回目录</x:v>
      </x:c>
      <x:c r="I1033" s="437"/>
      <x:c r="J1033" s="437"/>
      <x:c r="K1033" s="437" t="str">
        <x:v>待同名检索｜待建档</x:v>
      </x:c>
    </x:row>
    <x:row r="1034" ht="22.5" customHeight="1">
      <x:c r="A1034" s="44"/>
      <x:c r="B1034" s="44"/>
      <x:c r="C1034" s="45"/>
      <x:c r="D1034" s="44" t="str">
        <x:v>鯢水</x:v>
      </x:c>
      <x:c r="E1034" s="44" t="str">
        <x:v>水系</x:v>
      </x:c>
      <x:c r="F1034" s="18"/>
      <x:c r="G1034" s="46"/>
      <x:c r="H1034" s="47" t="e">
        <x:f>HYPERLINK("#'山海经原文总库'!A3","↩ 返回目录")</x:f>
        <x:v>HYPERLINK is not implemented. linkLocation=#'山海经原文总库'!A3, friendlyName=↩ 返回目录</x:v>
      </x:c>
      <x:c r="I1034" s="437"/>
      <x:c r="J1034" s="437"/>
      <x:c r="K1034" s="437" t="str">
        <x:v>待同名检索｜待建档</x:v>
      </x:c>
    </x:row>
    <x:row r="1035" ht="48" customHeight="1">
      <x:c r="A1035" s="44" t="str">
        <x:v>SHJ-05-119</x:v>
      </x:c>
      <x:c r="B1035" s="44" t="str">
        <x:v>卷五 《中山經》</x:v>
      </x:c>
      <x:c r="C1035" s="45" t="str">
        <x:v>又東三十里，曰雅山，澧水出焉東流，注于視水，其中多大魚，其上多美桑，其下多苴多赤金。</x:v>
      </x:c>
      <x:c r="D1035" s="44" t="str">
        <x:v>雅山</x:v>
      </x:c>
      <x:c r="E1035" s="44" t="str">
        <x:v>山</x:v>
      </x:c>
      <x:c r="F1035" s="18"/>
      <x:c r="G1035" s="46" t="str">
        <x:v>标点与分段参考《山海经校注》；正文对读：https://ctext.org/shan-hai-jing/zhong-shan-jing/zh</x:v>
      </x:c>
      <x:c r="H1035" s="47" t="e">
        <x:f>HYPERLINK("#'山海经原文总库'!A3","↩ 返回目录")</x:f>
        <x:v>HYPERLINK is not implemented. linkLocation=#'山海经原文总库'!A3, friendlyName=↩ 返回目录</x:v>
      </x:c>
      <x:c r="I1035" s="437"/>
      <x:c r="J1035" s="437"/>
      <x:c r="K1035" s="437" t="str">
        <x:v>待同名检索｜待建档</x:v>
      </x:c>
    </x:row>
    <x:row r="1036" ht="22.5" customHeight="1">
      <x:c r="A1036" s="44"/>
      <x:c r="B1036" s="44"/>
      <x:c r="C1036" s="45"/>
      <x:c r="D1036" s="44" t="str">
        <x:v>澧水</x:v>
      </x:c>
      <x:c r="E1036" s="44" t="str">
        <x:v>水系</x:v>
      </x:c>
      <x:c r="F1036" s="18"/>
      <x:c r="G1036" s="46"/>
      <x:c r="H1036" s="47" t="e">
        <x:f>HYPERLINK("#'山海经原文总库'!A3","↩ 返回目录")</x:f>
        <x:v>HYPERLINK is not implemented. linkLocation=#'山海经原文总库'!A3, friendlyName=↩ 返回目录</x:v>
      </x:c>
      <x:c r="I1036" s="437"/>
      <x:c r="J1036" s="437"/>
      <x:c r="K1036" s="437" t="str">
        <x:v>待同名检索｜待建档</x:v>
      </x:c>
    </x:row>
    <x:row r="1037" ht="22.5" customHeight="1">
      <x:c r="A1037" s="44"/>
      <x:c r="B1037" s="44"/>
      <x:c r="C1037" s="45"/>
      <x:c r="D1037" s="44" t="str">
        <x:v>視水</x:v>
      </x:c>
      <x:c r="E1037" s="44" t="str">
        <x:v>水系</x:v>
      </x:c>
      <x:c r="F1037" s="18"/>
      <x:c r="G1037" s="46"/>
      <x:c r="H1037" s="47" t="e">
        <x:f>HYPERLINK("#'山海经原文总库'!A3","↩ 返回目录")</x:f>
        <x:v>HYPERLINK is not implemented. linkLocation=#'山海经原文总库'!A3, friendlyName=↩ 返回目录</x:v>
      </x:c>
      <x:c r="I1037" s="437"/>
      <x:c r="J1037" s="437"/>
      <x:c r="K1037" s="437" t="str">
        <x:v>待同名检索｜待建档</x:v>
      </x:c>
    </x:row>
    <x:row r="1038" ht="48" customHeight="1">
      <x:c r="A1038" s="44" t="str">
        <x:v>SHJ-05-120</x:v>
      </x:c>
      <x:c r="B1038" s="44" t="str">
        <x:v>卷五 《中山經》</x:v>
      </x:c>
      <x:c r="C1038" s="45" t="str">
        <x:v>又東五十里，曰宣山，淪水出焉東南流，注于視水，其中多蛟，其上有桑焉大五十尺其枝四衢其葉大尺餘赤理黄華青柎名曰帝女之桑。</x:v>
      </x:c>
      <x:c r="D1038" s="44" t="str">
        <x:v>宣山</x:v>
      </x:c>
      <x:c r="E1038" s="44" t="str">
        <x:v>山</x:v>
      </x:c>
      <x:c r="F1038" s="18"/>
      <x:c r="G1038" s="46" t="str">
        <x:v>标点与分段参考《山海经校注》；正文对读：https://ctext.org/shan-hai-jing/zhong-shan-jing/zh</x:v>
      </x:c>
      <x:c r="H1038" s="47" t="e">
        <x:f>HYPERLINK("#'山海经原文总库'!A3","↩ 返回目录")</x:f>
        <x:v>HYPERLINK is not implemented. linkLocation=#'山海经原文总库'!A3, friendlyName=↩ 返回目录</x:v>
      </x:c>
      <x:c r="I1038" s="437"/>
      <x:c r="J1038" s="437"/>
      <x:c r="K1038" s="437" t="str">
        <x:v>待同名检索｜待建档</x:v>
      </x:c>
    </x:row>
    <x:row r="1039" ht="22.5" customHeight="1">
      <x:c r="A1039" s="44"/>
      <x:c r="B1039" s="44"/>
      <x:c r="C1039" s="45"/>
      <x:c r="D1039" s="44" t="str">
        <x:v>淪水</x:v>
      </x:c>
      <x:c r="E1039" s="44" t="str">
        <x:v>水系</x:v>
      </x:c>
      <x:c r="F1039" s="18"/>
      <x:c r="G1039" s="46"/>
      <x:c r="H1039" s="47" t="e">
        <x:f>HYPERLINK("#'山海经原文总库'!A3","↩ 返回目录")</x:f>
        <x:v>HYPERLINK is not implemented. linkLocation=#'山海经原文总库'!A3, friendlyName=↩ 返回目录</x:v>
      </x:c>
      <x:c r="I1039" s="437"/>
      <x:c r="J1039" s="437"/>
      <x:c r="K1039" s="437" t="str">
        <x:v>待同名检索｜待建档</x:v>
      </x:c>
    </x:row>
    <x:row r="1040" ht="22.5" customHeight="1">
      <x:c r="A1040" s="44"/>
      <x:c r="B1040" s="44"/>
      <x:c r="C1040" s="45"/>
      <x:c r="D1040" s="44" t="str">
        <x:v>視水</x:v>
      </x:c>
      <x:c r="E1040" s="44" t="str">
        <x:v>水系</x:v>
      </x:c>
      <x:c r="F1040" s="18"/>
      <x:c r="G1040" s="46"/>
      <x:c r="H1040" s="47" t="e">
        <x:f>HYPERLINK("#'山海经原文总库'!A3","↩ 返回目录")</x:f>
        <x:v>HYPERLINK is not implemented. linkLocation=#'山海经原文总库'!A3, friendlyName=↩ 返回目录</x:v>
      </x:c>
      <x:c r="I1040" s="437"/>
      <x:c r="J1040" s="437"/>
      <x:c r="K1040" s="437" t="str">
        <x:v>待同名检索｜待建档</x:v>
      </x:c>
    </x:row>
    <x:row r="1041" ht="48" customHeight="1">
      <x:c r="A1041" s="44" t="str">
        <x:v>SHJ-05-121</x:v>
      </x:c>
      <x:c r="B1041" s="44" t="str">
        <x:v>卷五 《中山經》</x:v>
      </x:c>
      <x:c r="C1041" s="45" t="str">
        <x:v>又東四十五里，曰衡山，其上多青䨼多桑其鳥多鸜鵒。</x:v>
      </x:c>
      <x:c r="D1041" s="44" t="str">
        <x:v>衡山</x:v>
      </x:c>
      <x:c r="E1041" s="44" t="str">
        <x:v>山</x:v>
      </x:c>
      <x:c r="F1041" s="18"/>
      <x:c r="G1041" s="46" t="str">
        <x:v>标点与分段参考《山海经校注》；正文对读：https://ctext.org/shan-hai-jing/zhong-shan-jing/zh</x:v>
      </x:c>
      <x:c r="H1041" s="47" t="e">
        <x:f>HYPERLINK("#'山海经原文总库'!A3","↩ 返回目录")</x:f>
        <x:v>HYPERLINK is not implemented. linkLocation=#'山海经原文总库'!A3, friendlyName=↩ 返回目录</x:v>
      </x:c>
      <x:c r="I1041" s="437"/>
      <x:c r="J1041" s="437"/>
      <x:c r="K1041" s="437" t="str">
        <x:v>待同名检索｜待建档</x:v>
      </x:c>
    </x:row>
    <x:row r="1042" ht="48" customHeight="1">
      <x:c r="A1042" s="44" t="str">
        <x:v>SHJ-05-122</x:v>
      </x:c>
      <x:c r="B1042" s="44" t="str">
        <x:v>卷五 《中山經》</x:v>
      </x:c>
      <x:c r="C1042" s="45" t="str">
        <x:v>又東四十里，曰豐山，其上多封石其木多桑多羊桃狀如桃而方莖。可以爲皮張。</x:v>
      </x:c>
      <x:c r="D1042" s="44" t="str">
        <x:v>豐山</x:v>
      </x:c>
      <x:c r="E1042" s="44" t="str">
        <x:v>山</x:v>
      </x:c>
      <x:c r="F1042" s="18"/>
      <x:c r="G1042" s="46" t="str">
        <x:v>标点与分段参考《山海经校注》；正文对读：https://ctext.org/shan-hai-jing/zhong-shan-jing/zh</x:v>
      </x:c>
      <x:c r="H1042" s="47" t="e">
        <x:f>HYPERLINK("#'山海经原文总库'!A3","↩ 返回目录")</x:f>
        <x:v>HYPERLINK is not implemented. linkLocation=#'山海经原文总库'!A3, friendlyName=↩ 返回目录</x:v>
      </x:c>
      <x:c r="I1042" s="437"/>
      <x:c r="J1042" s="437"/>
      <x:c r="K1042" s="437" t="str">
        <x:v>待同名检索｜待建档</x:v>
      </x:c>
    </x:row>
    <x:row r="1043" ht="48" customHeight="1">
      <x:c r="A1043" s="44" t="str">
        <x:v>SHJ-05-123</x:v>
      </x:c>
      <x:c r="B1043" s="44" t="str">
        <x:v>卷五 《中山經》</x:v>
      </x:c>
      <x:c r="C1043" s="45" t="str">
        <x:v>又東七十里，曰嫗山，其上多美玉，其下多金其草多鷄穀。</x:v>
      </x:c>
      <x:c r="D1043" s="44" t="str">
        <x:v>嫗山</x:v>
      </x:c>
      <x:c r="E1043" s="44" t="str">
        <x:v>山</x:v>
      </x:c>
      <x:c r="F1043" s="18"/>
      <x:c r="G1043" s="46" t="str">
        <x:v>标点与分段参考《山海经校注》；正文对读：https://ctext.org/shan-hai-jing/zhong-shan-jing/zh</x:v>
      </x:c>
      <x:c r="H1043" s="47" t="e">
        <x:f>HYPERLINK("#'山海经原文总库'!A3","↩ 返回目录")</x:f>
        <x:v>HYPERLINK is not implemented. linkLocation=#'山海经原文总库'!A3, friendlyName=↩ 返回目录</x:v>
      </x:c>
      <x:c r="I1043" s="437"/>
      <x:c r="J1043" s="437"/>
      <x:c r="K1043" s="437" t="str">
        <x:v>待同名检索｜待建档</x:v>
      </x:c>
    </x:row>
    <x:row r="1044" ht="48" customHeight="1">
      <x:c r="A1044" s="44" t="str">
        <x:v>SHJ-05-124</x:v>
      </x:c>
      <x:c r="B1044" s="44" t="str">
        <x:v>卷五 《中山經》</x:v>
      </x:c>
      <x:c r="C1044" s="45" t="str">
        <x:v>又東三十里，曰鮮山，其木多楢杻苴其草多亹冬，其陽多金，其隂多鐵。有獸焉，其狀如膜大赤喙赤目白尾見則其邑有火名曰𤝻即。</x:v>
      </x:c>
      <x:c r="D1044" s="44" t="str">
        <x:v>鮮山</x:v>
      </x:c>
      <x:c r="E1044" s="44" t="str">
        <x:v>山</x:v>
      </x:c>
      <x:c r="F1044" s="18"/>
      <x:c r="G1044" s="46" t="str">
        <x:v>标点与分段参考《山海经校注》；正文对读：https://ctext.org/shan-hai-jing/zhong-shan-jing/zh</x:v>
      </x:c>
      <x:c r="H1044" s="47" t="e">
        <x:f>HYPERLINK("#'山海经原文总库'!A3","↩ 返回目录")</x:f>
        <x:v>HYPERLINK is not implemented. linkLocation=#'山海经原文总库'!A3, friendlyName=↩ 返回目录</x:v>
      </x:c>
      <x:c r="I1044" s="437"/>
      <x:c r="J1044" s="437"/>
      <x:c r="K1044" s="437" t="str">
        <x:v>待同名检索｜待建档</x:v>
      </x:c>
    </x:row>
    <x:row r="1045" ht="48" customHeight="1">
      <x:c r="A1045" s="44" t="str">
        <x:v>SHJ-05-125</x:v>
      </x:c>
      <x:c r="B1045" s="44" t="str">
        <x:v>卷五 《中山經》</x:v>
      </x:c>
      <x:c r="C1045" s="45" t="str">
        <x:v>又東三十里，曰章山，其陽多金，其隂多美石臯水出焉東流，注于澧水，其中多硊石。</x:v>
      </x:c>
      <x:c r="D1045" s="44" t="str">
        <x:v>章山</x:v>
      </x:c>
      <x:c r="E1045" s="44" t="str">
        <x:v>山</x:v>
      </x:c>
      <x:c r="F1045" s="18"/>
      <x:c r="G1045" s="46" t="str">
        <x:v>标点与分段参考《山海经校注》；正文对读：https://ctext.org/shan-hai-jing/zhong-shan-jing/zh</x:v>
      </x:c>
      <x:c r="H1045" s="47" t="e">
        <x:f>HYPERLINK("#'山海经原文总库'!A3","↩ 返回目录")</x:f>
        <x:v>HYPERLINK is not implemented. linkLocation=#'山海经原文总库'!A3, friendlyName=↩ 返回目录</x:v>
      </x:c>
      <x:c r="I1045" s="437"/>
      <x:c r="J1045" s="437"/>
      <x:c r="K1045" s="437" t="str">
        <x:v>待同名检索｜待建档</x:v>
      </x:c>
    </x:row>
    <x:row r="1046" ht="22.5" customHeight="1">
      <x:c r="A1046" s="44"/>
      <x:c r="B1046" s="44"/>
      <x:c r="C1046" s="45"/>
      <x:c r="D1046" s="44" t="str">
        <x:v>澧水</x:v>
      </x:c>
      <x:c r="E1046" s="44" t="str">
        <x:v>水系</x:v>
      </x:c>
      <x:c r="F1046" s="18"/>
      <x:c r="G1046" s="46"/>
      <x:c r="H1046" s="47" t="e">
        <x:f>HYPERLINK("#'山海经原文总库'!A3","↩ 返回目录")</x:f>
        <x:v>HYPERLINK is not implemented. linkLocation=#'山海经原文总库'!A3, friendlyName=↩ 返回目录</x:v>
      </x:c>
      <x:c r="I1046" s="437"/>
      <x:c r="J1046" s="437"/>
      <x:c r="K1046" s="437" t="str">
        <x:v>待同名检索｜待建档</x:v>
      </x:c>
    </x:row>
    <x:row r="1047" ht="22.5" customHeight="1">
      <x:c r="A1047" s="44"/>
      <x:c r="B1047" s="44"/>
      <x:c r="C1047" s="45"/>
      <x:c r="D1047" s="44" t="str">
        <x:v>臯水</x:v>
      </x:c>
      <x:c r="E1047" s="44" t="str">
        <x:v>水系</x:v>
      </x:c>
      <x:c r="F1047" s="18"/>
      <x:c r="G1047" s="46"/>
      <x:c r="H1047" s="47" t="e">
        <x:f>HYPERLINK("#'山海经原文总库'!A3","↩ 返回目录")</x:f>
        <x:v>HYPERLINK is not implemented. linkLocation=#'山海经原文总库'!A3, friendlyName=↩ 返回目录</x:v>
      </x:c>
      <x:c r="I1047" s="437"/>
      <x:c r="J1047" s="437"/>
      <x:c r="K1047" s="437" t="str">
        <x:v>待同名检索｜待建档</x:v>
      </x:c>
    </x:row>
    <x:row r="1048" ht="48" customHeight="1">
      <x:c r="A1048" s="44" t="str">
        <x:v>SHJ-05-126</x:v>
      </x:c>
      <x:c r="B1048" s="44" t="str">
        <x:v>卷五 《中山經》</x:v>
      </x:c>
      <x:c r="C1048" s="45" t="str">
        <x:v>又東二十五里，曰大支之山，其陽多金其木多穀柞無草。</x:v>
      </x:c>
      <x:c r="D1048" s="44" t="str">
        <x:v>大支之山</x:v>
      </x:c>
      <x:c r="E1048" s="44" t="str">
        <x:v>山</x:v>
      </x:c>
      <x:c r="F1048" s="18"/>
      <x:c r="G1048" s="46" t="str">
        <x:v>标点与分段参考《山海经校注》；正文对读：https://ctext.org/shan-hai-jing/zhong-shan-jing/zh</x:v>
      </x:c>
      <x:c r="H1048" s="47" t="e">
        <x:f>HYPERLINK("#'山海经原文总库'!A3","↩ 返回目录")</x:f>
        <x:v>HYPERLINK is not implemented. linkLocation=#'山海经原文总库'!A3, friendlyName=↩ 返回目录</x:v>
      </x:c>
      <x:c r="I1048" s="437"/>
      <x:c r="J1048" s="437"/>
      <x:c r="K1048" s="437" t="str">
        <x:v>待同名检索｜待建档</x:v>
      </x:c>
    </x:row>
    <x:row r="1049" ht="48" customHeight="1">
      <x:c r="A1049" s="44" t="str">
        <x:v>SHJ-05-127</x:v>
      </x:c>
      <x:c r="B1049" s="44" t="str">
        <x:v>卷五 《中山經》</x:v>
      </x:c>
      <x:c r="C1049" s="45" t="str">
        <x:v>又東五十里，曰區吴之山，其木多苴。</x:v>
      </x:c>
      <x:c r="D1049" s="44" t="str">
        <x:v>區吴之山</x:v>
      </x:c>
      <x:c r="E1049" s="44" t="str">
        <x:v>山</x:v>
      </x:c>
      <x:c r="F1049" s="18"/>
      <x:c r="G1049" s="46" t="str">
        <x:v>标点与分段参考《山海经校注》；正文对读：https://ctext.org/shan-hai-jing/zhong-shan-jing/zh</x:v>
      </x:c>
      <x:c r="H1049" s="47" t="e">
        <x:f>HYPERLINK("#'山海经原文总库'!A3","↩ 返回目录")</x:f>
        <x:v>HYPERLINK is not implemented. linkLocation=#'山海经原文总库'!A3, friendlyName=↩ 返回目录</x:v>
      </x:c>
      <x:c r="I1049" s="437"/>
      <x:c r="J1049" s="437"/>
      <x:c r="K1049" s="437" t="str">
        <x:v>待同名检索｜待建档</x:v>
      </x:c>
    </x:row>
    <x:row r="1050" ht="48" customHeight="1">
      <x:c r="A1050" s="44" t="str">
        <x:v>SHJ-05-128</x:v>
      </x:c>
      <x:c r="B1050" s="44" t="str">
        <x:v>卷五 《中山經》</x:v>
      </x:c>
      <x:c r="C1050" s="45" t="str">
        <x:v>又東五十里，曰聲匈之山，其木多穀多玉上多封石。</x:v>
      </x:c>
      <x:c r="D1050" s="44" t="str">
        <x:v>聲匈之山</x:v>
      </x:c>
      <x:c r="E1050" s="44" t="str">
        <x:v>山</x:v>
      </x:c>
      <x:c r="F1050" s="18"/>
      <x:c r="G1050" s="46" t="str">
        <x:v>标点与分段参考《山海经校注》；正文对读：https://ctext.org/shan-hai-jing/zhong-shan-jing/zh</x:v>
      </x:c>
      <x:c r="H1050" s="47" t="e">
        <x:f>HYPERLINK("#'山海经原文总库'!A3","↩ 返回目录")</x:f>
        <x:v>HYPERLINK is not implemented. linkLocation=#'山海经原文总库'!A3, friendlyName=↩ 返回目录</x:v>
      </x:c>
      <x:c r="I1050" s="437"/>
      <x:c r="J1050" s="437"/>
      <x:c r="K1050" s="437" t="str">
        <x:v>待同名检索｜待建档</x:v>
      </x:c>
    </x:row>
    <x:row r="1051" ht="48" customHeight="1">
      <x:c r="A1051" s="44" t="str">
        <x:v>SHJ-05-129</x:v>
      </x:c>
      <x:c r="B1051" s="44" t="str">
        <x:v>卷五 《中山經》</x:v>
      </x:c>
      <x:c r="C1051" s="45" t="str">
        <x:v>又東五十里，曰大騩之山，其陽多赤金，其隂多砥石。</x:v>
      </x:c>
      <x:c r="D1051" s="44" t="str">
        <x:v>大騩之山</x:v>
      </x:c>
      <x:c r="E1051" s="44" t="str">
        <x:v>山</x:v>
      </x:c>
      <x:c r="F1051" s="18"/>
      <x:c r="G1051" s="46" t="str">
        <x:v>标点与分段参考《山海经校注》；正文对读：https://ctext.org/shan-hai-jing/zhong-shan-jing/zh</x:v>
      </x:c>
      <x:c r="H1051" s="47" t="e">
        <x:f>HYPERLINK("#'山海经原文总库'!A3","↩ 返回目录")</x:f>
        <x:v>HYPERLINK is not implemented. linkLocation=#'山海经原文总库'!A3, friendlyName=↩ 返回目录</x:v>
      </x:c>
      <x:c r="I1051" s="437"/>
      <x:c r="J1051" s="437"/>
      <x:c r="K1051" s="437" t="str">
        <x:v>待同名检索｜待建档</x:v>
      </x:c>
    </x:row>
    <x:row r="1052" ht="64.5" customHeight="1">
      <x:c r="A1052" s="44" t="str">
        <x:v>SHJ-05-130</x:v>
      </x:c>
      <x:c r="B1052" s="44" t="str">
        <x:v>卷五 《中山經》</x:v>
      </x:c>
      <x:c r="C1052" s="45" t="str">
        <x:v>又東十里，曰踵臼之山，無草木又東北七十里，曰歷石之山其木多荆芑，其陽多黄金，其隂多砥石。有獸焉，其狀如狸而白首虎爪名曰梁渠見則其國有大兵又東南一百里，曰求山求水出于，其上潜于，其下中有美赭其木多苴多䉋，其陽多金，其隂多鐵。</x:v>
      </x:c>
      <x:c r="D1052" s="44" t="str">
        <x:v>踵臼之山</x:v>
      </x:c>
      <x:c r="E1052" s="44" t="str">
        <x:v>山</x:v>
      </x:c>
      <x:c r="F1052" s="18"/>
      <x:c r="G1052" s="46" t="str">
        <x:v>标点与分段参考《山海经校注》；正文对读：https://ctext.org/shan-hai-jing/zhong-shan-jing/zh</x:v>
      </x:c>
      <x:c r="H1052" s="47" t="e">
        <x:f>HYPERLINK("#'山海经原文总库'!A3","↩ 返回目录")</x:f>
        <x:v>HYPERLINK is not implemented. linkLocation=#'山海经原文总库'!A3, friendlyName=↩ 返回目录</x:v>
      </x:c>
      <x:c r="I1052" s="437"/>
      <x:c r="J1052" s="437"/>
      <x:c r="K1052" s="437" t="str">
        <x:v>待同名检索｜待建档</x:v>
      </x:c>
    </x:row>
    <x:row r="1053" ht="22.5" customHeight="1">
      <x:c r="A1053" s="44"/>
      <x:c r="B1053" s="44"/>
      <x:c r="C1053" s="45"/>
      <x:c r="D1053" s="44" t="str">
        <x:v>歷石之山</x:v>
      </x:c>
      <x:c r="E1053" s="44" t="str">
        <x:v>山</x:v>
      </x:c>
      <x:c r="F1053" s="18"/>
      <x:c r="G1053" s="46"/>
      <x:c r="H1053" s="47" t="e">
        <x:f>HYPERLINK("#'山海经原文总库'!A3","↩ 返回目录")</x:f>
        <x:v>HYPERLINK is not implemented. linkLocation=#'山海经原文总库'!A3, friendlyName=↩ 返回目录</x:v>
      </x:c>
      <x:c r="I1053" s="437"/>
      <x:c r="J1053" s="437"/>
      <x:c r="K1053" s="437" t="str">
        <x:v>待同名检索｜待建档</x:v>
      </x:c>
    </x:row>
    <x:row r="1054" ht="22.5" customHeight="1">
      <x:c r="A1054" s="44"/>
      <x:c r="B1054" s="44"/>
      <x:c r="C1054" s="45"/>
      <x:c r="D1054" s="44" t="str">
        <x:v>求山</x:v>
      </x:c>
      <x:c r="E1054" s="44" t="str">
        <x:v>山</x:v>
      </x:c>
      <x:c r="F1054" s="18"/>
      <x:c r="G1054" s="46"/>
      <x:c r="H1054" s="47" t="e">
        <x:f>HYPERLINK("#'山海经原文总库'!A3","↩ 返回目录")</x:f>
        <x:v>HYPERLINK is not implemented. linkLocation=#'山海经原文总库'!A3, friendlyName=↩ 返回目录</x:v>
      </x:c>
      <x:c r="I1054" s="437"/>
      <x:c r="J1054" s="437"/>
      <x:c r="K1054" s="437" t="str">
        <x:v>待同名检索｜待建档</x:v>
      </x:c>
    </x:row>
    <x:row r="1055" ht="22.5" customHeight="1">
      <x:c r="A1055" s="44"/>
      <x:c r="B1055" s="44"/>
      <x:c r="C1055" s="45"/>
      <x:c r="D1055" s="44" t="str">
        <x:v>梁渠見則其國</x:v>
      </x:c>
      <x:c r="E1055" s="44" t="str">
        <x:v>國</x:v>
      </x:c>
      <x:c r="F1055" s="18"/>
      <x:c r="G1055" s="46"/>
      <x:c r="H1055" s="47" t="e">
        <x:f>HYPERLINK("#'山海经原文总库'!A3","↩ 返回目录")</x:f>
        <x:v>HYPERLINK is not implemented. linkLocation=#'山海经原文总库'!A3, friendlyName=↩ 返回目录</x:v>
      </x:c>
      <x:c r="I1055" s="437"/>
      <x:c r="J1055" s="437"/>
      <x:c r="K1055" s="437" t="str">
        <x:v>待同名检索｜待建档</x:v>
      </x:c>
    </x:row>
    <x:row r="1056" ht="22.5" customHeight="1">
      <x:c r="A1056" s="44"/>
      <x:c r="B1056" s="44"/>
      <x:c r="C1056" s="45"/>
      <x:c r="D1056" s="44" t="str">
        <x:v>求山求水</x:v>
      </x:c>
      <x:c r="E1056" s="44" t="str">
        <x:v>水系</x:v>
      </x:c>
      <x:c r="F1056" s="18"/>
      <x:c r="G1056" s="46"/>
      <x:c r="H1056" s="47" t="e">
        <x:f>HYPERLINK("#'山海经原文总库'!A3","↩ 返回目录")</x:f>
        <x:v>HYPERLINK is not implemented. linkLocation=#'山海经原文总库'!A3, friendlyName=↩ 返回目录</x:v>
      </x:c>
      <x:c r="I1056" s="437"/>
      <x:c r="J1056" s="437"/>
      <x:c r="K1056" s="437" t="str">
        <x:v>待同名检索｜待建档</x:v>
      </x:c>
    </x:row>
    <x:row r="1057" ht="22.5" customHeight="1">
      <x:c r="A1057" s="44"/>
      <x:c r="B1057" s="44"/>
      <x:c r="C1057" s="45"/>
      <x:c r="D1057" s="44" t="str">
        <x:v>求水</x:v>
      </x:c>
      <x:c r="E1057" s="44" t="str">
        <x:v>水系</x:v>
      </x:c>
      <x:c r="F1057" s="18"/>
      <x:c r="G1057" s="46"/>
      <x:c r="H1057" s="47" t="e">
        <x:f>HYPERLINK("#'山海经原文总库'!A3","↩ 返回目录")</x:f>
        <x:v>HYPERLINK is not implemented. linkLocation=#'山海经原文总库'!A3, friendlyName=↩ 返回目录</x:v>
      </x:c>
      <x:c r="I1057" s="437"/>
      <x:c r="J1057" s="437"/>
      <x:c r="K1057" s="437" t="str">
        <x:v>待同名检索｜待建档</x:v>
      </x:c>
    </x:row>
    <x:row r="1058" ht="48" customHeight="1">
      <x:c r="A1058" s="44" t="str">
        <x:v>SHJ-05-131</x:v>
      </x:c>
      <x:c r="B1058" s="44" t="str">
        <x:v>卷五 《中山經》</x:v>
      </x:c>
      <x:c r="C1058" s="45" t="str">
        <x:v>又東二百里，曰丑陽之山，其上多椆椐。有鳥焉，其狀如烏而赤足名曰𩢢餘。可以禦火。</x:v>
      </x:c>
      <x:c r="D1058" s="44" t="str">
        <x:v>丑陽之山</x:v>
      </x:c>
      <x:c r="E1058" s="44" t="str">
        <x:v>山</x:v>
      </x:c>
      <x:c r="F1058" s="18"/>
      <x:c r="G1058" s="46" t="str">
        <x:v>标点与分段参考《山海经校注》；正文对读：https://ctext.org/shan-hai-jing/zhong-shan-jing/zh</x:v>
      </x:c>
      <x:c r="H1058" s="47" t="e">
        <x:f>HYPERLINK("#'山海经原文总库'!A3","↩ 返回目录")</x:f>
        <x:v>HYPERLINK is not implemented. linkLocation=#'山海经原文总库'!A3, friendlyName=↩ 返回目录</x:v>
      </x:c>
      <x:c r="I1058" s="437"/>
      <x:c r="J1058" s="437"/>
      <x:c r="K1058" s="437" t="str">
        <x:v>待同名检索｜待建档</x:v>
      </x:c>
    </x:row>
    <x:row r="1059" ht="48" customHeight="1">
      <x:c r="A1059" s="44" t="str">
        <x:v>SHJ-05-132</x:v>
      </x:c>
      <x:c r="B1059" s="44" t="str">
        <x:v>卷五 《中山經》</x:v>
      </x:c>
      <x:c r="C1059" s="45" t="str">
        <x:v>又東三百里，曰奥山，其上多栢杻檀，其陽多㻬殍之玉奥水出焉東流，注于視水。</x:v>
      </x:c>
      <x:c r="D1059" s="44" t="str">
        <x:v>奥山</x:v>
      </x:c>
      <x:c r="E1059" s="44" t="str">
        <x:v>山</x:v>
      </x:c>
      <x:c r="F1059" s="18"/>
      <x:c r="G1059" s="46" t="str">
        <x:v>标点与分段参考《山海经校注》；正文对读：https://ctext.org/shan-hai-jing/zhong-shan-jing/zh</x:v>
      </x:c>
      <x:c r="H1059" s="47" t="e">
        <x:f>HYPERLINK("#'山海经原文总库'!A3","↩ 返回目录")</x:f>
        <x:v>HYPERLINK is not implemented. linkLocation=#'山海经原文总库'!A3, friendlyName=↩ 返回目录</x:v>
      </x:c>
      <x:c r="I1059" s="437"/>
      <x:c r="J1059" s="437"/>
      <x:c r="K1059" s="437" t="str">
        <x:v>待同名检索｜待建档</x:v>
      </x:c>
    </x:row>
    <x:row r="1060" ht="22.5" customHeight="1">
      <x:c r="A1060" s="44"/>
      <x:c r="B1060" s="44"/>
      <x:c r="C1060" s="45"/>
      <x:c r="D1060" s="44" t="str">
        <x:v>視水</x:v>
      </x:c>
      <x:c r="E1060" s="44" t="str">
        <x:v>水系</x:v>
      </x:c>
      <x:c r="F1060" s="18"/>
      <x:c r="G1060" s="46"/>
      <x:c r="H1060" s="47" t="e">
        <x:f>HYPERLINK("#'山海经原文总库'!A3","↩ 返回目录")</x:f>
        <x:v>HYPERLINK is not implemented. linkLocation=#'山海经原文总库'!A3, friendlyName=↩ 返回目录</x:v>
      </x:c>
      <x:c r="I1060" s="437"/>
      <x:c r="J1060" s="437"/>
      <x:c r="K1060" s="437" t="str">
        <x:v>待同名检索｜待建档</x:v>
      </x:c>
    </x:row>
    <x:row r="1061" ht="22.5" customHeight="1">
      <x:c r="A1061" s="44"/>
      <x:c r="B1061" s="44"/>
      <x:c r="C1061" s="45"/>
      <x:c r="D1061" s="44" t="str">
        <x:v>奥水</x:v>
      </x:c>
      <x:c r="E1061" s="44" t="str">
        <x:v>水系</x:v>
      </x:c>
      <x:c r="F1061" s="18"/>
      <x:c r="G1061" s="46"/>
      <x:c r="H1061" s="47" t="e">
        <x:f>HYPERLINK("#'山海经原文总库'!A3","↩ 返回目录")</x:f>
        <x:v>HYPERLINK is not implemented. linkLocation=#'山海经原文总库'!A3, friendlyName=↩ 返回目录</x:v>
      </x:c>
      <x:c r="I1061" s="437"/>
      <x:c r="J1061" s="437"/>
      <x:c r="K1061" s="437" t="str">
        <x:v>待同名检索｜待建档</x:v>
      </x:c>
    </x:row>
    <x:row r="1062" ht="48" customHeight="1">
      <x:c r="A1062" s="44" t="str">
        <x:v>SHJ-05-133</x:v>
      </x:c>
      <x:c r="B1062" s="44" t="str">
        <x:v>卷五 《中山經》</x:v>
      </x:c>
      <x:c r="C1062" s="45" t="str">
        <x:v>又東三十五里，曰服山，其木多苴，其上多封石，其下多赤錫。</x:v>
      </x:c>
      <x:c r="D1062" s="44" t="str">
        <x:v>服山</x:v>
      </x:c>
      <x:c r="E1062" s="44" t="str">
        <x:v>山</x:v>
      </x:c>
      <x:c r="F1062" s="18"/>
      <x:c r="G1062" s="46" t="str">
        <x:v>标点与分段参考《山海经校注》；正文对读：https://ctext.org/shan-hai-jing/zhong-shan-jing/zh</x:v>
      </x:c>
      <x:c r="H1062" s="47" t="e">
        <x:f>HYPERLINK("#'山海经原文总库'!A3","↩ 返回目录")</x:f>
        <x:v>HYPERLINK is not implemented. linkLocation=#'山海经原文总库'!A3, friendlyName=↩ 返回目录</x:v>
      </x:c>
      <x:c r="I1062" s="437"/>
      <x:c r="J1062" s="437"/>
      <x:c r="K1062" s="437" t="str">
        <x:v>待同名检索｜待建档</x:v>
      </x:c>
    </x:row>
    <x:row r="1063" ht="48" customHeight="1">
      <x:c r="A1063" s="44" t="str">
        <x:v>SHJ-05-134</x:v>
      </x:c>
      <x:c r="B1063" s="44" t="str">
        <x:v>卷五 《中山經》</x:v>
      </x:c>
      <x:c r="C1063" s="45" t="str">
        <x:v>又東三百里，曰杳山，其上多嘉榮草多金玉。</x:v>
      </x:c>
      <x:c r="D1063" s="44" t="str">
        <x:v>杳山</x:v>
      </x:c>
      <x:c r="E1063" s="44" t="str">
        <x:v>山</x:v>
      </x:c>
      <x:c r="F1063" s="18"/>
      <x:c r="G1063" s="46" t="str">
        <x:v>标点与分段参考《山海经校注》；正文对读：https://ctext.org/shan-hai-jing/zhong-shan-jing/zh</x:v>
      </x:c>
      <x:c r="H1063" s="47" t="e">
        <x:f>HYPERLINK("#'山海经原文总库'!A3","↩ 返回目录")</x:f>
        <x:v>HYPERLINK is not implemented. linkLocation=#'山海经原文总库'!A3, friendlyName=↩ 返回目录</x:v>
      </x:c>
      <x:c r="I1063" s="437"/>
      <x:c r="J1063" s="437"/>
      <x:c r="K1063" s="437" t="str">
        <x:v>待同名检索｜待建档</x:v>
      </x:c>
    </x:row>
    <x:row r="1064" ht="48" customHeight="1">
      <x:c r="A1064" s="44" t="str">
        <x:v>SHJ-05-135</x:v>
      </x:c>
      <x:c r="B1064" s="44" t="str">
        <x:v>卷五 《中山經》</x:v>
      </x:c>
      <x:c r="C1064" s="45" t="str">
        <x:v>又東三百五十里，曰几山，其木多楢檀其草多杻。有獸焉，其狀如彘黄身白頭白尾名曰聞𧲂見則天下大風。</x:v>
      </x:c>
      <x:c r="D1064" s="44" t="str">
        <x:v>几山</x:v>
      </x:c>
      <x:c r="E1064" s="44" t="str">
        <x:v>山</x:v>
      </x:c>
      <x:c r="F1064" s="18"/>
      <x:c r="G1064" s="46" t="str">
        <x:v>标点与分段参考《山海经校注》；正文对读：https://ctext.org/shan-hai-jing/zhong-shan-jing/zh</x:v>
      </x:c>
      <x:c r="H1064" s="47" t="e">
        <x:f>HYPERLINK("#'山海经原文总库'!A3","↩ 返回目录")</x:f>
        <x:v>HYPERLINK is not implemented. linkLocation=#'山海经原文总库'!A3, friendlyName=↩ 返回目录</x:v>
      </x:c>
      <x:c r="I1064" s="437"/>
      <x:c r="J1064" s="437"/>
      <x:c r="K1064" s="437" t="str">
        <x:v>待同名检索｜待建档</x:v>
      </x:c>
    </x:row>
    <x:row r="1065" ht="82.5" customHeight="1">
      <x:c r="A1065" s="44" t="str">
        <x:v>SHJ-05-136</x:v>
      </x:c>
      <x:c r="B1065" s="44" t="str">
        <x:v>卷五 《中山經》</x:v>
      </x:c>
      <x:c r="C1065" s="45" t="str">
        <x:v>凡荆山之首自翼望之山至于几山。凡四十八山三千七百三十二里其神狀皆彘身人首其祠毛用一雄雞祈瘞用一珪糈用五種之禾求山帝也其祠太牢之具羞瘞倒毛用一璧牛無常堵山玉山冢也皆倒祠羞毛少牢嬰毛吉玉中次十二經洞庭山之首曰篇遇之山，無草木多黄金又東南五十里，曰雲山無草木有筀竹甚毒傷人必死，其上多黄金，其下多㻬琈之玉又東南一百三十里，曰龜山其木多穀柞椆椐，其上多黄金，其下多青雄黄多扶竹。</x:v>
      </x:c>
      <x:c r="D1065" s="44" t="str">
        <x:v>篇遇之山</x:v>
      </x:c>
      <x:c r="E1065" s="44" t="str">
        <x:v>山</x:v>
      </x:c>
      <x:c r="F1065" s="18"/>
      <x:c r="G1065" s="46" t="str">
        <x:v>标点与分段参考《山海经校注》；正文对读：https://ctext.org/shan-hai-jing/zhong-shan-jing/zh</x:v>
      </x:c>
      <x:c r="H1065" s="47" t="e">
        <x:f>HYPERLINK("#'山海经原文总库'!A3","↩ 返回目录")</x:f>
        <x:v>HYPERLINK is not implemented. linkLocation=#'山海经原文总库'!A3, friendlyName=↩ 返回目录</x:v>
      </x:c>
      <x:c r="I1065" s="437"/>
      <x:c r="J1065" s="437"/>
      <x:c r="K1065" s="437" t="str">
        <x:v>待同名检索｜待建档</x:v>
      </x:c>
    </x:row>
    <x:row r="1066" ht="22.5" customHeight="1">
      <x:c r="A1066" s="44"/>
      <x:c r="B1066" s="44"/>
      <x:c r="C1066" s="45"/>
      <x:c r="D1066" s="44" t="str">
        <x:v>雲山</x:v>
      </x:c>
      <x:c r="E1066" s="44" t="str">
        <x:v>山</x:v>
      </x:c>
      <x:c r="F1066" s="18"/>
      <x:c r="G1066" s="46"/>
      <x:c r="H1066" s="47" t="e">
        <x:f>HYPERLINK("#'山海经原文总库'!A3","↩ 返回目录")</x:f>
        <x:v>HYPERLINK is not implemented. linkLocation=#'山海经原文总库'!A3, friendlyName=↩ 返回目录</x:v>
      </x:c>
      <x:c r="I1066" s="437"/>
      <x:c r="J1066" s="437"/>
      <x:c r="K1066" s="437" t="str">
        <x:v>待同名检索｜待建档</x:v>
      </x:c>
    </x:row>
    <x:row r="1067" ht="22.5" customHeight="1">
      <x:c r="A1067" s="44"/>
      <x:c r="B1067" s="44"/>
      <x:c r="C1067" s="45"/>
      <x:c r="D1067" s="44" t="str">
        <x:v>龜山</x:v>
      </x:c>
      <x:c r="E1067" s="44" t="str">
        <x:v>山</x:v>
      </x:c>
      <x:c r="F1067" s="18"/>
      <x:c r="G1067" s="46"/>
      <x:c r="H1067" s="47" t="e">
        <x:f>HYPERLINK("#'山海经原文总库'!A3","↩ 返回目录")</x:f>
        <x:v>HYPERLINK is not implemented. linkLocation=#'山海经原文总库'!A3, friendlyName=↩ 返回目录</x:v>
      </x:c>
      <x:c r="I1067" s="437"/>
      <x:c r="J1067" s="437"/>
      <x:c r="K1067" s="437" t="str">
        <x:v>待同名检索｜待建档</x:v>
      </x:c>
    </x:row>
    <x:row r="1068" ht="22.5" customHeight="1">
      <x:c r="A1068" s="44"/>
      <x:c r="B1068" s="44"/>
      <x:c r="C1068" s="45"/>
      <x:c r="D1068" s="44" t="str">
        <x:v>翼望之山至于几山</x:v>
      </x:c>
      <x:c r="E1068" s="44" t="str">
        <x:v>山</x:v>
      </x:c>
      <x:c r="F1068" s="18"/>
      <x:c r="G1068" s="46"/>
      <x:c r="H1068" s="47" t="e">
        <x:f>HYPERLINK("#'山海经原文总库'!A3","↩ 返回目录")</x:f>
        <x:v>HYPERLINK is not implemented. linkLocation=#'山海经原文总库'!A3, friendlyName=↩ 返回目录</x:v>
      </x:c>
      <x:c r="I1068" s="437"/>
      <x:c r="J1068" s="437"/>
      <x:c r="K1068" s="437" t="str">
        <x:v>待同名检索｜待建档</x:v>
      </x:c>
    </x:row>
    <x:row r="1069" ht="22.5" customHeight="1">
      <x:c r="A1069" s="44"/>
      <x:c r="B1069" s="44"/>
      <x:c r="C1069" s="45"/>
      <x:c r="D1069" s="44" t="str">
        <x:v>用五種之禾求山</x:v>
      </x:c>
      <x:c r="E1069" s="44" t="str">
        <x:v>山</x:v>
      </x:c>
      <x:c r="F1069" s="18"/>
      <x:c r="G1069" s="46"/>
      <x:c r="H1069" s="47" t="e">
        <x:f>HYPERLINK("#'山海经原文总库'!A3","↩ 返回目录")</x:f>
        <x:v>HYPERLINK is not implemented. linkLocation=#'山海经原文总库'!A3, friendlyName=↩ 返回目录</x:v>
      </x:c>
      <x:c r="I1069" s="437"/>
      <x:c r="J1069" s="437"/>
      <x:c r="K1069" s="437" t="str">
        <x:v>待同名检索｜待建档</x:v>
      </x:c>
    </x:row>
    <x:row r="1070" ht="48" customHeight="1">
      <x:c r="A1070" s="44" t="str">
        <x:v>SHJ-05-137</x:v>
      </x:c>
      <x:c r="B1070" s="44" t="str">
        <x:v>卷五 《中山經》</x:v>
      </x:c>
      <x:c r="C1070" s="45" t="str">
        <x:v>又東七十里，曰丙山，多筀竹多黄金銅鐵無木又東南五十里，曰風伯之山，其上多金玉，其下多痠石文石多鐵其木多柳杻檀楮，其東有林焉名曰莽浮之林多美木鳥獸。</x:v>
      </x:c>
      <x:c r="D1070" s="44" t="str">
        <x:v>丙山</x:v>
      </x:c>
      <x:c r="E1070" s="44" t="str">
        <x:v>山</x:v>
      </x:c>
      <x:c r="F1070" s="18"/>
      <x:c r="G1070" s="46" t="str">
        <x:v>标点与分段参考《山海经校注》；正文对读：https://ctext.org/shan-hai-jing/zhong-shan-jing/zh</x:v>
      </x:c>
      <x:c r="H1070" s="47" t="e">
        <x:f>HYPERLINK("#'山海经原文总库'!A3","↩ 返回目录")</x:f>
        <x:v>HYPERLINK is not implemented. linkLocation=#'山海经原文总库'!A3, friendlyName=↩ 返回目录</x:v>
      </x:c>
      <x:c r="I1070" s="437"/>
      <x:c r="J1070" s="437"/>
      <x:c r="K1070" s="437" t="str">
        <x:v>待同名检索｜待建档</x:v>
      </x:c>
    </x:row>
    <x:row r="1071" ht="22.5" customHeight="1">
      <x:c r="A1071" s="44"/>
      <x:c r="B1071" s="44"/>
      <x:c r="C1071" s="45"/>
      <x:c r="D1071" s="44" t="str">
        <x:v>風伯之山</x:v>
      </x:c>
      <x:c r="E1071" s="44" t="str">
        <x:v>山</x:v>
      </x:c>
      <x:c r="F1071" s="18"/>
      <x:c r="G1071" s="46"/>
      <x:c r="H1071" s="47" t="e">
        <x:f>HYPERLINK("#'山海经原文总库'!A3","↩ 返回目录")</x:f>
        <x:v>HYPERLINK is not implemented. linkLocation=#'山海经原文总库'!A3, friendlyName=↩ 返回目录</x:v>
      </x:c>
      <x:c r="I1071" s="437"/>
      <x:c r="J1071" s="437"/>
      <x:c r="K1071" s="437" t="str">
        <x:v>待同名检索｜待建档</x:v>
      </x:c>
    </x:row>
    <x:row r="1072" ht="48" customHeight="1">
      <x:c r="A1072" s="44" t="str">
        <x:v>SHJ-05-138</x:v>
      </x:c>
      <x:c r="B1072" s="44" t="str">
        <x:v>卷五 《中山經》</x:v>
      </x:c>
      <x:c r="C1072" s="45" t="str">
        <x:v>又東一百五十里，曰夫夫之山，其上多黄金，其下多青雄黄其木多桑楮其草多竹雞鼓神于兒居之，其狀人身而身操兩蛇常遊于。</x:v>
      </x:c>
      <x:c r="D1072" s="44" t="str">
        <x:v>夫夫之山</x:v>
      </x:c>
      <x:c r="E1072" s="44" t="str">
        <x:v>山</x:v>
      </x:c>
      <x:c r="F1072" s="18"/>
      <x:c r="G1072" s="46" t="str">
        <x:v>标点与分段参考《山海经校注》；正文对读：https://ctext.org/shan-hai-jing/zhong-shan-jing/zh</x:v>
      </x:c>
      <x:c r="H1072" s="47" t="e">
        <x:f>HYPERLINK("#'山海经原文总库'!A3","↩ 返回目录")</x:f>
        <x:v>HYPERLINK is not implemented. linkLocation=#'山海经原文总库'!A3, friendlyName=↩ 返回目录</x:v>
      </x:c>
      <x:c r="I1072" s="437"/>
      <x:c r="J1072" s="437"/>
      <x:c r="K1072" s="437" t="str">
        <x:v>待同名检索｜待建档</x:v>
      </x:c>
    </x:row>
    <x:row r="1073" ht="100.5" customHeight="1">
      <x:c r="A1073" s="44" t="str">
        <x:v>SHJ-05-139</x:v>
      </x:c>
      <x:c r="B1073" s="44" t="str">
        <x:v>卷五 《中山經》</x:v>
      </x:c>
      <x:c r="C1073" s="45" t="str">
        <x:v>江淵出入有光又東南一百二十里，曰洞庭之山，其上多黄金，其下多銀鐵其木多柤梨橘櫾其草多葌麋蕪芍藥芎藭帝之二女居之是常遊于江淵澧沅之風交瀟湘之淵是在九江之間出入必以飄風暴雨是多怪神狀如人而載蛇左右手操蛇多怪鳥又東南一百八十里，曰暴山其木多㯶柟荆芑竹箭䉋箘，其上多黄金玉，其下多文石鐵其獸多麋鹿麂就又東南二百里，曰即公之山，其上多黄金，其下多㻬殍之玉其木多柳杻檀桑。有獸焉，其狀如龜而白身赤首名曰蛫是。可以禦火又東南一百五十九里，曰堯山，其隂多黄堊，其陽多黄金其木多荆芑柳檀其草多藷藇𦬸又東南一百里，曰江浮之山，其上多銀砥礪無草木其獸多豕鹿。</x:v>
      </x:c>
      <x:c r="D1073" s="44" t="str">
        <x:v>洞庭之山</x:v>
      </x:c>
      <x:c r="E1073" s="44" t="str">
        <x:v>山</x:v>
      </x:c>
      <x:c r="F1073" s="18"/>
      <x:c r="G1073" s="46" t="str">
        <x:v>标点与分段参考《山海经校注》；正文对读：https://ctext.org/shan-hai-jing/zhong-shan-jing/zh</x:v>
      </x:c>
      <x:c r="H1073" s="47" t="e">
        <x:f>HYPERLINK("#'山海经原文总库'!A3","↩ 返回目录")</x:f>
        <x:v>HYPERLINK is not implemented. linkLocation=#'山海经原文总库'!A3, friendlyName=↩ 返回目录</x:v>
      </x:c>
      <x:c r="I1073" s="437"/>
      <x:c r="J1073" s="437"/>
      <x:c r="K1073" s="437" t="str">
        <x:v>待同名检索｜待建档</x:v>
      </x:c>
    </x:row>
    <x:row r="1074" ht="22.5" customHeight="1">
      <x:c r="A1074" s="44"/>
      <x:c r="B1074" s="44"/>
      <x:c r="C1074" s="45"/>
      <x:c r="D1074" s="44" t="str">
        <x:v>暴山</x:v>
      </x:c>
      <x:c r="E1074" s="44" t="str">
        <x:v>山</x:v>
      </x:c>
      <x:c r="F1074" s="18"/>
      <x:c r="G1074" s="46"/>
      <x:c r="H1074" s="47" t="e">
        <x:f>HYPERLINK("#'山海经原文总库'!A3","↩ 返回目录")</x:f>
        <x:v>HYPERLINK is not implemented. linkLocation=#'山海经原文总库'!A3, friendlyName=↩ 返回目录</x:v>
      </x:c>
      <x:c r="I1074" s="437"/>
      <x:c r="J1074" s="437"/>
      <x:c r="K1074" s="437" t="str">
        <x:v>待同名检索｜待建档</x:v>
      </x:c>
    </x:row>
    <x:row r="1075" ht="22.5" customHeight="1">
      <x:c r="A1075" s="44"/>
      <x:c r="B1075" s="44"/>
      <x:c r="C1075" s="45"/>
      <x:c r="D1075" s="44" t="str">
        <x:v>即公之山</x:v>
      </x:c>
      <x:c r="E1075" s="44" t="str">
        <x:v>山</x:v>
      </x:c>
      <x:c r="F1075" s="18"/>
      <x:c r="G1075" s="46"/>
      <x:c r="H1075" s="47" t="e">
        <x:f>HYPERLINK("#'山海经原文总库'!A3","↩ 返回目录")</x:f>
        <x:v>HYPERLINK is not implemented. linkLocation=#'山海经原文总库'!A3, friendlyName=↩ 返回目录</x:v>
      </x:c>
      <x:c r="I1075" s="437"/>
      <x:c r="J1075" s="437"/>
      <x:c r="K1075" s="437" t="str">
        <x:v>待同名检索｜待建档</x:v>
      </x:c>
    </x:row>
    <x:row r="1076" ht="22.5" customHeight="1">
      <x:c r="A1076" s="44"/>
      <x:c r="B1076" s="44"/>
      <x:c r="C1076" s="45"/>
      <x:c r="D1076" s="44" t="str">
        <x:v>堯山</x:v>
      </x:c>
      <x:c r="E1076" s="44" t="str">
        <x:v>山</x:v>
      </x:c>
      <x:c r="F1076" s="18"/>
      <x:c r="G1076" s="46"/>
      <x:c r="H1076" s="47" t="e">
        <x:f>HYPERLINK("#'山海经原文总库'!A3","↩ 返回目录")</x:f>
        <x:v>HYPERLINK is not implemented. linkLocation=#'山海经原文总库'!A3, friendlyName=↩ 返回目录</x:v>
      </x:c>
      <x:c r="I1076" s="437"/>
      <x:c r="J1076" s="437"/>
      <x:c r="K1076" s="437" t="str">
        <x:v>待同名检索｜待建档</x:v>
      </x:c>
    </x:row>
    <x:row r="1077" ht="22.5" customHeight="1">
      <x:c r="A1077" s="44"/>
      <x:c r="B1077" s="44"/>
      <x:c r="C1077" s="45"/>
      <x:c r="D1077" s="44" t="str">
        <x:v>江浮之山</x:v>
      </x:c>
      <x:c r="E1077" s="44" t="str">
        <x:v>山</x:v>
      </x:c>
      <x:c r="F1077" s="18"/>
      <x:c r="G1077" s="46"/>
      <x:c r="H1077" s="47" t="e">
        <x:f>HYPERLINK("#'山海经原文总库'!A3","↩ 返回目录")</x:f>
        <x:v>HYPERLINK is not implemented. linkLocation=#'山海经原文总库'!A3, friendlyName=↩ 返回目录</x:v>
      </x:c>
      <x:c r="I1077" s="437"/>
      <x:c r="J1077" s="437"/>
      <x:c r="K1077" s="437" t="str">
        <x:v>待同名检索｜待建档</x:v>
      </x:c>
    </x:row>
    <x:row r="1078" ht="22.5" customHeight="1">
      <x:c r="A1078" s="44"/>
      <x:c r="B1078" s="44"/>
      <x:c r="C1078" s="45"/>
      <x:c r="D1078" s="44" t="str">
        <x:v>江淵</x:v>
      </x:c>
      <x:c r="E1078" s="44" t="str">
        <x:v>澤／淵</x:v>
      </x:c>
      <x:c r="F1078" s="18"/>
      <x:c r="G1078" s="46"/>
      <x:c r="H1078" s="47" t="e">
        <x:f>HYPERLINK("#'山海经原文总库'!A3","↩ 返回目录")</x:f>
        <x:v>HYPERLINK is not implemented. linkLocation=#'山海经原文总库'!A3, friendlyName=↩ 返回目录</x:v>
      </x:c>
      <x:c r="I1078" s="437"/>
      <x:c r="J1078" s="437"/>
      <x:c r="K1078" s="437" t="str">
        <x:v>待同名检索｜待建档</x:v>
      </x:c>
    </x:row>
    <x:row r="1079" ht="22.5" customHeight="1">
      <x:c r="A1079" s="44"/>
      <x:c r="B1079" s="44"/>
      <x:c r="C1079" s="45"/>
      <x:c r="D1079" s="44" t="str">
        <x:v>之二女居之是常遊于江淵</x:v>
      </x:c>
      <x:c r="E1079" s="44" t="str">
        <x:v>澤／淵</x:v>
      </x:c>
      <x:c r="F1079" s="18"/>
      <x:c r="G1079" s="46"/>
      <x:c r="H1079" s="47" t="e">
        <x:f>HYPERLINK("#'山海经原文总库'!A3","↩ 返回目录")</x:f>
        <x:v>HYPERLINK is not implemented. linkLocation=#'山海经原文总库'!A3, friendlyName=↩ 返回目录</x:v>
      </x:c>
      <x:c r="I1079" s="437"/>
      <x:c r="J1079" s="437"/>
      <x:c r="K1079" s="437" t="str">
        <x:v>待同名检索｜待建档</x:v>
      </x:c>
    </x:row>
    <x:row r="1080" ht="22.5" customHeight="1">
      <x:c r="A1080" s="44"/>
      <x:c r="B1080" s="44"/>
      <x:c r="C1080" s="45"/>
      <x:c r="D1080" s="44" t="str">
        <x:v>澧沅之風交瀟湘之淵</x:v>
      </x:c>
      <x:c r="E1080" s="44" t="str">
        <x:v>澤／淵</x:v>
      </x:c>
      <x:c r="F1080" s="18"/>
      <x:c r="G1080" s="46"/>
      <x:c r="H1080" s="47" t="e">
        <x:f>HYPERLINK("#'山海经原文总库'!A3","↩ 返回目录")</x:f>
        <x:v>HYPERLINK is not implemented. linkLocation=#'山海经原文总库'!A3, friendlyName=↩ 返回目录</x:v>
      </x:c>
      <x:c r="I1080" s="437"/>
      <x:c r="J1080" s="437"/>
      <x:c r="K1080" s="437" t="str">
        <x:v>待同名检索｜待建档</x:v>
      </x:c>
    </x:row>
    <x:row r="1081" ht="48" customHeight="1">
      <x:c r="A1081" s="44" t="str">
        <x:v>SHJ-05-140</x:v>
      </x:c>
      <x:c r="B1081" s="44" t="str">
        <x:v>卷五 《中山經》</x:v>
      </x:c>
      <x:c r="C1081" s="45" t="str">
        <x:v>又東二百里，曰眞陵之山，其上多黄金，其下多玉其木多穀柞柳杻其草多榮草又東南一百二十里，曰陽帝之山多美銅其木多檀杻檿楮其獸多麢麝。</x:v>
      </x:c>
      <x:c r="D1081" s="44" t="str">
        <x:v>眞陵之山</x:v>
      </x:c>
      <x:c r="E1081" s="44" t="str">
        <x:v>山</x:v>
      </x:c>
      <x:c r="F1081" s="18"/>
      <x:c r="G1081" s="46" t="str">
        <x:v>标点与分段参考《山海经校注》；正文对读：https://ctext.org/shan-hai-jing/zhong-shan-jing/zh</x:v>
      </x:c>
      <x:c r="H1081" s="47" t="e">
        <x:f>HYPERLINK("#'山海经原文总库'!A3","↩ 返回目录")</x:f>
        <x:v>HYPERLINK is not implemented. linkLocation=#'山海经原文总库'!A3, friendlyName=↩ 返回目录</x:v>
      </x:c>
      <x:c r="I1081" s="437"/>
      <x:c r="J1081" s="437"/>
      <x:c r="K1081" s="437" t="str">
        <x:v>待同名检索｜待建档</x:v>
      </x:c>
    </x:row>
    <x:row r="1082" ht="22.5" customHeight="1">
      <x:c r="A1082" s="44"/>
      <x:c r="B1082" s="44"/>
      <x:c r="C1082" s="45"/>
      <x:c r="D1082" s="44" t="str">
        <x:v>陽帝之山</x:v>
      </x:c>
      <x:c r="E1082" s="44" t="str">
        <x:v>山</x:v>
      </x:c>
      <x:c r="F1082" s="18"/>
      <x:c r="G1082" s="46"/>
      <x:c r="H1082" s="47" t="e">
        <x:f>HYPERLINK("#'山海经原文总库'!A3","↩ 返回目录")</x:f>
        <x:v>HYPERLINK is not implemented. linkLocation=#'山海经原文总库'!A3, friendlyName=↩ 返回目录</x:v>
      </x:c>
      <x:c r="I1082" s="437"/>
      <x:c r="J1082" s="437"/>
      <x:c r="K1082" s="437" t="str">
        <x:v>待同名检索｜待建档</x:v>
      </x:c>
    </x:row>
    <x:row r="1083" ht="48" customHeight="1">
      <x:c r="A1083" s="44" t="str">
        <x:v>SHJ-05-141</x:v>
      </x:c>
      <x:c r="B1083" s="44" t="str">
        <x:v>卷五 《中山經》</x:v>
      </x:c>
      <x:c r="C1083" s="45" t="str">
        <x:v>又南九十里，曰柴桑之山，其上多銀，其下多碧多冷石赭其木多柳芑楮桑其獸多麋鹿多白蛇飛蛇又東南二百三十里，曰榮余之山，其上多銅，其下多銀其木多柳芑其蟲多怪蛇怪蟲。</x:v>
      </x:c>
      <x:c r="D1083" s="44" t="str">
        <x:v>柴桑之山</x:v>
      </x:c>
      <x:c r="E1083" s="44" t="str">
        <x:v>山</x:v>
      </x:c>
      <x:c r="F1083" s="18"/>
      <x:c r="G1083" s="46" t="str">
        <x:v>标点与分段参考《山海经校注》；正文对读：https://ctext.org/shan-hai-jing/zhong-shan-jing/zh</x:v>
      </x:c>
      <x:c r="H1083" s="47" t="e">
        <x:f>HYPERLINK("#'山海经原文总库'!A3","↩ 返回目录")</x:f>
        <x:v>HYPERLINK is not implemented. linkLocation=#'山海经原文总库'!A3, friendlyName=↩ 返回目录</x:v>
      </x:c>
      <x:c r="I1083" s="437"/>
      <x:c r="J1083" s="437"/>
      <x:c r="K1083" s="437" t="str">
        <x:v>待同名检索｜待建档</x:v>
      </x:c>
    </x:row>
    <x:row r="1084" ht="22.5" customHeight="1">
      <x:c r="A1084" s="44"/>
      <x:c r="B1084" s="44"/>
      <x:c r="C1084" s="45"/>
      <x:c r="D1084" s="44" t="str">
        <x:v>榮余之山</x:v>
      </x:c>
      <x:c r="E1084" s="44" t="str">
        <x:v>山</x:v>
      </x:c>
      <x:c r="F1084" s="18"/>
      <x:c r="G1084" s="46"/>
      <x:c r="H1084" s="47" t="e">
        <x:f>HYPERLINK("#'山海经原文总库'!A3","↩ 返回目录")</x:f>
        <x:v>HYPERLINK is not implemented. linkLocation=#'山海经原文总库'!A3, friendlyName=↩ 返回目录</x:v>
      </x:c>
      <x:c r="I1084" s="437"/>
      <x:c r="J1084" s="437"/>
      <x:c r="K1084" s="437" t="str">
        <x:v>待同名检索｜待建档</x:v>
      </x:c>
    </x:row>
    <x:row r="1085" ht="48" customHeight="1">
      <x:c r="A1085" s="44" t="str">
        <x:v>SHJ-05-142</x:v>
      </x:c>
      <x:c r="B1085" s="44" t="str">
        <x:v>卷五 《中山經》</x:v>
      </x:c>
      <x:c r="C1085" s="45" t="str">
        <x:v>凡洞庭山之首自篇遇之山至于榮余之山。</x:v>
      </x:c>
      <x:c r="D1085" s="44" t="str">
        <x:v>篇遇之山至于榮余之山</x:v>
      </x:c>
      <x:c r="E1085" s="44" t="str">
        <x:v>山</x:v>
      </x:c>
      <x:c r="F1085" s="18"/>
      <x:c r="G1085" s="46" t="str">
        <x:v>标点与分段参考《山海经校注》；正文对读：https://ctext.org/shan-hai-jing/zhong-shan-jing/zh</x:v>
      </x:c>
      <x:c r="H1085" s="47" t="e">
        <x:f>HYPERLINK("#'山海经原文总库'!A3","↩ 返回目录")</x:f>
        <x:v>HYPERLINK is not implemented. linkLocation=#'山海经原文总库'!A3, friendlyName=↩ 返回目录</x:v>
      </x:c>
      <x:c r="I1085" s="437"/>
      <x:c r="J1085" s="437"/>
      <x:c r="K1085" s="437" t="str">
        <x:v>待同名检索｜待建档</x:v>
      </x:c>
    </x:row>
    <x:row r="1086" ht="22.5" customHeight="1">
      <x:c r="A1086" s="44"/>
      <x:c r="B1086" s="44"/>
      <x:c r="C1086" s="45"/>
      <x:c r="D1086" s="44" t="str">
        <x:v>山至于榮余之山</x:v>
      </x:c>
      <x:c r="E1086" s="44" t="str">
        <x:v>山</x:v>
      </x:c>
      <x:c r="F1086" s="18"/>
      <x:c r="G1086" s="46"/>
      <x:c r="H1086" s="47" t="e">
        <x:f>HYPERLINK("#'山海经原文总库'!A3","↩ 返回目录")</x:f>
        <x:v>HYPERLINK is not implemented. linkLocation=#'山海经原文总库'!A3, friendlyName=↩ 返回目录</x:v>
      </x:c>
      <x:c r="I1086" s="437"/>
      <x:c r="J1086" s="437"/>
      <x:c r="K1086" s="437" t="str">
        <x:v>待同名检索｜待建档</x:v>
      </x:c>
    </x:row>
    <x:row r="1087" ht="64.5" customHeight="1">
      <x:c r="A1087" s="44" t="str">
        <x:v>SHJ-05-143</x:v>
      </x:c>
      <x:c r="B1087" s="44" t="str">
        <x:v>卷五 《中山經》</x:v>
      </x:c>
      <x:c r="C1087" s="45" t="str">
        <x:v>凡洞庭山之首，自篇遇之山至於榮余之山，凡十五山，二千八百里。其神狀皆鳥身而龍首。其祠：毛用一雄雞、一牝豚（氣刀），糈用稌。凡夫夫之山、即公之山、堯山、陽帝之山皆冢也，其祠：皆肆瘞，祈用酒，毛用少牢，嬰毛一吉玉。洞庭、榮余山神也，其祠：皆肆瘞，祈酒太牢祠，嬰用圭璧十五，五採惠之。</x:v>
      </x:c>
      <x:c r="D1087" s="44" t="str">
        <x:v>篇遇之山至於榮余之山</x:v>
      </x:c>
      <x:c r="E1087" s="44" t="str">
        <x:v>山</x:v>
      </x:c>
      <x:c r="F1087" s="18"/>
      <x:c r="G1087" s="46" t="str">
        <x:v>标点与分段参考《山海经校注》；正文对读：https://ctext.org/shan-hai-jing/zhong-shan-jing/zh</x:v>
      </x:c>
      <x:c r="H1087" s="47" t="e">
        <x:f>HYPERLINK("#'山海经原文总库'!A3","↩ 返回目录")</x:f>
        <x:v>HYPERLINK is not implemented. linkLocation=#'山海经原文总库'!A3, friendlyName=↩ 返回目录</x:v>
      </x:c>
      <x:c r="I1087" s="437"/>
      <x:c r="J1087" s="437"/>
      <x:c r="K1087" s="437" t="str">
        <x:v>待同名检索｜待建档</x:v>
      </x:c>
    </x:row>
    <x:row r="1088" ht="48" customHeight="1">
      <x:c r="A1088" s="44" t="str">
        <x:v>SHJ-05-144-1</x:v>
      </x:c>
      <x:c r="B1088" s="44" t="str">
        <x:v>卷五 《中山經》</x:v>
      </x:c>
      <x:c r="C1088" s="45" t="str">
        <x:v>右中經之山志，大凡百九十七山，二萬一千三百七十一里。大凡天下名山五千三百七十（珂案：後漢書郡國志劉昭注引此經作名山五千三百五十），居地，大凡六萬四千五十六里。</x:v>
      </x:c>
      <x:c r="D1088" s="44" t="str">
        <x:v>天下名山</x:v>
      </x:c>
      <x:c r="E1088" s="44" t="str">
        <x:v>山</x:v>
      </x:c>
      <x:c r="F1088" s="18"/>
      <x:c r="G1088" s="46" t="str">
        <x:v>标点与分段参考《山海经校注》；正文对读：https://ctext.org/shan-hai-jing/zhong-shan-jing/zh</x:v>
      </x:c>
      <x:c r="H1088" s="47" t="e">
        <x:f>HYPERLINK("#'山海经原文总库'!A3","↩ 返回目录")</x:f>
        <x:v>HYPERLINK is not implemented. linkLocation=#'山海经原文总库'!A3, friendlyName=↩ 返回目录</x:v>
      </x:c>
      <x:c r="I1088" s="437"/>
      <x:c r="J1088" s="437"/>
      <x:c r="K1088" s="437" t="str">
        <x:v>待同名检索｜待建档</x:v>
      </x:c>
    </x:row>
    <x:row r="1089" ht="82.5" customHeight="1">
      <x:c r="A1089" s="44" t="str">
        <x:v>SHJ-05-144-2</x:v>
      </x:c>
      <x:c r="B1089" s="44" t="str">
        <x:v>卷五 《中山經》</x:v>
      </x:c>
      <x:c r="C1089" s="45" t="str">
        <x:v>禹曰：天下名山，經五千三百七十山，六萬四千五十六里，居地也。言其五臧，蓋其餘小山甚眾，不足記雲。天地之東西二萬八千里，南北二萬六千里，出水之山者八千里，受水者八千里，出銅之山四百六十七，出鐵之山三千六百九十。此天地之所分壤樹谷也，戈矛之所發也，刀鎩之所起也，能者有餘，拙者不足。封於太山，禪於梁父，七十二家，得失之數，皆在此內，是謂國用。</x:v>
      </x:c>
      <x:c r="D1089" s="44" t="str">
        <x:v>出水之山</x:v>
      </x:c>
      <x:c r="E1089" s="44" t="str">
        <x:v>山</x:v>
      </x:c>
      <x:c r="F1089" s="18"/>
      <x:c r="G1089" s="46" t="str">
        <x:v>标点与分段参考《山海经校注》；正文对读：https://ctext.org/shan-hai-jing/zhong-shan-jing/zh</x:v>
      </x:c>
      <x:c r="H1089" s="47" t="e">
        <x:f>HYPERLINK("#'山海经原文总库'!A3","↩ 返回目录")</x:f>
        <x:v>HYPERLINK is not implemented. linkLocation=#'山海经原文总库'!A3, friendlyName=↩ 返回目录</x:v>
      </x:c>
      <x:c r="I1089" s="437"/>
      <x:c r="J1089" s="437"/>
      <x:c r="K1089" s="437" t="str">
        <x:v>待同名检索｜待建档</x:v>
      </x:c>
    </x:row>
    <x:row r="1090" ht="22.5" customHeight="1">
      <x:c r="A1090" s="44"/>
      <x:c r="B1090" s="44"/>
      <x:c r="C1090" s="45"/>
      <x:c r="D1090" s="44" t="str">
        <x:v>出銅之山</x:v>
      </x:c>
      <x:c r="E1090" s="44" t="str">
        <x:v>山</x:v>
      </x:c>
      <x:c r="F1090" s="18"/>
      <x:c r="G1090" s="46"/>
      <x:c r="H1090" s="47" t="e">
        <x:f>HYPERLINK("#'山海经原文总库'!A3","↩ 返回目录")</x:f>
        <x:v>HYPERLINK is not implemented. linkLocation=#'山海经原文总库'!A3, friendlyName=↩ 返回目录</x:v>
      </x:c>
      <x:c r="I1090" s="437"/>
      <x:c r="J1090" s="437"/>
      <x:c r="K1090" s="437" t="str">
        <x:v>待同名检索｜待建档</x:v>
      </x:c>
    </x:row>
    <x:row r="1091" ht="100.5" customHeight="1">
      <x:c r="A1091" s="44" t="str">
        <x:v>SHJ-05-145</x:v>
      </x:c>
      <x:c r="B1091" s="44" t="str">
        <x:v>卷五 《中山經》</x:v>
      </x:c>
      <x:c r="C1091" s="45" t="str">
        <x:v>右五臧山經五篇大。凡一萬五千五百三字桃林桃林之谷實惟塞野武王克商休牛風馬阨越三塗作險西夏鳴石金石同類潜響是韞擊之雷駭厥聲遠聞苟以數通氣無不運旋龜人魚脩辟聲如破木號曰旋龜脩辟以黽厥鳴如鴟人魚類䱱出于洛伊帝臺棋茫茫帝臺維靈之貴爰有石棋五彩焕蔚觴禱百神以和天氣若華烏酸草療瘧之草厥實如瓜烏酸之葉三成黄華。可以爲毒不畏蚖蛇䔄草䔄草黄華實如菟絲君子是佩人服媚之帝女所化其理難思山膏獸黄棘山膏如豚厥性好罵黄棘是食匪子匪化雖無貞操理同不嫁三足龜造物維均靡偏靡頗少不爲短長不爲多賁。</x:v>
      </x:c>
      <x:c r="D1091" s="44" t="str">
        <x:v>桃林之谷實惟塞野</x:v>
      </x:c>
      <x:c r="E1091" s="44" t="str">
        <x:v>區域</x:v>
      </x:c>
      <x:c r="F1091" s="18"/>
      <x:c r="G1091" s="46" t="str">
        <x:v>标点与分段参考《山海经校注》；正文对读：https://ctext.org/shan-hai-jing/zhong-shan-jing/zh</x:v>
      </x:c>
      <x:c r="H1091" s="47" t="e">
        <x:f>HYPERLINK("#'山海经原文总库'!A3","↩ 返回目录")</x:f>
        <x:v>HYPERLINK is not implemented. linkLocation=#'山海经原文总库'!A3, friendlyName=↩ 返回目录</x:v>
      </x:c>
      <x:c r="I1091" s="437"/>
      <x:c r="J1091" s="437"/>
      <x:c r="K1091" s="437" t="str">
        <x:v>待同名检索｜待建档</x:v>
      </x:c>
    </x:row>
    <x:row r="1092" ht="22.5" customHeight="1">
      <x:c r="A1092" s="44"/>
      <x:c r="B1092" s="44"/>
      <x:c r="C1092" s="45"/>
      <x:c r="D1092" s="44" t="str">
        <x:v>鴟人魚類䱱出于洛伊帝臺</x:v>
      </x:c>
      <x:c r="E1092" s="44" t="str">
        <x:v>聚落／區域</x:v>
      </x:c>
      <x:c r="F1092" s="18"/>
      <x:c r="G1092" s="46"/>
      <x:c r="H1092" s="47" t="e">
        <x:f>HYPERLINK("#'山海经原文总库'!A3","↩ 返回目录")</x:f>
        <x:v>HYPERLINK is not implemented. linkLocation=#'山海经原文总库'!A3, friendlyName=↩ 返回目录</x:v>
      </x:c>
      <x:c r="I1092" s="437"/>
      <x:c r="J1092" s="437"/>
      <x:c r="K1092" s="437" t="str">
        <x:v>待同名检索｜待建档</x:v>
      </x:c>
    </x:row>
    <x:row r="1093" ht="22.5" customHeight="1">
      <x:c r="A1093" s="44"/>
      <x:c r="B1093" s="44"/>
      <x:c r="C1093" s="45"/>
      <x:c r="D1093" s="44" t="str">
        <x:v>棋茫茫帝臺</x:v>
      </x:c>
      <x:c r="E1093" s="44" t="str">
        <x:v>聚落／區域</x:v>
      </x:c>
      <x:c r="F1093" s="18"/>
      <x:c r="G1093" s="46"/>
      <x:c r="H1093" s="47" t="e">
        <x:f>HYPERLINK("#'山海经原文总库'!A3","↩ 返回目录")</x:f>
        <x:v>HYPERLINK is not implemented. linkLocation=#'山海经原文总库'!A3, friendlyName=↩ 返回目录</x:v>
      </x:c>
      <x:c r="I1093" s="437"/>
      <x:c r="J1093" s="437"/>
      <x:c r="K1093" s="437" t="str">
        <x:v>待同名检索｜待建档</x:v>
      </x:c>
    </x:row>
    <x:row r="1094" ht="100.5" customHeight="1">
      <x:c r="A1094" s="44" t="str">
        <x:v>SHJ-05-146</x:v>
      </x:c>
      <x:c r="B1094" s="44" t="str">
        <x:v>卷五 《中山經》</x:v>
      </x:c>
      <x:c r="C1094" s="45" t="str">
        <x:v>能三足何異黿鼉嘉榮霆維天精動心駭目曷以御之嘉榮是服所正者神用口腸腹天楄牛傷文獸鰧魚牛傷鎮氣天楄弭噎文獸如蜂枝尾反舌鰧魚青斑處于逵穴帝休帝休之樹厥枝交對竦本少室曾隂雲䨴君子。服之匪怒伊愛泰室嵩維岳宗華岱恒衡氣通天漢神洞幽明嵬然中立衆山之英栯木爰有嘉樹厥名曰栯薄言采之窈窕是服君子維歡家無反目𦱌草𦱌草赤莖實如蘡薁。食之益智忽不自覺殆齊生知功奇於學鶡鳥鶡之爲鳥同羣相爲畸類被侵雖死不避毛飾武士兼厲以義鳴蛇化蛇鳴化二蛇同類異狀拂翼俱遊騰波漂浪見則並災或淫或亢赤銅昆吾之山名。</x:v>
      </x:c>
      <x:c r="D1094" s="44"/>
      <x:c r="E1094" s="44"/>
      <x:c r="F1094" s="18"/>
      <x:c r="G1094" s="46" t="str">
        <x:v>标点与分段参考《山海经校注》；正文对读：https://ctext.org/shan-hai-jing/zhong-shan-jing/zh</x:v>
      </x:c>
      <x:c r="H1094" s="47" t="e">
        <x:f>HYPERLINK("#'山海经原文总库'!A3","↩ 返回目录")</x:f>
        <x:v>HYPERLINK is not implemented. linkLocation=#'山海经原文总库'!A3, friendlyName=↩ 返回目录</x:v>
      </x:c>
      <x:c r="I1094" s="437"/>
      <x:c r="J1094" s="437"/>
      <x:c r="K1094" s="437" t="str">
        <x:v>经文已收录｜非地点行</x:v>
      </x:c>
    </x:row>
    <x:row r="1095" ht="100.5" customHeight="1">
      <x:c r="A1095" s="44" t="str">
        <x:v>SHJ-05-147</x:v>
      </x:c>
      <x:c r="B1095" s="44" t="str">
        <x:v>卷五 《中山經》</x:v>
      </x:c>
      <x:c r="C1095" s="45" t="str">
        <x:v>銅所在切玉如泥火灸有彩尸子所歎驗之彼宰神熏池泰逢虎尾武羅人面熏池之神厥狀不見爰有美玉河林如蒨神武羅有神武羅細腰白齒聲如鳴佩以鐻貫耳司帝宻都是宜女子鴢鳥鴢鳥似鳧翠羽朱目既麗其形亦奇其肉婦女是食子孫繁育荀草荀草赤實厥狀如菅婦人。服之練色易顔夏姬是豔厥媚三還馬腹獸飛魚馬腹之物人面似虎飛魚如豚赤文無羽。食之辟兵不畏雷鼓神泰逢神號泰逢好遊山陽濯足九州出入流光天氣是動孔甲迷惶葪栢葪栢白華厥子如丹實肥變氣。食之忘寒物隨所染墨子所歎橘櫾厥苞橘櫾奇者維甘朱實金鮮葉蒨翠藍靈均是詠以。</x:v>
      </x:c>
      <x:c r="D1095" s="44" t="str">
        <x:v>神厥狀不見爰有美玉河林</x:v>
      </x:c>
      <x:c r="E1095" s="44" t="str">
        <x:v>區域</x:v>
      </x:c>
      <x:c r="F1095" s="18"/>
      <x:c r="G1095" s="46" t="str">
        <x:v>标点与分段参考《山海经校注》；正文对读：https://ctext.org/shan-hai-jing/zhong-shan-jing/zh</x:v>
      </x:c>
      <x:c r="H1095" s="47" t="e">
        <x:f>HYPERLINK("#'山海经原文总库'!A3","↩ 返回目录")</x:f>
        <x:v>HYPERLINK is not implemented. linkLocation=#'山海经原文总库'!A3, friendlyName=↩ 返回目录</x:v>
      </x:c>
      <x:c r="I1095" s="437"/>
      <x:c r="J1095" s="437"/>
      <x:c r="K1095" s="437" t="str">
        <x:v>待同名检索｜待建档</x:v>
      </x:c>
    </x:row>
    <x:row r="1096" ht="22.5" customHeight="1">
      <x:c r="A1096" s="44"/>
      <x:c r="B1096" s="44"/>
      <x:c r="C1096" s="45"/>
      <x:c r="D1096" s="44" t="str">
        <x:v>如鳴佩以鐻貫耳司帝宻都</x:v>
      </x:c>
      <x:c r="E1096" s="44" t="str">
        <x:v>聚落／區域</x:v>
      </x:c>
      <x:c r="F1096" s="18"/>
      <x:c r="G1096" s="46"/>
      <x:c r="H1096" s="47" t="e">
        <x:f>HYPERLINK("#'山海经原文总库'!A3","↩ 返回目录")</x:f>
        <x:v>HYPERLINK is not implemented. linkLocation=#'山海经原文总库'!A3, friendlyName=↩ 返回目录</x:v>
      </x:c>
      <x:c r="I1096" s="437"/>
      <x:c r="J1096" s="437"/>
      <x:c r="K1096" s="437" t="str">
        <x:v>待同名检索｜待建档</x:v>
      </x:c>
    </x:row>
    <x:row r="1097" ht="100.5" customHeight="1">
      <x:c r="A1097" s="44" t="str">
        <x:v>SHJ-05-148</x:v>
      </x:c>
      <x:c r="B1097" s="44" t="str">
        <x:v>卷五 《中山經》</x:v>
      </x:c>
      <x:c r="C1097" s="45" t="str">
        <x:v>爲美談𦵧大騩之山爰有苹草青華白實。食之無夭雖不增齡。可以窮老鮫魚魚之别屬厥號曰鮫珠皮毒尾匪鱗匪毛。可以錯角兼飾劎刀鴆鳥蝮維毒魁鴆鳥是噉拂翼鳴林草瘁木慘羽行隱戮厥罰難犯椒椒之灌殖實繁有倫拂穎霑霜朱實芬辛。服之洞見。可以通神神𧕛圍計蒙涉𧕛涉𧕛三脚𧕛圍虎爪計蒙龍首獨禀異表升降風雨茫茫渺渺岷山岷山之精上絡東井始出一勺終致森冥作紀南夏天清地靜䕫牛西南巨牛出自江岷體若垂雲肉盈千鈞雖有逸力難以揮輪峽山卭峽峻嶮其坂九折王陽逡巡王尊逞節殷有三仁漢稱二哲𤜣狼雍和𤟑獸𤜣狼之出兵不外擊雍和。</x:v>
      </x:c>
      <x:c r="D1097" s="44" t="str">
        <x:v>逸力難以揮輪峽山</x:v>
      </x:c>
      <x:c r="E1097" s="44" t="str">
        <x:v>山</x:v>
      </x:c>
      <x:c r="F1097" s="18"/>
      <x:c r="G1097" s="46" t="str">
        <x:v>标点与分段参考《山海经校注》；正文对读：https://ctext.org/shan-hai-jing/zhong-shan-jing/zh</x:v>
      </x:c>
      <x:c r="H1097" s="47" t="e">
        <x:f>HYPERLINK("#'山海经原文总库'!A3","↩ 返回目录")</x:f>
        <x:v>HYPERLINK is not implemented. linkLocation=#'山海经原文总库'!A3, friendlyName=↩ 返回目录</x:v>
      </x:c>
      <x:c r="I1097" s="437"/>
      <x:c r="J1097" s="437"/>
      <x:c r="K1097" s="437" t="str">
        <x:v>待同名检索｜待建档</x:v>
      </x:c>
    </x:row>
    <x:row r="1098" ht="22.5" customHeight="1">
      <x:c r="A1098" s="44"/>
      <x:c r="B1098" s="44"/>
      <x:c r="C1098" s="45"/>
      <x:c r="D1098" s="44" t="str">
        <x:v>維毒魁鴆鳥是噉拂翼鳴林</x:v>
      </x:c>
      <x:c r="E1098" s="44" t="str">
        <x:v>區域</x:v>
      </x:c>
      <x:c r="F1098" s="18"/>
      <x:c r="G1098" s="46"/>
      <x:c r="H1098" s="47" t="e">
        <x:f>HYPERLINK("#'山海经原文总库'!A3","↩ 返回目录")</x:f>
        <x:v>HYPERLINK is not implemented. linkLocation=#'山海经原文总库'!A3, friendlyName=↩ 返回目录</x:v>
      </x:c>
      <x:c r="I1098" s="437"/>
      <x:c r="J1098" s="437"/>
      <x:c r="K1098" s="437" t="str">
        <x:v>待同名检索｜待建档</x:v>
      </x:c>
    </x:row>
    <x:row r="1099" ht="48" customHeight="1">
      <x:c r="A1099" s="44" t="str">
        <x:v>SHJ-05-149</x:v>
      </x:c>
      <x:c r="B1099" s="44" t="str">
        <x:v>卷五 《中山經》</x:v>
      </x:c>
      <x:c r="C1099" s="45" t="str">
        <x:v>作恐𤟑乃流疫同惡殊災氣各有適蜼寓屬之才莫過於蜼雨則自懸塞鼻以尾厥形雖。</x:v>
      </x:c>
      <x:c r="D1099" s="44"/>
      <x:c r="E1099" s="44"/>
      <x:c r="F1099" s="18"/>
      <x:c r="G1099" s="46" t="str">
        <x:v>标点与分段参考《山海经校注》；正文对读：https://ctext.org/shan-hai-jing/zhong-shan-jing/zh</x:v>
      </x:c>
      <x:c r="H1099" s="47" t="e">
        <x:f>HYPERLINK("#'山海经原文总库'!A3","↩ 返回目录")</x:f>
        <x:v>HYPERLINK is not implemented. linkLocation=#'山海经原文总库'!A3, friendlyName=↩ 返回目录</x:v>
      </x:c>
      <x:c r="I1099" s="437"/>
      <x:c r="J1099" s="437"/>
      <x:c r="K1099" s="437" t="str">
        <x:v>经文已收录｜非地点行</x:v>
      </x:c>
    </x:row>
    <x:row r="1100" ht="64.5" customHeight="1">
      <x:c r="A1100" s="44" t="str">
        <x:v>SHJ-05-150</x:v>
      </x:c>
      <x:c r="B1100" s="44" t="str">
        <x:v>卷五 《中山經》</x:v>
      </x:c>
      <x:c r="C1100" s="45" t="str">
        <x:v>隨列象宗彝熊穴熊山有穴神人是出與彼石鼓象殊應一祥雖先見厥事非吉跂踵青耕禦疫跂踵降災物之相反各以氣來見則民咨實爲病媒蛟匪蛇匪龍鱗彩炳焕騰躍波濤蜿蜒江漢漢武飲羽飛佽疊斷神耕父清泠之水在乎山頂耕父是遊流光灑景黔首祀榮以弭災眚九鍾嶢崩涇竭麟鬥曰薄九鍾將鳴凌霜乃落氣之相應觸感而作嬰勺支離。</x:v>
      </x:c>
      <x:c r="D1100" s="44" t="str">
        <x:v>象宗彝熊穴熊山</x:v>
      </x:c>
      <x:c r="E1100" s="44" t="str">
        <x:v>山</x:v>
      </x:c>
      <x:c r="F1100" s="18"/>
      <x:c r="G1100" s="46" t="str">
        <x:v>标点与分段参考《山海经校注》；正文对读：https://ctext.org/shan-hai-jing/zhong-shan-jing/zh</x:v>
      </x:c>
      <x:c r="H1100" s="47" t="e">
        <x:f>HYPERLINK("#'山海经原文总库'!A3","↩ 返回目录")</x:f>
        <x:v>HYPERLINK is not implemented. linkLocation=#'山海经原文总库'!A3, friendlyName=↩ 返回目录</x:v>
      </x:c>
      <x:c r="I1100" s="437"/>
      <x:c r="J1100" s="437"/>
      <x:c r="K1100" s="437" t="str">
        <x:v>待同名检索｜待建档</x:v>
      </x:c>
    </x:row>
    <x:row r="1101" ht="22.5" customHeight="1">
      <x:c r="A1101" s="44"/>
      <x:c r="B1101" s="44"/>
      <x:c r="C1101" s="45"/>
      <x:c r="D1101" s="44" t="str">
        <x:v>清泠之水</x:v>
      </x:c>
      <x:c r="E1101" s="44" t="str">
        <x:v>水系</x:v>
      </x:c>
      <x:c r="F1101" s="18"/>
      <x:c r="G1101" s="46"/>
      <x:c r="H1101" s="47" t="e">
        <x:f>HYPERLINK("#'山海经原文总库'!A3","↩ 返回目录")</x:f>
        <x:v>HYPERLINK is not implemented. linkLocation=#'山海经原文总库'!A3, friendlyName=↩ 返回目录</x:v>
      </x:c>
      <x:c r="I1101" s="437"/>
      <x:c r="J1101" s="437"/>
      <x:c r="K1101" s="437" t="str">
        <x:v>待同名检索｜待建档</x:v>
      </x:c>
    </x:row>
    <x:row r="1102" ht="100.5" customHeight="1">
      <x:c r="A1102" s="44" t="str">
        <x:v>SHJ-05-151</x:v>
      </x:c>
      <x:c r="B1102" s="44" t="str">
        <x:v>卷五 《中山經》</x:v>
      </x:c>
      <x:c r="C1102" s="45" t="str">
        <x:v>之山有鳥似鵲白身赤眼厥尾如勺維彼有斗不可以酌獜有獸虎爪厥號曰獜好自跳撲鼓甲振奮若食其肉不覺風迅帝臺漿帝臺之水飲蠲心病靈府是滌和神養性食可逍遥濯髮浴泳狙如狙如微蟲厥體無害見則師興兩陣交會物之所感焉，有小大帝女桑爰有洪桑生瀆淪潭厥圍五丈枝相交參園客是採帝女所蠶梁渠𤝻即聞獜獸䳅餘鳥梁渠致兵𤝻即起災䳅餘辟火物各有能聞獜之見大風乃來神于兒于兒如人蛇頭有兩常遊江淵見于洞廣乍潜乍出神光忽恍神二女神之二女爰宅洞庭游化五江惚恍窈冥號曰夫人是維湘靈飛蛇騰蛇配龍因霧而躍雖欲登天雲罷陸略伏非啓體難以云託。</x:v>
      </x:c>
      <x:c r="D1102" s="44" t="str">
        <x:v>兒如人蛇頭有兩常遊江淵</x:v>
      </x:c>
      <x:c r="E1102" s="44" t="str">
        <x:v>澤／淵</x:v>
      </x:c>
      <x:c r="F1102" s="18"/>
      <x:c r="G1102" s="46" t="str">
        <x:v>标点与分段参考《山海经校注》；正文对读：https://ctext.org/shan-hai-jing/zhong-shan-jing/zh</x:v>
      </x:c>
      <x:c r="H1102" s="47" t="e">
        <x:f>HYPERLINK("#'山海经原文总库'!A3","↩ 返回目录")</x:f>
        <x:v>HYPERLINK is not implemented. linkLocation=#'山海经原文总库'!A3, friendlyName=↩ 返回目录</x:v>
      </x:c>
      <x:c r="I1102" s="437"/>
      <x:c r="J1102" s="437"/>
      <x:c r="K1102" s="437" t="str">
        <x:v>待同名检索｜待建档</x:v>
      </x:c>
    </x:row>
    <x:row r="1103" ht="22.5" customHeight="1">
      <x:c r="A1103" s="44"/>
      <x:c r="B1103" s="44"/>
      <x:c r="C1103" s="45"/>
      <x:c r="D1103" s="44" t="str">
        <x:v>奮若食其肉不覺風迅帝臺</x:v>
      </x:c>
      <x:c r="E1103" s="44" t="str">
        <x:v>聚落／區域</x:v>
      </x:c>
      <x:c r="F1103" s="18"/>
      <x:c r="G1103" s="46"/>
      <x:c r="H1103" s="47" t="e">
        <x:f>HYPERLINK("#'山海经原文总库'!A3","↩ 返回目录")</x:f>
        <x:v>HYPERLINK is not implemented. linkLocation=#'山海经原文总库'!A3, friendlyName=↩ 返回目录</x:v>
      </x:c>
      <x:c r="I1103" s="437"/>
      <x:c r="J1103" s="437"/>
      <x:c r="K1103" s="437" t="str">
        <x:v>待同名检索｜待建档</x:v>
      </x:c>
    </x:row>
    <x:row r="1104" ht="22.5" customHeight="1">
      <x:c r="A1104" s="44"/>
      <x:c r="B1104" s="44"/>
      <x:c r="C1104" s="45"/>
      <x:c r="D1104" s="44" t="str">
        <x:v>漿帝臺</x:v>
      </x:c>
      <x:c r="E1104" s="44" t="str">
        <x:v>聚落／區域</x:v>
      </x:c>
      <x:c r="F1104" s="18"/>
      <x:c r="G1104" s="46"/>
      <x:c r="H1104" s="47" t="e">
        <x:f>HYPERLINK("#'山海经原文总库'!A3","↩ 返回目录")</x:f>
        <x:v>HYPERLINK is not implemented. linkLocation=#'山海经原文总库'!A3, friendlyName=↩ 返回目录</x:v>
      </x:c>
      <x:c r="I1104" s="437"/>
      <x:c r="J1104" s="437"/>
      <x:c r="K1104" s="437" t="str">
        <x:v>待同名检索｜待建档</x:v>
      </x:c>
    </x:row>
    <x:row r="1105" ht="48" customHeight="1">
      <x:c r="A1105" s="48" t="str">
        <x:v>SHJ-06-001-1</x:v>
      </x:c>
      <x:c r="B1105" s="48" t="str">
        <x:v>卷六 《海外南經》</x:v>
      </x:c>
      <x:c r="C1105" s="49" t="str">
        <x:v>地之所載，六合之閒，四海之內，照之以日月，經之以星辰，紀之以四時，要之以太歲，神靈所生，其物異形，或夭或壽，唯聖人能通其道。</x:v>
      </x:c>
      <x:c r="D1105" s="48"/>
      <x:c r="E1105" s="48"/>
      <x:c r="F1105" s="19"/>
      <x:c r="G1105" s="50" t="str">
        <x:v>标点与分段参考《山海经校注》；正文对读：https://ctext.org/shan-hai-jing/hai-wai-nan-jing/zh</x:v>
      </x:c>
      <x:c r="H1105" s="51" t="e">
        <x:f t="shared" ref="H1105:H1116" si="5">HYPERLINK("#'山海经原文总库'!A3","↩ 返回目录")</x:f>
        <x:v>HYPERLINK is not implemented. linkLocation=#'山海经原文总库'!A3, friendlyName=↩ 返回目录</x:v>
      </x:c>
      <x:c r="I1105" s="437"/>
      <x:c r="J1105" s="437"/>
      <x:c r="K1105" s="437" t="str">
        <x:v>经文已收录｜非地点行</x:v>
      </x:c>
    </x:row>
    <x:row r="1106" ht="48" customHeight="1">
      <x:c r="A1106" s="48" t="str">
        <x:v>SHJ-06-001-2</x:v>
      </x:c>
      <x:c r="B1106" s="48" t="str">
        <x:v>卷六 《海外南經》</x:v>
      </x:c>
      <x:c r="C1106" s="49" t="str">
        <x:v>海外自西南陬至東南陬者。</x:v>
      </x:c>
      <x:c r="D1106" s="48"/>
      <x:c r="E1106" s="48"/>
      <x:c r="F1106" s="19"/>
      <x:c r="G1106" s="50" t="str">
        <x:v>标点与分段参考《山海经校注》；正文对读：https://ctext.org/shan-hai-jing/hai-wai-nan-jing/zh</x:v>
      </x:c>
      <x:c r="H1106" s="51" t="e">
        <x:f t="shared" si="5">HYPERLINK("#'山海经原文总库'!A3","↩ 返回目录")</x:f>
        <x:v>HYPERLINK is not implemented. linkLocation=#'山海经原文总库'!A3, friendlyName=↩ 返回目录</x:v>
      </x:c>
      <x:c r="I1106" s="437"/>
      <x:c r="J1106" s="437"/>
      <x:c r="K1106" s="437" t="str">
        <x:v>经文已收录｜非地点行</x:v>
      </x:c>
    </x:row>
    <x:row r="1107" ht="48" customHeight="1">
      <x:c r="A1107" s="48" t="str">
        <x:v>SHJ-06-001-3</x:v>
      </x:c>
      <x:c r="B1107" s="48" t="str">
        <x:v>卷六 《海外南經》</x:v>
      </x:c>
      <x:c r="C1107" s="49" t="str">
        <x:v>結匈國在其西南，其為人結匈。</x:v>
      </x:c>
      <x:c r="D1107" s="48"/>
      <x:c r="E1107" s="48"/>
      <x:c r="F1107" s="19"/>
      <x:c r="G1107" s="50" t="str">
        <x:v>标点与分段参考《山海经校注》；正文对读：https://ctext.org/shan-hai-jing/hai-wai-nan-jing/zh</x:v>
      </x:c>
      <x:c r="H1107" s="51" t="e">
        <x:f t="shared" si="5">HYPERLINK("#'山海经原文总库'!A3","↩ 返回目录")</x:f>
        <x:v>HYPERLINK is not implemented. linkLocation=#'山海经原文总库'!A3, friendlyName=↩ 返回目录</x:v>
      </x:c>
      <x:c r="I1107" s="437"/>
      <x:c r="J1107" s="437"/>
      <x:c r="K1107" s="437" t="str">
        <x:v>经文已收录｜非地点行</x:v>
      </x:c>
    </x:row>
    <x:row r="1108" ht="48" customHeight="1">
      <x:c r="A1108" s="48" t="str">
        <x:v>SHJ-06-002-1</x:v>
      </x:c>
      <x:c r="B1108" s="48" t="str">
        <x:v>卷六 《海外南經》</x:v>
      </x:c>
      <x:c r="C1108" s="49" t="str">
        <x:v>南山在其東南。自此山來，蟲為蛇，蛇號為魚。一曰南山在結匈東南。</x:v>
      </x:c>
      <x:c r="D1108" s="48"/>
      <x:c r="E1108" s="48"/>
      <x:c r="F1108" s="19"/>
      <x:c r="G1108" s="50" t="str">
        <x:v>标点与分段参考《山海经校注》；正文对读：https://ctext.org/shan-hai-jing/hai-wai-nan-jing/zh</x:v>
      </x:c>
      <x:c r="H1108" s="51" t="e">
        <x:f t="shared" si="5">HYPERLINK("#'山海经原文总库'!A3","↩ 返回目录")</x:f>
        <x:v>HYPERLINK is not implemented. linkLocation=#'山海经原文总库'!A3, friendlyName=↩ 返回目录</x:v>
      </x:c>
      <x:c r="I1108" s="437"/>
      <x:c r="J1108" s="437"/>
      <x:c r="K1108" s="437" t="str">
        <x:v>经文已收录｜非地点行</x:v>
      </x:c>
    </x:row>
    <x:row r="1109" ht="48" customHeight="1">
      <x:c r="A1109" s="48" t="str">
        <x:v>SHJ-06-002-2</x:v>
      </x:c>
      <x:c r="B1109" s="48" t="str">
        <x:v>卷六 《海外南經》</x:v>
      </x:c>
      <x:c r="C1109" s="49" t="str">
        <x:v>比翼鳥在其東，其為鳥青、赤，兩鳥比翼。一曰在南山東。</x:v>
      </x:c>
      <x:c r="D1109" s="48"/>
      <x:c r="E1109" s="48"/>
      <x:c r="F1109" s="19"/>
      <x:c r="G1109" s="50" t="str">
        <x:v>标点与分段参考《山海经校注》；正文对读：https://ctext.org/shan-hai-jing/hai-wai-nan-jing/zh</x:v>
      </x:c>
      <x:c r="H1109" s="51" t="e">
        <x:f t="shared" si="5">HYPERLINK("#'山海经原文总库'!A3","↩ 返回目录")</x:f>
        <x:v>HYPERLINK is not implemented. linkLocation=#'山海经原文总库'!A3, friendlyName=↩ 返回目录</x:v>
      </x:c>
      <x:c r="I1109" s="437"/>
      <x:c r="J1109" s="437"/>
      <x:c r="K1109" s="437" t="str">
        <x:v>经文已收录｜非地点行</x:v>
      </x:c>
    </x:row>
    <x:row r="1110" ht="48" customHeight="1">
      <x:c r="A1110" s="48" t="str">
        <x:v>SHJ-06-003</x:v>
      </x:c>
      <x:c r="B1110" s="48" t="str">
        <x:v>卷六 《海外南經》</x:v>
      </x:c>
      <x:c r="C1110" s="49" t="str">
        <x:v>羽民國在其東南，其為人長頭，身生羽。一曰在比翼鳥東南，其為人長頰。</x:v>
      </x:c>
      <x:c r="D1110" s="48" t="str">
        <x:v>羽民國</x:v>
      </x:c>
      <x:c r="E1110" s="48" t="str">
        <x:v>國家</x:v>
      </x:c>
      <x:c r="F1110" s="19" t="e">
        <x:f>HYPERLINK("#'都广核心区总表'!B95","→ 查看条目")</x:f>
        <x:v>HYPERLINK is not implemented. linkLocation=#'都广核心区总表'!B95, friendlyName=→ 查看条目</x:v>
      </x:c>
      <x:c r="G1110" s="50" t="str">
        <x:v>标点与分段参考《山海经校注》；正文对读：https://ctext.org/shan-hai-jing/hai-wai-nan-jing/zh</x:v>
      </x:c>
      <x:c r="H1110" s="51" t="e">
        <x:f t="shared" si="5">HYPERLINK("#'山海经原文总库'!A3","↩ 返回目录")</x:f>
        <x:v>HYPERLINK is not implemented. linkLocation=#'山海经原文总库'!A3, friendlyName=↩ 返回目录</x:v>
      </x:c>
      <x:c r="I1110" s="437" t="str">
        <x:v>是</x:v>
      </x:c>
      <x:c r="J1110" s="437" t="str">
        <x:v>总表第95行｜X=-1179.3里，Y=+1120.7里（-11.8，+11.2格）｜跨篇羽民同名候选；水系南北关系锁定</x:v>
      </x:c>
      <x:c r="K1110" s="437" t="str">
        <x:v>已检索｜已建档</x:v>
      </x:c>
    </x:row>
    <x:row r="1111" ht="48" customHeight="1">
      <x:c r="A1111" s="48" t="str">
        <x:v>SHJ-06-004-1</x:v>
      </x:c>
      <x:c r="B1111" s="48" t="str">
        <x:v>卷六 《海外南經》</x:v>
      </x:c>
      <x:c r="C1111" s="49" t="str">
        <x:v>有神人二八，連臂，為帝司夜於此野。在羽民東。其為人小頰赤肩。盡十六人。</x:v>
      </x:c>
      <x:c r="D1111" s="48" t="str">
        <x:v>為帝司夜於此野</x:v>
      </x:c>
      <x:c r="E1111" s="48" t="str">
        <x:v>區域</x:v>
      </x:c>
      <x:c r="F1111" s="19"/>
      <x:c r="G1111" s="50" t="str">
        <x:v>标点与分段参考《山海经校注》；正文对读：https://ctext.org/shan-hai-jing/hai-wai-nan-jing/zh</x:v>
      </x:c>
      <x:c r="H1111" s="51" t="e">
        <x:f t="shared" si="5">HYPERLINK("#'山海经原文总库'!A3","↩ 返回目录")</x:f>
        <x:v>HYPERLINK is not implemented. linkLocation=#'山海经原文总库'!A3, friendlyName=↩ 返回目录</x:v>
      </x:c>
      <x:c r="I1111" s="437"/>
      <x:c r="J1111" s="437"/>
      <x:c r="K1111" s="437" t="str">
        <x:v>待同名检索｜待建档</x:v>
      </x:c>
    </x:row>
    <x:row r="1112" ht="48" customHeight="1">
      <x:c r="A1112" s="48" t="str">
        <x:v>SHJ-06-004-2</x:v>
      </x:c>
      <x:c r="B1112" s="48" t="str">
        <x:v>卷六 《海外南經》</x:v>
      </x:c>
      <x:c r="C1112" s="49" t="str">
        <x:v>畢方鳥在其東，青水西，其為鳥人面一腳。一曰在二八神東。</x:v>
      </x:c>
      <x:c r="D1112" s="48" t="str">
        <x:v>毕方鸟</x:v>
      </x:c>
      <x:c r="E1112" s="48" t="str">
        <x:v>神鸟／方位参照</x:v>
      </x:c>
      <x:c r="F1112" s="52" t="e">
        <x:f>HYPERLINK("#'都广核心区总表'!B51","→ 查看条目")</x:f>
        <x:v>HYPERLINK is not implemented. linkLocation=#'都广核心区总表'!B51, friendlyName=→ 查看条目</x:v>
      </x:c>
      <x:c r="G1112" s="50" t="str">
        <x:v>标点与分段参考《山海经校注》；正文对读：https://ctext.org/shan-hai-jing/hai-wai-nan-jing/zh</x:v>
      </x:c>
      <x:c r="H1112" s="51" t="e">
        <x:f t="shared" si="5">HYPERLINK("#'山海经原文总库'!A3","↩ 返回目录")</x:f>
        <x:v>HYPERLINK is not implemented. linkLocation=#'山海经原文总库'!A3, friendlyName=↩ 返回目录</x:v>
      </x:c>
      <x:c r="I1112" s="437" t="str">
        <x:v>是</x:v>
      </x:c>
      <x:c r="J1112" s="437" t="str">
        <x:v>总表第51行｜X=-1450里，Y=+350里（-14.5，+3.5格）｜相对青水方向锁定；绝对点为项目推定</x:v>
      </x:c>
      <x:c r="K1112" s="437" t="str">
        <x:v>已检索｜已建档</x:v>
      </x:c>
    </x:row>
    <x:row r="1113" ht="48" customHeight="1">
      <x:c r="A1113" s="48" t="str">
        <x:v>SHJ-06-005-1</x:v>
      </x:c>
      <x:c r="B1113" s="48" t="str">
        <x:v>卷六 《海外南經》</x:v>
      </x:c>
      <x:c r="C1113" s="49" t="str">
        <x:v>讙頭國在其南，其為人人面有翼，鳥喙，方捕魚。一曰在畢方東。或曰讙朱國。</x:v>
      </x:c>
      <x:c r="D1113" s="48" t="str">
        <x:v>讙頭國</x:v>
      </x:c>
      <x:c r="E1113" s="48" t="str">
        <x:v>國家</x:v>
      </x:c>
      <x:c r="F1113" s="19"/>
      <x:c r="G1113" s="50" t="str">
        <x:v>标点与分段参考《山海经校注》；正文对读：https://ctext.org/shan-hai-jing/hai-wai-nan-jing/zh</x:v>
      </x:c>
      <x:c r="H1113" s="51" t="e">
        <x:f t="shared" si="5">HYPERLINK("#'山海经原文总库'!A3","↩ 返回目录")</x:f>
        <x:v>HYPERLINK is not implemented. linkLocation=#'山海经原文总库'!A3, friendlyName=↩ 返回目录</x:v>
      </x:c>
      <x:c r="I1113" s="437"/>
      <x:c r="J1113" s="437"/>
      <x:c r="K1113" s="437" t="str">
        <x:v>待同名检索｜待建档</x:v>
      </x:c>
    </x:row>
    <x:row r="1114" ht="48" customHeight="1">
      <x:c r="A1114" s="48" t="str">
        <x:v>SHJ-06-005-2</x:v>
      </x:c>
      <x:c r="B1114" s="48" t="str">
        <x:v>卷六 《海外南經》</x:v>
      </x:c>
      <x:c r="C1114" s="49" t="str">
        <x:v>厭火國在其國南，獸身黑色，生火出其口中。一曰在讙朱東。</x:v>
      </x:c>
      <x:c r="D1114" s="48"/>
      <x:c r="E1114" s="48"/>
      <x:c r="F1114" s="19"/>
      <x:c r="G1114" s="50" t="str">
        <x:v>标点与分段参考《山海经校注》；正文对读：https://ctext.org/shan-hai-jing/hai-wai-nan-jing/zh</x:v>
      </x:c>
      <x:c r="H1114" s="51" t="e">
        <x:f t="shared" si="5">HYPERLINK("#'山海经原文总库'!A3","↩ 返回目录")</x:f>
        <x:v>HYPERLINK is not implemented. linkLocation=#'山海经原文总库'!A3, friendlyName=↩ 返回目录</x:v>
      </x:c>
      <x:c r="I1114" s="437"/>
      <x:c r="J1114" s="437"/>
      <x:c r="K1114" s="437" t="str">
        <x:v>经文已收录｜非地点行</x:v>
      </x:c>
    </x:row>
    <x:row r="1115" ht="48" customHeight="1">
      <x:c r="A1115" s="48" t="str">
        <x:v>SHJ-06-005-3</x:v>
      </x:c>
      <x:c r="B1115" s="48" t="str">
        <x:v>卷六 《海外南經》</x:v>
      </x:c>
      <x:c r="C1115" s="49" t="str">
        <x:v>三株樹在厭火北，生赤水上，其為樹如柏，葉皆為珠。一曰其為樹若彗。</x:v>
      </x:c>
      <x:c r="D1115" s="48"/>
      <x:c r="E1115" s="48"/>
      <x:c r="F1115" s="19"/>
      <x:c r="G1115" s="50" t="str">
        <x:v>标点与分段参考《山海经校注》；正文对读：https://ctext.org/shan-hai-jing/hai-wai-nan-jing/zh</x:v>
      </x:c>
      <x:c r="H1115" s="51" t="e">
        <x:f t="shared" si="5">HYPERLINK("#'山海经原文总库'!A3","↩ 返回目录")</x:f>
        <x:v>HYPERLINK is not implemented. linkLocation=#'山海经原文总库'!A3, friendlyName=↩ 返回目录</x:v>
      </x:c>
      <x:c r="I1115" s="437"/>
      <x:c r="J1115" s="437"/>
      <x:c r="K1115" s="437" t="str">
        <x:v>经文已收录｜非地点行</x:v>
      </x:c>
    </x:row>
    <x:row r="1116" ht="48" customHeight="1">
      <x:c r="A1116" s="48" t="str">
        <x:v>SHJ-06-006-1</x:v>
      </x:c>
      <x:c r="B1116" s="48" t="str">
        <x:v>卷六 《海外南經》</x:v>
      </x:c>
      <x:c r="C1116" s="49" t="str">
        <x:v>三苗國在赤水東，其為人相隨。一曰三毛國。</x:v>
      </x:c>
      <x:c r="D1116" s="48" t="str">
        <x:v>三苗國</x:v>
      </x:c>
      <x:c r="E1116" s="48" t="str">
        <x:v>國家</x:v>
      </x:c>
      <x:c r="F1116" s="19"/>
      <x:c r="G1116" s="50" t="str">
        <x:v>标点与分段参考《山海经校注》；正文对读：https://ctext.org/shan-hai-jing/hai-wai-nan-jing/zh</x:v>
      </x:c>
      <x:c r="H1116" s="51" t="e">
        <x:f t="shared" si="5">HYPERLINK("#'山海经原文总库'!A3","↩ 返回目录")</x:f>
        <x:v>HYPERLINK is not implemented. linkLocation=#'山海经原文总库'!A3, friendlyName=↩ 返回目录</x:v>
      </x:c>
      <x:c r="I1116" s="437"/>
      <x:c r="J1116" s="437"/>
      <x:c r="K1116" s="437" t="str">
        <x:v>待同名检索｜待建档</x:v>
      </x:c>
    </x:row>
    <x:row r="1117" ht="22.5" customHeight="1">
      <x:c r="A1117" s="48"/>
      <x:c r="B1117" s="48"/>
      <x:c r="C1117" s="49"/>
      <x:c r="D1117" s="48" t="str">
        <x:v>赤水</x:v>
      </x:c>
      <x:c r="E1117" s="48" t="str">
        <x:v>水系</x:v>
      </x:c>
      <x:c r="F1117" s="19"/>
      <x:c r="G1117" s="50"/>
      <x:c r="H1117" s="51" t="e">
        <x:f>HYPERLINK("#'山海经原文总库'!A3","↩ 返回目录")</x:f>
        <x:v>HYPERLINK is not implemented. linkLocation=#'山海经原文总库'!A3, friendlyName=↩ 返回目录</x:v>
      </x:c>
      <x:c r="I1117" s="437"/>
      <x:c r="J1117" s="437"/>
      <x:c r="K1117" s="437" t="str">
        <x:v>待同名检索｜待建档</x:v>
      </x:c>
    </x:row>
    <x:row r="1118" ht="48" customHeight="1">
      <x:c r="A1118" s="48" t="str">
        <x:v>SHJ-06-006-2</x:v>
      </x:c>
      <x:c r="B1118" s="48" t="str">
        <x:v>卷六 《海外南經》</x:v>
      </x:c>
      <x:c r="C1118" s="49" t="str">
        <x:v>臷國在其東，其為人黃，能操弓射蛇。一曰臷國在三毛東。</x:v>
      </x:c>
      <x:c r="D1118" s="48"/>
      <x:c r="E1118" s="48"/>
      <x:c r="F1118" s="19"/>
      <x:c r="G1118" s="50" t="str">
        <x:v>标点与分段参考《山海经校注》；正文对读：https://ctext.org/shan-hai-jing/hai-wai-nan-jing/zh</x:v>
      </x:c>
      <x:c r="H1118" s="51" t="e">
        <x:f t="shared" ref="H1118:H1126" si="6">HYPERLINK("#'山海经原文总库'!A3","↩ 返回目录")</x:f>
        <x:v>HYPERLINK is not implemented. linkLocation=#'山海经原文总库'!A3, friendlyName=↩ 返回目录</x:v>
      </x:c>
      <x:c r="I1118" s="437"/>
      <x:c r="J1118" s="437"/>
      <x:c r="K1118" s="437" t="str">
        <x:v>经文已收录｜非地点行</x:v>
      </x:c>
    </x:row>
    <x:row r="1119" ht="48" customHeight="1">
      <x:c r="A1119" s="48" t="str">
        <x:v>SHJ-06-007</x:v>
      </x:c>
      <x:c r="B1119" s="48" t="str">
        <x:v>卷六 《海外南經》</x:v>
      </x:c>
      <x:c r="C1119" s="49" t="str">
        <x:v>貫匈國在其東，其為人匈有竅。一曰在臷國東。</x:v>
      </x:c>
      <x:c r="D1119" s="48" t="str">
        <x:v>貫匈國</x:v>
      </x:c>
      <x:c r="E1119" s="48" t="str">
        <x:v>國家</x:v>
      </x:c>
      <x:c r="F1119" s="19"/>
      <x:c r="G1119" s="50" t="str">
        <x:v>标点与分段参考《山海经校注》；正文对读：https://ctext.org/shan-hai-jing/hai-wai-nan-jing/zh</x:v>
      </x:c>
      <x:c r="H1119" s="51" t="e">
        <x:f t="shared" si="6">HYPERLINK("#'山海经原文总库'!A3","↩ 返回目录")</x:f>
        <x:v>HYPERLINK is not implemented. linkLocation=#'山海经原文总库'!A3, friendlyName=↩ 返回目录</x:v>
      </x:c>
      <x:c r="I1119" s="437"/>
      <x:c r="J1119" s="437"/>
      <x:c r="K1119" s="437" t="str">
        <x:v>待同名检索｜待建档</x:v>
      </x:c>
    </x:row>
    <x:row r="1120" ht="48" customHeight="1">
      <x:c r="A1120" s="48" t="str">
        <x:v>SHJ-06-008-1</x:v>
      </x:c>
      <x:c r="B1120" s="48" t="str">
        <x:v>卷六 《海外南經》</x:v>
      </x:c>
      <x:c r="C1120" s="49" t="str">
        <x:v>交脛國在其東，其為人交脛。一曰在穿匈東。</x:v>
      </x:c>
      <x:c r="D1120" s="48" t="str">
        <x:v>交脛國</x:v>
      </x:c>
      <x:c r="E1120" s="48" t="str">
        <x:v>國家</x:v>
      </x:c>
      <x:c r="F1120" s="19"/>
      <x:c r="G1120" s="50" t="str">
        <x:v>标点与分段参考《山海经校注》；正文对读：https://ctext.org/shan-hai-jing/hai-wai-nan-jing/zh</x:v>
      </x:c>
      <x:c r="H1120" s="51" t="e">
        <x:f t="shared" si="6">HYPERLINK("#'山海经原文总库'!A3","↩ 返回目录")</x:f>
        <x:v>HYPERLINK is not implemented. linkLocation=#'山海经原文总库'!A3, friendlyName=↩ 返回目录</x:v>
      </x:c>
      <x:c r="I1120" s="437"/>
      <x:c r="J1120" s="437"/>
      <x:c r="K1120" s="437" t="str">
        <x:v>待同名检索｜待建档</x:v>
      </x:c>
    </x:row>
    <x:row r="1121" ht="48" customHeight="1">
      <x:c r="A1121" s="48" t="str">
        <x:v>SHJ-06-008-2</x:v>
      </x:c>
      <x:c r="B1121" s="48" t="str">
        <x:v>卷六 《海外南經》</x:v>
      </x:c>
      <x:c r="C1121" s="49" t="str">
        <x:v>不死民在其東，其為人黑色，壽，不死。一曰在穿匈國東。</x:v>
      </x:c>
      <x:c r="D1121" s="48"/>
      <x:c r="E1121" s="48"/>
      <x:c r="F1121" s="19"/>
      <x:c r="G1121" s="50" t="str">
        <x:v>标点与分段参考《山海经校注》；正文对读：https://ctext.org/shan-hai-jing/hai-wai-nan-jing/zh</x:v>
      </x:c>
      <x:c r="H1121" s="51" t="e">
        <x:f t="shared" si="6">HYPERLINK("#'山海经原文总库'!A3","↩ 返回目录")</x:f>
        <x:v>HYPERLINK is not implemented. linkLocation=#'山海经原文总库'!A3, friendlyName=↩ 返回目录</x:v>
      </x:c>
      <x:c r="I1121" s="437"/>
      <x:c r="J1121" s="437"/>
      <x:c r="K1121" s="437" t="str">
        <x:v>经文已收录｜非地点行</x:v>
      </x:c>
    </x:row>
    <x:row r="1122" ht="48" customHeight="1">
      <x:c r="A1122" s="48" t="str">
        <x:v>SHJ-06-009</x:v>
      </x:c>
      <x:c r="B1122" s="48" t="str">
        <x:v>卷六 《海外南經》</x:v>
      </x:c>
      <x:c r="C1122" s="49" t="str">
        <x:v>岐舌國在其東。一曰在不死民東。</x:v>
      </x:c>
      <x:c r="D1122" s="48"/>
      <x:c r="E1122" s="48"/>
      <x:c r="F1122" s="19"/>
      <x:c r="G1122" s="50" t="str">
        <x:v>标点与分段参考《山海经校注》；正文对读：https://ctext.org/shan-hai-jing/hai-wai-nan-jing/zh</x:v>
      </x:c>
      <x:c r="H1122" s="51" t="e">
        <x:f t="shared" si="6">HYPERLINK("#'山海经原文总库'!A3","↩ 返回目录")</x:f>
        <x:v>HYPERLINK is not implemented. linkLocation=#'山海经原文总库'!A3, friendlyName=↩ 返回目录</x:v>
      </x:c>
      <x:c r="I1122" s="437"/>
      <x:c r="J1122" s="437"/>
      <x:c r="K1122" s="437" t="str">
        <x:v>经文已收录｜非地点行</x:v>
      </x:c>
    </x:row>
    <x:row r="1123" ht="48" customHeight="1">
      <x:c r="A1123" s="48" t="str">
        <x:v>SHJ-06-010-1</x:v>
      </x:c>
      <x:c r="B1123" s="48" t="str">
        <x:v>卷六 《海外南經》</x:v>
      </x:c>
      <x:c r="C1123" s="49" t="str">
        <x:v>崑崙虛在其東，虛四方。一曰在岐舌東，為虛四方。</x:v>
      </x:c>
      <x:c r="D1123" s="48"/>
      <x:c r="E1123" s="48"/>
      <x:c r="F1123" s="19"/>
      <x:c r="G1123" s="50" t="str">
        <x:v>标点与分段参考《山海经校注》；正文对读：https://ctext.org/shan-hai-jing/hai-wai-nan-jing/zh</x:v>
      </x:c>
      <x:c r="H1123" s="51" t="e">
        <x:f t="shared" si="6">HYPERLINK("#'山海经原文总库'!A3","↩ 返回目录")</x:f>
        <x:v>HYPERLINK is not implemented. linkLocation=#'山海经原文总库'!A3, friendlyName=↩ 返回目录</x:v>
      </x:c>
      <x:c r="I1123" s="437"/>
      <x:c r="J1123" s="437"/>
      <x:c r="K1123" s="437" t="str">
        <x:v>经文已收录｜非地点行</x:v>
      </x:c>
    </x:row>
    <x:row r="1124" ht="48" customHeight="1">
      <x:c r="A1124" s="48" t="str">
        <x:v>SHJ-06-010-2</x:v>
      </x:c>
      <x:c r="B1124" s="48" t="str">
        <x:v>卷六 《海外南經》</x:v>
      </x:c>
      <x:c r="C1124" s="49" t="str">
        <x:v>羿與鑿齒戰於壽華之野，羿射殺之。在崑崙虛東。羿持弓矢，鑿齒持盾。一曰戈。</x:v>
      </x:c>
      <x:c r="D1124" s="48" t="str">
        <x:v>羿與鑿齒戰於壽華之野</x:v>
      </x:c>
      <x:c r="E1124" s="48" t="str">
        <x:v>區域</x:v>
      </x:c>
      <x:c r="F1124" s="19"/>
      <x:c r="G1124" s="50" t="str">
        <x:v>标点与分段参考《山海经校注》；正文对读：https://ctext.org/shan-hai-jing/hai-wai-nan-jing/zh</x:v>
      </x:c>
      <x:c r="H1124" s="51" t="e">
        <x:f t="shared" si="6">HYPERLINK("#'山海经原文总库'!A3","↩ 返回目录")</x:f>
        <x:v>HYPERLINK is not implemented. linkLocation=#'山海经原文总库'!A3, friendlyName=↩ 返回目录</x:v>
      </x:c>
      <x:c r="I1124" s="437"/>
      <x:c r="J1124" s="437"/>
      <x:c r="K1124" s="437" t="str">
        <x:v>待同名检索｜待建档</x:v>
      </x:c>
    </x:row>
    <x:row r="1125" ht="48" customHeight="1">
      <x:c r="A1125" s="48" t="str">
        <x:v>SHJ-06-011</x:v>
      </x:c>
      <x:c r="B1125" s="48" t="str">
        <x:v>卷六 《海外南經》</x:v>
      </x:c>
      <x:c r="C1125" s="49" t="str">
        <x:v>三首國在其東，其為人一身三首。</x:v>
      </x:c>
      <x:c r="D1125" s="48" t="str">
        <x:v>三首國</x:v>
      </x:c>
      <x:c r="E1125" s="48" t="str">
        <x:v>國家</x:v>
      </x:c>
      <x:c r="F1125" s="19"/>
      <x:c r="G1125" s="50" t="str">
        <x:v>标点与分段参考《山海经校注》；正文对读：https://ctext.org/shan-hai-jing/hai-wai-nan-jing/zh</x:v>
      </x:c>
      <x:c r="H1125" s="51" t="e">
        <x:f t="shared" si="6">HYPERLINK("#'山海经原文总库'!A3","↩ 返回目录")</x:f>
        <x:v>HYPERLINK is not implemented. linkLocation=#'山海经原文总库'!A3, friendlyName=↩ 返回目录</x:v>
      </x:c>
      <x:c r="I1125" s="437"/>
      <x:c r="J1125" s="437"/>
      <x:c r="K1125" s="437" t="str">
        <x:v>待同名检索｜待建档</x:v>
      </x:c>
    </x:row>
    <x:row r="1126" ht="48" customHeight="1">
      <x:c r="A1126" s="48" t="str">
        <x:v>SHJ-06-012</x:v>
      </x:c>
      <x:c r="B1126" s="48" t="str">
        <x:v>卷六 《海外南經》</x:v>
      </x:c>
      <x:c r="C1126" s="49" t="str">
        <x:v>周饒國在其東，其為人短小，冠帶。一曰焦僥國在三首東。</x:v>
      </x:c>
      <x:c r="D1126" s="48" t="str">
        <x:v>周饒國</x:v>
      </x:c>
      <x:c r="E1126" s="48" t="str">
        <x:v>國家</x:v>
      </x:c>
      <x:c r="F1126" s="19"/>
      <x:c r="G1126" s="50" t="str">
        <x:v>标点与分段参考《山海经校注》；正文对读：https://ctext.org/shan-hai-jing/hai-wai-nan-jing/zh</x:v>
      </x:c>
      <x:c r="H1126" s="51" t="e">
        <x:f t="shared" si="6">HYPERLINK("#'山海经原文总库'!A3","↩ 返回目录")</x:f>
        <x:v>HYPERLINK is not implemented. linkLocation=#'山海经原文总库'!A3, friendlyName=↩ 返回目录</x:v>
      </x:c>
      <x:c r="I1126" s="437"/>
      <x:c r="J1126" s="437"/>
      <x:c r="K1126" s="437" t="str">
        <x:v>待同名检索｜待建档</x:v>
      </x:c>
    </x:row>
    <x:row r="1127" ht="22.5" customHeight="1">
      <x:c r="A1127" s="48"/>
      <x:c r="B1127" s="48"/>
      <x:c r="C1127" s="49"/>
      <x:c r="D1127" s="48" t="str">
        <x:v>焦僥國</x:v>
      </x:c>
      <x:c r="E1127" s="48" t="str">
        <x:v>國家</x:v>
      </x:c>
      <x:c r="F1127" s="19"/>
      <x:c r="G1127" s="50"/>
      <x:c r="H1127" s="51" t="e">
        <x:f>HYPERLINK("#'山海经原文总库'!A3","↩ 返回目录")</x:f>
        <x:v>HYPERLINK is not implemented. linkLocation=#'山海经原文总库'!A3, friendlyName=↩ 返回目录</x:v>
      </x:c>
      <x:c r="I1127" s="437"/>
      <x:c r="J1127" s="437"/>
      <x:c r="K1127" s="437" t="str">
        <x:v>待同名检索｜待建档</x:v>
      </x:c>
    </x:row>
    <x:row r="1128" ht="48" customHeight="1">
      <x:c r="A1128" s="48" t="str">
        <x:v>SHJ-06-013</x:v>
      </x:c>
      <x:c r="B1128" s="48" t="str">
        <x:v>卷六 《海外南經》</x:v>
      </x:c>
      <x:c r="C1128" s="49" t="str">
        <x:v>長臂國在其東，捕魚水中，兩手各操一魚。一曰在焦僥東，捕魚海中。</x:v>
      </x:c>
      <x:c r="D1128" s="48" t="str">
        <x:v>長臂國</x:v>
      </x:c>
      <x:c r="E1128" s="48" t="str">
        <x:v>國家</x:v>
      </x:c>
      <x:c r="F1128" s="19"/>
      <x:c r="G1128" s="50" t="str">
        <x:v>标点与分段参考《山海经校注》；正文对读：https://ctext.org/shan-hai-jing/hai-wai-nan-jing/zh</x:v>
      </x:c>
      <x:c r="H1128" s="51" t="e">
        <x:f>HYPERLINK("#'山海经原文总库'!A3","↩ 返回目录")</x:f>
        <x:v>HYPERLINK is not implemented. linkLocation=#'山海经原文总库'!A3, friendlyName=↩ 返回目录</x:v>
      </x:c>
      <x:c r="I1128" s="437"/>
      <x:c r="J1128" s="437"/>
      <x:c r="K1128" s="437" t="str">
        <x:v>待同名检索｜待建档</x:v>
      </x:c>
    </x:row>
    <x:row r="1129" ht="48" customHeight="1">
      <x:c r="A1129" s="48" t="str">
        <x:v>SHJ-06-014-1</x:v>
      </x:c>
      <x:c r="B1129" s="48" t="str">
        <x:v>卷六 《海外南經》</x:v>
      </x:c>
      <x:c r="C1129" s="49" t="str">
        <x:v>狄山，帝堯葬於陽，帝嚳葬於陰。爰有熊、羆、文虎、蜼、豹、離朱、視肉。吁咽、文王皆葬其所。一曰湯山。一曰爰有熊、羆、文虎、蜼、豹、離朱、（丘鳥）久、視肉、虖交。其範林方三百里。</x:v>
      </x:c>
      <x:c r="D1129" s="48" t="str">
        <x:v>湯山</x:v>
      </x:c>
      <x:c r="E1129" s="48" t="str">
        <x:v>山</x:v>
      </x:c>
      <x:c r="F1129" s="19"/>
      <x:c r="G1129" s="50" t="str">
        <x:v>标点与分段参考《山海经校注》；正文对读：https://ctext.org/shan-hai-jing/hai-wai-nan-jing/zh</x:v>
      </x:c>
      <x:c r="H1129" s="51" t="e">
        <x:f>HYPERLINK("#'山海经原文总库'!A3","↩ 返回目录")</x:f>
        <x:v>HYPERLINK is not implemented. linkLocation=#'山海经原文总库'!A3, friendlyName=↩ 返回目录</x:v>
      </x:c>
      <x:c r="I1129" s="437"/>
      <x:c r="J1129" s="437"/>
      <x:c r="K1129" s="437" t="str">
        <x:v>待同名检索｜待建档</x:v>
      </x:c>
    </x:row>
    <x:row r="1130" ht="22.5" customHeight="1">
      <x:c r="A1130" s="48"/>
      <x:c r="B1130" s="48"/>
      <x:c r="C1130" s="49"/>
      <x:c r="D1130" s="48" t="str">
        <x:v>帝堯葬</x:v>
      </x:c>
      <x:c r="E1130" s="48" t="str">
        <x:v>墓葬</x:v>
      </x:c>
      <x:c r="F1130" s="19"/>
      <x:c r="G1130" s="50"/>
      <x:c r="H1130" s="51" t="e">
        <x:f>HYPERLINK("#'山海经原文总库'!A3","↩ 返回目录")</x:f>
        <x:v>HYPERLINK is not implemented. linkLocation=#'山海经原文总库'!A3, friendlyName=↩ 返回目录</x:v>
      </x:c>
      <x:c r="I1130" s="437"/>
      <x:c r="J1130" s="437"/>
      <x:c r="K1130" s="437" t="str">
        <x:v>待同名检索｜待建档</x:v>
      </x:c>
    </x:row>
    <x:row r="1131" ht="22.5" customHeight="1">
      <x:c r="A1131" s="48"/>
      <x:c r="B1131" s="48"/>
      <x:c r="C1131" s="49"/>
      <x:c r="D1131" s="48" t="str">
        <x:v>帝嚳葬</x:v>
      </x:c>
      <x:c r="E1131" s="48" t="str">
        <x:v>墓葬</x:v>
      </x:c>
      <x:c r="F1131" s="19"/>
      <x:c r="G1131" s="50"/>
      <x:c r="H1131" s="51" t="e">
        <x:f>HYPERLINK("#'山海经原文总库'!A3","↩ 返回目录")</x:f>
        <x:v>HYPERLINK is not implemented. linkLocation=#'山海经原文总库'!A3, friendlyName=↩ 返回目录</x:v>
      </x:c>
      <x:c r="I1131" s="437"/>
      <x:c r="J1131" s="437"/>
      <x:c r="K1131" s="437" t="str">
        <x:v>待同名检索｜待建档</x:v>
      </x:c>
    </x:row>
    <x:row r="1132" ht="22.5" customHeight="1">
      <x:c r="A1132" s="48"/>
      <x:c r="B1132" s="48"/>
      <x:c r="C1132" s="49"/>
      <x:c r="D1132" s="48" t="str">
        <x:v>文王皆葬</x:v>
      </x:c>
      <x:c r="E1132" s="48" t="str">
        <x:v>墓葬</x:v>
      </x:c>
      <x:c r="F1132" s="19"/>
      <x:c r="G1132" s="50"/>
      <x:c r="H1132" s="51" t="e">
        <x:f>HYPERLINK("#'山海经原文总库'!A3","↩ 返回目录")</x:f>
        <x:v>HYPERLINK is not implemented. linkLocation=#'山海经原文总库'!A3, friendlyName=↩ 返回目录</x:v>
      </x:c>
      <x:c r="I1132" s="437"/>
      <x:c r="J1132" s="437"/>
      <x:c r="K1132" s="437" t="str">
        <x:v>待同名检索｜待建档</x:v>
      </x:c>
    </x:row>
    <x:row r="1133" ht="22.5" customHeight="1">
      <x:c r="A1133" s="48"/>
      <x:c r="B1133" s="48"/>
      <x:c r="C1133" s="49"/>
      <x:c r="D1133" s="48" t="str">
        <x:v>狄山</x:v>
      </x:c>
      <x:c r="E1133" s="48" t="str">
        <x:v>山</x:v>
      </x:c>
      <x:c r="F1133" s="19"/>
      <x:c r="G1133" s="50"/>
      <x:c r="H1133" s="51" t="e">
        <x:f>HYPERLINK("#'山海经原文总库'!A3","↩ 返回目录")</x:f>
        <x:v>HYPERLINK is not implemented. linkLocation=#'山海经原文总库'!A3, friendlyName=↩ 返回目录</x:v>
      </x:c>
      <x:c r="I1133" s="437"/>
      <x:c r="J1133" s="437"/>
      <x:c r="K1133" s="437" t="str">
        <x:v>待同名检索｜待建档</x:v>
      </x:c>
    </x:row>
    <x:row r="1134" ht="48" customHeight="1">
      <x:c r="A1134" s="48" t="str">
        <x:v>SHJ-06-014-2</x:v>
      </x:c>
      <x:c r="B1134" s="48" t="str">
        <x:v>卷六 《海外南經》</x:v>
      </x:c>
      <x:c r="C1134" s="49" t="str">
        <x:v>南方祝融，獸身人面，乘兩龍。</x:v>
      </x:c>
      <x:c r="D1134" s="48"/>
      <x:c r="E1134" s="48"/>
      <x:c r="F1134" s="19"/>
      <x:c r="G1134" s="50" t="str">
        <x:v>标点与分段参考《山海经校注》；正文对读：https://ctext.org/shan-hai-jing/hai-wai-nan-jing/zh</x:v>
      </x:c>
      <x:c r="H1134" s="51" t="e">
        <x:f t="shared" ref="H1134:H1163" si="7">HYPERLINK("#'山海经原文总库'!A3","↩ 返回目录")</x:f>
        <x:v>HYPERLINK is not implemented. linkLocation=#'山海经原文总库'!A3, friendlyName=↩ 返回目录</x:v>
      </x:c>
      <x:c r="I1134" s="437"/>
      <x:c r="J1134" s="437"/>
      <x:c r="K1134" s="437" t="str">
        <x:v>经文已收录｜非地点行</x:v>
      </x:c>
    </x:row>
    <x:row r="1135" ht="48" customHeight="1">
      <x:c r="A1135" s="53" t="str">
        <x:v>SHJ-07-001-1</x:v>
      </x:c>
      <x:c r="B1135" s="53" t="str">
        <x:v>卷七 《海外西經》</x:v>
      </x:c>
      <x:c r="C1135" s="54" t="str">
        <x:v>海外自西南陬至西北陬者。</x:v>
      </x:c>
      <x:c r="D1135" s="53"/>
      <x:c r="E1135" s="53"/>
      <x:c r="F1135" s="20"/>
      <x:c r="G1135" s="55" t="str">
        <x:v>标点与分段参考《山海经校注》；正文对读：https://ctext.org/shan-hai-jing/hai-wai-xi-jing/zh</x:v>
      </x:c>
      <x:c r="H1135" s="56" t="e">
        <x:f t="shared" si="7">HYPERLINK("#'山海经原文总库'!A3","↩ 返回目录")</x:f>
        <x:v>HYPERLINK is not implemented. linkLocation=#'山海经原文总库'!A3, friendlyName=↩ 返回目录</x:v>
      </x:c>
      <x:c r="I1135" s="437"/>
      <x:c r="J1135" s="437"/>
      <x:c r="K1135" s="437" t="str">
        <x:v>经文已收录｜非地点行</x:v>
      </x:c>
    </x:row>
    <x:row r="1136" ht="48" customHeight="1">
      <x:c r="A1136" s="53" t="str">
        <x:v>SHJ-07-001-2</x:v>
      </x:c>
      <x:c r="B1136" s="53" t="str">
        <x:v>卷七 《海外西經》</x:v>
      </x:c>
      <x:c r="C1136" s="54" t="str">
        <x:v>滅蒙鳥在結匈國北，為鳥青，赤尾。</x:v>
      </x:c>
      <x:c r="D1136" s="53"/>
      <x:c r="E1136" s="53"/>
      <x:c r="F1136" s="20"/>
      <x:c r="G1136" s="55" t="str">
        <x:v>标点与分段参考《山海经校注》；正文对读：https://ctext.org/shan-hai-jing/hai-wai-xi-jing/zh</x:v>
      </x:c>
      <x:c r="H1136" s="56" t="e">
        <x:f t="shared" si="7">HYPERLINK("#'山海经原文总库'!A3","↩ 返回目录")</x:f>
        <x:v>HYPERLINK is not implemented. linkLocation=#'山海经原文总库'!A3, friendlyName=↩ 返回目录</x:v>
      </x:c>
      <x:c r="I1136" s="437"/>
      <x:c r="J1136" s="437"/>
      <x:c r="K1136" s="437" t="str">
        <x:v>经文已收录｜非地点行</x:v>
      </x:c>
    </x:row>
    <x:row r="1137" ht="48" customHeight="1">
      <x:c r="A1137" s="53" t="str">
        <x:v>SHJ-07-001-3</x:v>
      </x:c>
      <x:c r="B1137" s="53" t="str">
        <x:v>卷七 《海外西經》</x:v>
      </x:c>
      <x:c r="C1137" s="54" t="str">
        <x:v>大運山高三百仞，在滅蒙鳥北。</x:v>
      </x:c>
      <x:c r="D1137" s="53"/>
      <x:c r="E1137" s="53"/>
      <x:c r="F1137" s="20"/>
      <x:c r="G1137" s="55" t="str">
        <x:v>标点与分段参考《山海经校注》；正文对读：https://ctext.org/shan-hai-jing/hai-wai-xi-jing/zh</x:v>
      </x:c>
      <x:c r="H1137" s="56" t="e">
        <x:f t="shared" si="7">HYPERLINK("#'山海经原文总库'!A3","↩ 返回目录")</x:f>
        <x:v>HYPERLINK is not implemented. linkLocation=#'山海经原文总库'!A3, friendlyName=↩ 返回目录</x:v>
      </x:c>
      <x:c r="I1137" s="437"/>
      <x:c r="J1137" s="437"/>
      <x:c r="K1137" s="437" t="str">
        <x:v>经文已收录｜非地点行</x:v>
      </x:c>
    </x:row>
    <x:row r="1138" ht="48" customHeight="1">
      <x:c r="A1138" s="53" t="str">
        <x:v>SHJ-07-001-4</x:v>
      </x:c>
      <x:c r="B1138" s="53" t="str">
        <x:v>卷七 《海外西經》</x:v>
      </x:c>
      <x:c r="C1138" s="54" t="str">
        <x:v>大樂之野，夏後啓於此九代；乘兩龍，雲蓋三層。左手操翳，右手操環，佩玉璜。在大運山北。一曰大遺之野。</x:v>
      </x:c>
      <x:c r="D1138" s="53" t="str">
        <x:v>大樂之野</x:v>
      </x:c>
      <x:c r="E1138" s="53" t="str">
        <x:v>區域</x:v>
      </x:c>
      <x:c r="F1138" s="20"/>
      <x:c r="G1138" s="55" t="str">
        <x:v>标点与分段参考《山海经校注》；正文对读：https://ctext.org/shan-hai-jing/hai-wai-xi-jing/zh</x:v>
      </x:c>
      <x:c r="H1138" s="56" t="e">
        <x:f t="shared" si="7">HYPERLINK("#'山海经原文总库'!A3","↩ 返回目录")</x:f>
        <x:v>HYPERLINK is not implemented. linkLocation=#'山海经原文总库'!A3, friendlyName=↩ 返回目录</x:v>
      </x:c>
      <x:c r="I1138" s="437"/>
      <x:c r="J1138" s="437"/>
      <x:c r="K1138" s="437" t="str">
        <x:v>待同名检索｜待建档</x:v>
      </x:c>
    </x:row>
    <x:row r="1139" ht="48" customHeight="1">
      <x:c r="A1139" s="53" t="str">
        <x:v>SHJ-07-002-1</x:v>
      </x:c>
      <x:c r="B1139" s="53" t="str">
        <x:v>卷七 《海外西經》</x:v>
      </x:c>
      <x:c r="C1139" s="54" t="str">
        <x:v>三身國在夏後啓北，一首而三身。</x:v>
      </x:c>
      <x:c r="D1139" s="53"/>
      <x:c r="E1139" s="53"/>
      <x:c r="F1139" s="20"/>
      <x:c r="G1139" s="55" t="str">
        <x:v>标点与分段参考《山海经校注》；正文对读：https://ctext.org/shan-hai-jing/hai-wai-xi-jing/zh</x:v>
      </x:c>
      <x:c r="H1139" s="56" t="e">
        <x:f t="shared" si="7">HYPERLINK("#'山海经原文总库'!A3","↩ 返回目录")</x:f>
        <x:v>HYPERLINK is not implemented. linkLocation=#'山海经原文总库'!A3, friendlyName=↩ 返回目录</x:v>
      </x:c>
      <x:c r="I1139" s="437"/>
      <x:c r="J1139" s="437"/>
      <x:c r="K1139" s="437" t="str">
        <x:v>经文已收录｜非地点行</x:v>
      </x:c>
    </x:row>
    <x:row r="1140" ht="48" customHeight="1">
      <x:c r="A1140" s="53" t="str">
        <x:v>SHJ-07-002-2</x:v>
      </x:c>
      <x:c r="B1140" s="53" t="str">
        <x:v>卷七 《海外西經》</x:v>
      </x:c>
      <x:c r="C1140" s="54" t="str">
        <x:v>一臂國在其北，一臂一目一鼻孔。有黃馬虎文，一目而一手。</x:v>
      </x:c>
      <x:c r="D1140" s="53"/>
      <x:c r="E1140" s="53"/>
      <x:c r="F1140" s="20"/>
      <x:c r="G1140" s="55" t="str">
        <x:v>标点与分段参考《山海经校注》；正文对读：https://ctext.org/shan-hai-jing/hai-wai-xi-jing/zh</x:v>
      </x:c>
      <x:c r="H1140" s="56" t="e">
        <x:f t="shared" si="7">HYPERLINK("#'山海经原文总库'!A3","↩ 返回目录")</x:f>
        <x:v>HYPERLINK is not implemented. linkLocation=#'山海经原文总库'!A3, friendlyName=↩ 返回目录</x:v>
      </x:c>
      <x:c r="I1140" s="437"/>
      <x:c r="J1140" s="437"/>
      <x:c r="K1140" s="437" t="str">
        <x:v>经文已收录｜非地点行</x:v>
      </x:c>
    </x:row>
    <x:row r="1141" ht="48" customHeight="1">
      <x:c r="A1141" s="53" t="str">
        <x:v>SHJ-07-002-3</x:v>
      </x:c>
      <x:c r="B1141" s="53" t="str">
        <x:v>卷七 《海外西經》</x:v>
      </x:c>
      <x:c r="C1141" s="54" t="str">
        <x:v>奇肱之國在其北，其人一臂三目，有陰有陽，乘文馬。有鳥焉，兩頭，赤黃色，在其旁。</x:v>
      </x:c>
      <x:c r="D1141" s="53" t="str">
        <x:v>奇肱之國</x:v>
      </x:c>
      <x:c r="E1141" s="53" t="str">
        <x:v>國</x:v>
      </x:c>
      <x:c r="F1141" s="20"/>
      <x:c r="G1141" s="55" t="str">
        <x:v>标点与分段参考《山海经校注》；正文对读：https://ctext.org/shan-hai-jing/hai-wai-xi-jing/zh</x:v>
      </x:c>
      <x:c r="H1141" s="56" t="e">
        <x:f t="shared" si="7">HYPERLINK("#'山海经原文总库'!A3","↩ 返回目录")</x:f>
        <x:v>HYPERLINK is not implemented. linkLocation=#'山海经原文总库'!A3, friendlyName=↩ 返回目录</x:v>
      </x:c>
      <x:c r="I1141" s="437"/>
      <x:c r="J1141" s="437"/>
      <x:c r="K1141" s="437" t="str">
        <x:v>待同名检索｜待建档</x:v>
      </x:c>
    </x:row>
    <x:row r="1142" ht="48" customHeight="1">
      <x:c r="A1142" s="53" t="str">
        <x:v>SHJ-07-003-1</x:v>
      </x:c>
      <x:c r="B1142" s="53" t="str">
        <x:v>卷七 《海外西經》</x:v>
      </x:c>
      <x:c r="C1142" s="54" t="str">
        <x:v>形天與帝至此爭神，帝斷其首，葬之常羊之山，乃以乳為目，以臍為口，操乾戚以舞。</x:v>
      </x:c>
      <x:c r="D1142" s="53"/>
      <x:c r="E1142" s="53"/>
      <x:c r="F1142" s="20"/>
      <x:c r="G1142" s="55" t="str">
        <x:v>标点与分段参考《山海经校注》；正文对读：https://ctext.org/shan-hai-jing/hai-wai-xi-jing/zh</x:v>
      </x:c>
      <x:c r="H1142" s="56" t="e">
        <x:f t="shared" si="7">HYPERLINK("#'山海经原文总库'!A3","↩ 返回目录")</x:f>
        <x:v>HYPERLINK is not implemented. linkLocation=#'山海经原文总库'!A3, friendlyName=↩ 返回目录</x:v>
      </x:c>
      <x:c r="I1142" s="437"/>
      <x:c r="J1142" s="437"/>
      <x:c r="K1142" s="437" t="str">
        <x:v>经文已收录｜非地点行</x:v>
      </x:c>
    </x:row>
    <x:row r="1143" ht="48" customHeight="1">
      <x:c r="A1143" s="53" t="str">
        <x:v>SHJ-07-003-2</x:v>
      </x:c>
      <x:c r="B1143" s="53" t="str">
        <x:v>卷七 《海外西經》</x:v>
      </x:c>
      <x:c r="C1143" s="54" t="str">
        <x:v>女祭女戚在其北，居兩水閒，戚操魚？，祭操俎。</x:v>
      </x:c>
      <x:c r="D1143" s="53"/>
      <x:c r="E1143" s="53"/>
      <x:c r="F1143" s="20"/>
      <x:c r="G1143" s="55" t="str">
        <x:v>标点与分段参考《山海经校注》；正文对读：https://ctext.org/shan-hai-jing/hai-wai-xi-jing/zh</x:v>
      </x:c>
      <x:c r="H1143" s="56" t="e">
        <x:f t="shared" si="7">HYPERLINK("#'山海经原文总库'!A3","↩ 返回目录")</x:f>
        <x:v>HYPERLINK is not implemented. linkLocation=#'山海经原文总库'!A3, friendlyName=↩ 返回目录</x:v>
      </x:c>
      <x:c r="I1143" s="437"/>
      <x:c r="J1143" s="437"/>
      <x:c r="K1143" s="437" t="str">
        <x:v>经文已收录｜非地点行</x:v>
      </x:c>
    </x:row>
    <x:row r="1144" ht="48" customHeight="1">
      <x:c r="A1144" s="53" t="str">
        <x:v>SHJ-07-003-3</x:v>
      </x:c>
      <x:c r="B1144" s="53" t="str">
        <x:v>卷七 《海外西經》</x:v>
      </x:c>
      <x:c r="C1144" s="54" t="str">
        <x:v>（上次下鳥）鳥、（詹鳥）鳥，其色青黃，所經國亡。在女祭北。（上次下鳥）鳥人面，居山上。一曰維鳥，青鳥、黃鳥所集。</x:v>
      </x:c>
      <x:c r="D1144" s="53"/>
      <x:c r="E1144" s="53"/>
      <x:c r="F1144" s="20"/>
      <x:c r="G1144" s="55" t="str">
        <x:v>标点与分段参考《山海经校注》；正文对读：https://ctext.org/shan-hai-jing/hai-wai-xi-jing/zh</x:v>
      </x:c>
      <x:c r="H1144" s="56" t="e">
        <x:f t="shared" si="7">HYPERLINK("#'山海经原文总库'!A3","↩ 返回目录")</x:f>
        <x:v>HYPERLINK is not implemented. linkLocation=#'山海经原文总库'!A3, friendlyName=↩ 返回目录</x:v>
      </x:c>
      <x:c r="I1144" s="437"/>
      <x:c r="J1144" s="437"/>
      <x:c r="K1144" s="437" t="str">
        <x:v>经文已收录｜非地点行</x:v>
      </x:c>
    </x:row>
    <x:row r="1145" ht="48" customHeight="1">
      <x:c r="A1145" s="53" t="str">
        <x:v>SHJ-07-004</x:v>
      </x:c>
      <x:c r="B1145" s="53" t="str">
        <x:v>卷七 《海外西經》</x:v>
      </x:c>
      <x:c r="C1145" s="54" t="str">
        <x:v>丈夫國在維鳥北，其為人衣冠帶劍。</x:v>
      </x:c>
      <x:c r="D1145" s="53" t="str">
        <x:v>丈夫國</x:v>
      </x:c>
      <x:c r="E1145" s="53" t="str">
        <x:v>國家</x:v>
      </x:c>
      <x:c r="F1145" s="20"/>
      <x:c r="G1145" s="55" t="str">
        <x:v>标点与分段参考《山海经校注》；正文对读：https://ctext.org/shan-hai-jing/hai-wai-xi-jing/zh</x:v>
      </x:c>
      <x:c r="H1145" s="56" t="e">
        <x:f t="shared" si="7">HYPERLINK("#'山海经原文总库'!A3","↩ 返回目录")</x:f>
        <x:v>HYPERLINK is not implemented. linkLocation=#'山海经原文总库'!A3, friendlyName=↩ 返回目录</x:v>
      </x:c>
      <x:c r="I1145" s="437"/>
      <x:c r="J1145" s="437"/>
      <x:c r="K1145" s="437" t="str">
        <x:v>待同名检索｜待建档</x:v>
      </x:c>
    </x:row>
    <x:row r="1146" ht="48" customHeight="1">
      <x:c r="A1146" s="53" t="str">
        <x:v>SHJ-07-005</x:v>
      </x:c>
      <x:c r="B1146" s="53" t="str">
        <x:v>卷七 《海外西經》</x:v>
      </x:c>
      <x:c r="C1146" s="54" t="str">
        <x:v>女醜之屍，生而十日炙殺之。在丈夫北。以右手鄣其面。十日居上，女醜居山之上。</x:v>
      </x:c>
      <x:c r="D1146" s="53"/>
      <x:c r="E1146" s="53"/>
      <x:c r="F1146" s="20"/>
      <x:c r="G1146" s="55" t="str">
        <x:v>标点与分段参考《山海经校注》；正文对读：https://ctext.org/shan-hai-jing/hai-wai-xi-jing/zh</x:v>
      </x:c>
      <x:c r="H1146" s="56" t="e">
        <x:f t="shared" si="7">HYPERLINK("#'山海经原文总库'!A3","↩ 返回目录")</x:f>
        <x:v>HYPERLINK is not implemented. linkLocation=#'山海经原文总库'!A3, friendlyName=↩ 返回目录</x:v>
      </x:c>
      <x:c r="I1146" s="437"/>
      <x:c r="J1146" s="437"/>
      <x:c r="K1146" s="437" t="str">
        <x:v>经文已收录｜非地点行</x:v>
      </x:c>
    </x:row>
    <x:row r="1147" ht="48" customHeight="1">
      <x:c r="A1147" s="53" t="str">
        <x:v>SHJ-07-006-1</x:v>
      </x:c>
      <x:c r="B1147" s="53" t="str">
        <x:v>卷七 《海外西經》</x:v>
      </x:c>
      <x:c r="C1147" s="54" t="str">
        <x:v>巫咸國在女醜北，右手操青蛇，左手操赤蛇，在登葆山，群巫所從上下也。</x:v>
      </x:c>
      <x:c r="D1147" s="53" t="str">
        <x:v>巫咸國</x:v>
      </x:c>
      <x:c r="E1147" s="53" t="str">
        <x:v>國家</x:v>
      </x:c>
      <x:c r="F1147" s="20"/>
      <x:c r="G1147" s="55" t="str">
        <x:v>标点与分段参考《山海经校注》；正文对读：https://ctext.org/shan-hai-jing/hai-wai-xi-jing/zh</x:v>
      </x:c>
      <x:c r="H1147" s="56" t="e">
        <x:f t="shared" si="7">HYPERLINK("#'山海经原文总库'!A3","↩ 返回目录")</x:f>
        <x:v>HYPERLINK is not implemented. linkLocation=#'山海经原文总库'!A3, friendlyName=↩ 返回目录</x:v>
      </x:c>
      <x:c r="I1147" s="437"/>
      <x:c r="J1147" s="437"/>
      <x:c r="K1147" s="437" t="str">
        <x:v>待同名检索｜待建档</x:v>
      </x:c>
    </x:row>
    <x:row r="1148" ht="48" customHeight="1">
      <x:c r="A1148" s="53" t="str">
        <x:v>SHJ-07-006-2</x:v>
      </x:c>
      <x:c r="B1148" s="53" t="str">
        <x:v>卷七 《海外西經》</x:v>
      </x:c>
      <x:c r="C1148" s="54" t="str">
        <x:v>並封在巫咸東，其狀如彘，前後皆有首，黑。</x:v>
      </x:c>
      <x:c r="D1148" s="53"/>
      <x:c r="E1148" s="53"/>
      <x:c r="F1148" s="20"/>
      <x:c r="G1148" s="55" t="str">
        <x:v>标点与分段参考《山海经校注》；正文对读：https://ctext.org/shan-hai-jing/hai-wai-xi-jing/zh</x:v>
      </x:c>
      <x:c r="H1148" s="56" t="e">
        <x:f t="shared" si="7">HYPERLINK("#'山海经原文总库'!A3","↩ 返回目录")</x:f>
        <x:v>HYPERLINK is not implemented. linkLocation=#'山海经原文总库'!A3, friendlyName=↩ 返回目录</x:v>
      </x:c>
      <x:c r="I1148" s="437"/>
      <x:c r="J1148" s="437"/>
      <x:c r="K1148" s="437" t="str">
        <x:v>经文已收录｜非地点行</x:v>
      </x:c>
    </x:row>
    <x:row r="1149" ht="48" customHeight="1">
      <x:c r="A1149" s="53" t="str">
        <x:v>SHJ-07-007-1</x:v>
      </x:c>
      <x:c r="B1149" s="53" t="str">
        <x:v>卷七 《海外西經》</x:v>
      </x:c>
      <x:c r="C1149" s="54" t="str">
        <x:v>女子國在巫咸北，兩女子居，水周之。一曰居一門中。</x:v>
      </x:c>
      <x:c r="D1149" s="53" t="str">
        <x:v>女子國</x:v>
      </x:c>
      <x:c r="E1149" s="53" t="str">
        <x:v>國家</x:v>
      </x:c>
      <x:c r="F1149" s="20"/>
      <x:c r="G1149" s="55" t="str">
        <x:v>标点与分段参考《山海经校注》；正文对读：https://ctext.org/shan-hai-jing/hai-wai-xi-jing/zh</x:v>
      </x:c>
      <x:c r="H1149" s="56" t="e">
        <x:f t="shared" si="7">HYPERLINK("#'山海经原文总库'!A3","↩ 返回目录")</x:f>
        <x:v>HYPERLINK is not implemented. linkLocation=#'山海经原文总库'!A3, friendlyName=↩ 返回目录</x:v>
      </x:c>
      <x:c r="I1149" s="437"/>
      <x:c r="J1149" s="437"/>
      <x:c r="K1149" s="437" t="str">
        <x:v>待同名检索｜待建档</x:v>
      </x:c>
    </x:row>
    <x:row r="1150" ht="48" customHeight="1">
      <x:c r="A1150" s="53" t="str">
        <x:v>SHJ-07-007-2</x:v>
      </x:c>
      <x:c r="B1150" s="53" t="str">
        <x:v>卷七 《海外西經》</x:v>
      </x:c>
      <x:c r="C1150" s="54" t="str">
        <x:v>軒轅之國在此窮山之際，其不壽者八百歲。在女子國北。人面蛇身，尾交首上。</x:v>
      </x:c>
      <x:c r="D1150" s="53" t="str">
        <x:v>軒轅之國</x:v>
      </x:c>
      <x:c r="E1150" s="53" t="str">
        <x:v>國</x:v>
      </x:c>
      <x:c r="F1150" s="20"/>
      <x:c r="G1150" s="55" t="str">
        <x:v>标点与分段参考《山海经校注》；正文对读：https://ctext.org/shan-hai-jing/hai-wai-xi-jing/zh</x:v>
      </x:c>
      <x:c r="H1150" s="56" t="e">
        <x:f t="shared" si="7">HYPERLINK("#'山海经原文总库'!A3","↩ 返回目录")</x:f>
        <x:v>HYPERLINK is not implemented. linkLocation=#'山海经原文总库'!A3, friendlyName=↩ 返回目录</x:v>
      </x:c>
      <x:c r="I1150" s="437"/>
      <x:c r="J1150" s="437"/>
      <x:c r="K1150" s="437" t="str">
        <x:v>待同名检索｜待建档</x:v>
      </x:c>
    </x:row>
    <x:row r="1151" ht="48" customHeight="1">
      <x:c r="A1151" s="53" t="str">
        <x:v>SHJ-07-008</x:v>
      </x:c>
      <x:c r="B1151" s="53" t="str">
        <x:v>卷七 《海外西經》</x:v>
      </x:c>
      <x:c r="C1151" s="54" t="str">
        <x:v>窮山在其北，不敢西射，畏軒轅之丘。在軒轅國北。其丘方，四蛇相繞。</x:v>
      </x:c>
      <x:c r="D1151" s="53"/>
      <x:c r="E1151" s="53"/>
      <x:c r="F1151" s="20"/>
      <x:c r="G1151" s="55" t="str">
        <x:v>标点与分段参考《山海经校注》；正文对读：https://ctext.org/shan-hai-jing/hai-wai-xi-jing/zh</x:v>
      </x:c>
      <x:c r="H1151" s="56" t="e">
        <x:f t="shared" si="7">HYPERLINK("#'山海经原文总库'!A3","↩ 返回目录")</x:f>
        <x:v>HYPERLINK is not implemented. linkLocation=#'山海经原文总库'!A3, friendlyName=↩ 返回目录</x:v>
      </x:c>
      <x:c r="I1151" s="437"/>
      <x:c r="J1151" s="437"/>
      <x:c r="K1151" s="437" t="str">
        <x:v>经文已收录｜非地点行</x:v>
      </x:c>
    </x:row>
    <x:row r="1152" ht="48" customHeight="1">
      <x:c r="A1152" s="53" t="str">
        <x:v>SHJ-07-009-1</x:v>
      </x:c>
      <x:c r="B1152" s="53" t="str">
        <x:v>卷七 《海外西經》</x:v>
      </x:c>
      <x:c r="C1152" s="54" t="str">
        <x:v>此諸夭之野，鸞鳥自歌，鳳鳥自舞；鳳皇卵，民食之；甘露，民飲之，所欲自從也。百獸相與群居。在四蛇北。其人兩手操卵食之，兩鳥居前導之。</x:v>
      </x:c>
      <x:c r="D1152" s="53"/>
      <x:c r="E1152" s="53"/>
      <x:c r="F1152" s="20"/>
      <x:c r="G1152" s="55" t="str">
        <x:v>标点与分段参考《山海经校注》；正文对读：https://ctext.org/shan-hai-jing/hai-wai-xi-jing/zh</x:v>
      </x:c>
      <x:c r="H1152" s="56" t="e">
        <x:f t="shared" si="7">HYPERLINK("#'山海经原文总库'!A3","↩ 返回目录")</x:f>
        <x:v>HYPERLINK is not implemented. linkLocation=#'山海经原文总库'!A3, friendlyName=↩ 返回目录</x:v>
      </x:c>
      <x:c r="I1152" s="437"/>
      <x:c r="J1152" s="437"/>
      <x:c r="K1152" s="437" t="str">
        <x:v>经文已收录｜非地点行</x:v>
      </x:c>
    </x:row>
    <x:row r="1153" ht="48" customHeight="1">
      <x:c r="A1153" s="53" t="str">
        <x:v>SHJ-07-009-2</x:v>
      </x:c>
      <x:c r="B1153" s="53" t="str">
        <x:v>卷七 《海外西經》</x:v>
      </x:c>
      <x:c r="C1153" s="54" t="str">
        <x:v>龍魚陵居在其北，狀如狸。一曰？。即有神聖乘此以行九野。一曰鱉魚在夭野北，其為魚也如鯉。</x:v>
      </x:c>
      <x:c r="D1153" s="53" t="str">
        <x:v>即有神聖乘此以行九野</x:v>
      </x:c>
      <x:c r="E1153" s="53" t="str">
        <x:v>區域</x:v>
      </x:c>
      <x:c r="F1153" s="20"/>
      <x:c r="G1153" s="55" t="str">
        <x:v>标点与分段参考《山海经校注》；正文对读：https://ctext.org/shan-hai-jing/hai-wai-xi-jing/zh</x:v>
      </x:c>
      <x:c r="H1153" s="56" t="e">
        <x:f t="shared" si="7">HYPERLINK("#'山海经原文总库'!A3","↩ 返回目录")</x:f>
        <x:v>HYPERLINK is not implemented. linkLocation=#'山海经原文总库'!A3, friendlyName=↩ 返回目录</x:v>
      </x:c>
      <x:c r="I1153" s="437"/>
      <x:c r="J1153" s="437"/>
      <x:c r="K1153" s="437" t="str">
        <x:v>待同名检索｜待建档</x:v>
      </x:c>
    </x:row>
    <x:row r="1154" ht="48" customHeight="1">
      <x:c r="A1154" s="53" t="str">
        <x:v>SHJ-07-010</x:v>
      </x:c>
      <x:c r="B1154" s="53" t="str">
        <x:v>卷七 《海外西經》</x:v>
      </x:c>
      <x:c r="C1154" s="54" t="str">
        <x:v>白民之國在龍魚北，白身被發。有乘黃，其狀如狐，其背上有角，乘之壽二千歲。</x:v>
      </x:c>
      <x:c r="D1154" s="53" t="str">
        <x:v>白民之國</x:v>
      </x:c>
      <x:c r="E1154" s="53" t="str">
        <x:v>國</x:v>
      </x:c>
      <x:c r="F1154" s="20"/>
      <x:c r="G1154" s="55" t="str">
        <x:v>标点与分段参考《山海经校注》；正文对读：https://ctext.org/shan-hai-jing/hai-wai-xi-jing/zh</x:v>
      </x:c>
      <x:c r="H1154" s="56" t="e">
        <x:f t="shared" si="7">HYPERLINK("#'山海经原文总库'!A3","↩ 返回目录")</x:f>
        <x:v>HYPERLINK is not implemented. linkLocation=#'山海经原文总库'!A3, friendlyName=↩ 返回目录</x:v>
      </x:c>
      <x:c r="I1154" s="437"/>
      <x:c r="J1154" s="437"/>
      <x:c r="K1154" s="437" t="str">
        <x:v>待同名检索｜待建档</x:v>
      </x:c>
    </x:row>
    <x:row r="1155" ht="48" customHeight="1">
      <x:c r="A1155" s="53" t="str">
        <x:v>SHJ-07-011-1</x:v>
      </x:c>
      <x:c r="B1155" s="53" t="str">
        <x:v>卷七 《海外西經》</x:v>
      </x:c>
      <x:c r="C1155" s="54" t="str">
        <x:v>肅慎之國在白民北，有樹名曰雄常，先入伐帝，於此取之。</x:v>
      </x:c>
      <x:c r="D1155" s="53" t="str">
        <x:v>肅慎之國</x:v>
      </x:c>
      <x:c r="E1155" s="53" t="str">
        <x:v>國</x:v>
      </x:c>
      <x:c r="F1155" s="20"/>
      <x:c r="G1155" s="55" t="str">
        <x:v>标点与分段参考《山海经校注》；正文对读：https://ctext.org/shan-hai-jing/hai-wai-xi-jing/zh</x:v>
      </x:c>
      <x:c r="H1155" s="56" t="e">
        <x:f t="shared" si="7">HYPERLINK("#'山海经原文总库'!A3","↩ 返回目录")</x:f>
        <x:v>HYPERLINK is not implemented. linkLocation=#'山海经原文总库'!A3, friendlyName=↩ 返回目录</x:v>
      </x:c>
      <x:c r="I1155" s="437"/>
      <x:c r="J1155" s="437"/>
      <x:c r="K1155" s="437" t="str">
        <x:v>待同名检索｜待建档</x:v>
      </x:c>
    </x:row>
    <x:row r="1156" ht="48" customHeight="1">
      <x:c r="A1156" s="53" t="str">
        <x:v>SHJ-07-011-2</x:v>
      </x:c>
      <x:c r="B1156" s="53" t="str">
        <x:v>卷七 《海外西經》</x:v>
      </x:c>
      <x:c r="C1156" s="54" t="str">
        <x:v>長股之國在雄常北，被發。一曰長腳。</x:v>
      </x:c>
      <x:c r="D1156" s="53" t="str">
        <x:v>長股之國</x:v>
      </x:c>
      <x:c r="E1156" s="53" t="str">
        <x:v>國</x:v>
      </x:c>
      <x:c r="F1156" s="20"/>
      <x:c r="G1156" s="55" t="str">
        <x:v>标点与分段参考《山海经校注》；正文对读：https://ctext.org/shan-hai-jing/hai-wai-xi-jing/zh</x:v>
      </x:c>
      <x:c r="H1156" s="56" t="e">
        <x:f t="shared" si="7">HYPERLINK("#'山海经原文总库'!A3","↩ 返回目录")</x:f>
        <x:v>HYPERLINK is not implemented. linkLocation=#'山海经原文总库'!A3, friendlyName=↩ 返回目录</x:v>
      </x:c>
      <x:c r="I1156" s="437"/>
      <x:c r="J1156" s="437"/>
      <x:c r="K1156" s="437" t="str">
        <x:v>待同名检索｜待建档</x:v>
      </x:c>
    </x:row>
    <x:row r="1157" ht="48" customHeight="1">
      <x:c r="A1157" s="53" t="str">
        <x:v>SHJ-07-011-3</x:v>
      </x:c>
      <x:c r="B1157" s="53" t="str">
        <x:v>卷七 《海外西經》</x:v>
      </x:c>
      <x:c r="C1157" s="54" t="str">
        <x:v>西方蓐收，左耳有蛇，乘兩龍。</x:v>
      </x:c>
      <x:c r="D1157" s="53"/>
      <x:c r="E1157" s="53"/>
      <x:c r="F1157" s="20"/>
      <x:c r="G1157" s="55" t="str">
        <x:v>标点与分段参考《山海经校注》；正文对读：https://ctext.org/shan-hai-jing/hai-wai-xi-jing/zh</x:v>
      </x:c>
      <x:c r="H1157" s="56" t="e">
        <x:f t="shared" si="7">HYPERLINK("#'山海经原文总库'!A3","↩ 返回目录")</x:f>
        <x:v>HYPERLINK is not implemented. linkLocation=#'山海经原文总库'!A3, friendlyName=↩ 返回目录</x:v>
      </x:c>
      <x:c r="I1157" s="437"/>
      <x:c r="J1157" s="437"/>
      <x:c r="K1157" s="437" t="str">
        <x:v>经文已收录｜非地点行</x:v>
      </x:c>
    </x:row>
    <x:row r="1158" ht="48" customHeight="1">
      <x:c r="A1158" s="57" t="str">
        <x:v>SHJ-08-001-1</x:v>
      </x:c>
      <x:c r="B1158" s="57" t="str">
        <x:v>卷八 《海外北經》</x:v>
      </x:c>
      <x:c r="C1158" s="58" t="str">
        <x:v>海外自東北陬至西北陬者。</x:v>
      </x:c>
      <x:c r="D1158" s="57"/>
      <x:c r="E1158" s="57"/>
      <x:c r="F1158" s="21"/>
      <x:c r="G1158" s="59" t="str">
        <x:v>标点与分段参考《山海经校注》；正文对读：https://ctext.org/shan-hai-jing/hai-wai-bei-jing/zh</x:v>
      </x:c>
      <x:c r="H1158" s="60" t="e">
        <x:f t="shared" si="7">HYPERLINK("#'山海经原文总库'!A3","↩ 返回目录")</x:f>
        <x:v>HYPERLINK is not implemented. linkLocation=#'山海经原文总库'!A3, friendlyName=↩ 返回目录</x:v>
      </x:c>
      <x:c r="I1158" s="437"/>
      <x:c r="J1158" s="437"/>
      <x:c r="K1158" s="437" t="str">
        <x:v>经文已收录｜非地点行</x:v>
      </x:c>
    </x:row>
    <x:row r="1159" ht="48" customHeight="1">
      <x:c r="A1159" s="57" t="str">
        <x:v>SHJ-08-001-2</x:v>
      </x:c>
      <x:c r="B1159" s="57" t="str">
        <x:v>卷八 《海外北經》</x:v>
      </x:c>
      <x:c r="C1159" s="58" t="str">
        <x:v>無綮之國在長股東，為人無綮。</x:v>
      </x:c>
      <x:c r="D1159" s="57"/>
      <x:c r="E1159" s="57"/>
      <x:c r="F1159" s="21"/>
      <x:c r="G1159" s="59" t="str">
        <x:v>标点与分段参考《山海经校注》；正文对读：https://ctext.org/shan-hai-jing/hai-wai-bei-jing/zh</x:v>
      </x:c>
      <x:c r="H1159" s="60" t="e">
        <x:f t="shared" si="7">HYPERLINK("#'山海经原文总库'!A3","↩ 返回目录")</x:f>
        <x:v>HYPERLINK is not implemented. linkLocation=#'山海经原文总库'!A3, friendlyName=↩ 返回目录</x:v>
      </x:c>
      <x:c r="I1159" s="437"/>
      <x:c r="J1159" s="437"/>
      <x:c r="K1159" s="437" t="str">
        <x:v>经文已收录｜非地点行</x:v>
      </x:c>
    </x:row>
    <x:row r="1160" ht="48" customHeight="1">
      <x:c r="A1160" s="57" t="str">
        <x:v>SHJ-08-001-3</x:v>
      </x:c>
      <x:c r="B1160" s="57" t="str">
        <x:v>卷八 《海外北經》</x:v>
      </x:c>
      <x:c r="C1160" s="58" t="str">
        <x:v>鍾山之神，名曰燭陰，視為晝，瞑為夜，吹為冬，呼為夏，不飲，不食，不息，息為風，身長千里。在無綮之東。其為物，人面，蛇身，赤色，居鍾山下。</x:v>
      </x:c>
      <x:c r="D1160" s="57"/>
      <x:c r="E1160" s="57"/>
      <x:c r="F1160" s="21"/>
      <x:c r="G1160" s="59" t="str">
        <x:v>标点与分段参考《山海经校注》；正文对读：https://ctext.org/shan-hai-jing/hai-wai-bei-jing/zh</x:v>
      </x:c>
      <x:c r="H1160" s="60" t="e">
        <x:f t="shared" si="7">HYPERLINK("#'山海经原文总库'!A3","↩ 返回目录")</x:f>
        <x:v>HYPERLINK is not implemented. linkLocation=#'山海经原文总库'!A3, friendlyName=↩ 返回目录</x:v>
      </x:c>
      <x:c r="I1160" s="437"/>
      <x:c r="J1160" s="437"/>
      <x:c r="K1160" s="437" t="str">
        <x:v>经文已收录｜非地点行</x:v>
      </x:c>
    </x:row>
    <x:row r="1161" ht="48" customHeight="1">
      <x:c r="A1161" s="57" t="str">
        <x:v>SHJ-08-002-1</x:v>
      </x:c>
      <x:c r="B1161" s="57" t="str">
        <x:v>卷八 《海外北經》</x:v>
      </x:c>
      <x:c r="C1161" s="58" t="str">
        <x:v>一目國在其東，一目中其面而居。一曰有手足。</x:v>
      </x:c>
      <x:c r="D1161" s="57" t="str">
        <x:v>一目國</x:v>
      </x:c>
      <x:c r="E1161" s="57" t="str">
        <x:v>國家</x:v>
      </x:c>
      <x:c r="F1161" s="21"/>
      <x:c r="G1161" s="59" t="str">
        <x:v>标点与分段参考《山海经校注》；正文对读：https://ctext.org/shan-hai-jing/hai-wai-bei-jing/zh</x:v>
      </x:c>
      <x:c r="H1161" s="60" t="e">
        <x:f t="shared" si="7">HYPERLINK("#'山海经原文总库'!A3","↩ 返回目录")</x:f>
        <x:v>HYPERLINK is not implemented. linkLocation=#'山海经原文总库'!A3, friendlyName=↩ 返回目录</x:v>
      </x:c>
      <x:c r="I1161" s="437"/>
      <x:c r="J1161" s="437"/>
      <x:c r="K1161" s="437" t="str">
        <x:v>待同名检索｜待建档</x:v>
      </x:c>
    </x:row>
    <x:row r="1162" ht="48" customHeight="1">
      <x:c r="A1162" s="57" t="str">
        <x:v>SHJ-08-002-2</x:v>
      </x:c>
      <x:c r="B1162" s="57" t="str">
        <x:v>卷八 《海外北經》</x:v>
      </x:c>
      <x:c r="C1162" s="58" t="str">
        <x:v>柔利國在一目東，為人一手一足，反，曲足居上。一雲留利之國，人足反折。</x:v>
      </x:c>
      <x:c r="D1162" s="57" t="str">
        <x:v>一雲留利之國</x:v>
      </x:c>
      <x:c r="E1162" s="57" t="str">
        <x:v>國</x:v>
      </x:c>
      <x:c r="F1162" s="21"/>
      <x:c r="G1162" s="59" t="str">
        <x:v>标点与分段参考《山海经校注》；正文对读：https://ctext.org/shan-hai-jing/hai-wai-bei-jing/zh</x:v>
      </x:c>
      <x:c r="H1162" s="60" t="e">
        <x:f t="shared" si="7">HYPERLINK("#'山海经原文总库'!A3","↩ 返回目录")</x:f>
        <x:v>HYPERLINK is not implemented. linkLocation=#'山海经原文总库'!A3, friendlyName=↩ 返回目录</x:v>
      </x:c>
      <x:c r="I1162" s="437"/>
      <x:c r="J1162" s="437"/>
      <x:c r="K1162" s="437" t="str">
        <x:v>待同名检索｜待建档</x:v>
      </x:c>
    </x:row>
    <x:row r="1163" ht="64.5" customHeight="1">
      <x:c r="A1163" s="57" t="str">
        <x:v>SHJ-08-003</x:v>
      </x:c>
      <x:c r="B1163" s="57" t="str">
        <x:v>卷八 《海外北經》</x:v>
      </x:c>
      <x:c r="C1163" s="58" t="str">
        <x:v>共工之臣曰相柳氏，九首，以食於九山。相柳之所抵，厥為澤溪。禹殺相柳，其血腥，不可以樹五穀種。禹厥之，三仞三沮，乃以為眾帝之台。在崑崙之北，柔利之東。相柳者，九首人面，蛇身而青。不敢北射，畏共工之台。台在其東。台四方，隅有一蛇，虎色，首衝南方。</x:v>
      </x:c>
      <x:c r="D1163" s="57" t="str">
        <x:v>厥為澤</x:v>
      </x:c>
      <x:c r="E1163" s="57" t="str">
        <x:v>澤／淵</x:v>
      </x:c>
      <x:c r="F1163" s="21"/>
      <x:c r="G1163" s="59" t="str">
        <x:v>标点与分段参考《山海经校注》；正文对读：https://ctext.org/shan-hai-jing/hai-wai-bei-jing/zh</x:v>
      </x:c>
      <x:c r="H1163" s="60" t="e">
        <x:f t="shared" si="7">HYPERLINK("#'山海经原文总库'!A3","↩ 返回目录")</x:f>
        <x:v>HYPERLINK is not implemented. linkLocation=#'山海经原文总库'!A3, friendlyName=↩ 返回目录</x:v>
      </x:c>
      <x:c r="I1163" s="437"/>
      <x:c r="J1163" s="437"/>
      <x:c r="K1163" s="437" t="str">
        <x:v>待同名检索｜待建档</x:v>
      </x:c>
    </x:row>
    <x:row r="1164" ht="22.5" customHeight="1">
      <x:c r="A1164" s="57"/>
      <x:c r="B1164" s="57"/>
      <x:c r="C1164" s="58"/>
      <x:c r="D1164" s="57" t="str">
        <x:v>乃以為眾帝之台</x:v>
      </x:c>
      <x:c r="E1164" s="57" t="str">
        <x:v>聚落／區域</x:v>
      </x:c>
      <x:c r="F1164" s="21"/>
      <x:c r="G1164" s="59"/>
      <x:c r="H1164" s="60" t="e">
        <x:f>HYPERLINK("#'山海经原文总库'!A3","↩ 返回目录")</x:f>
        <x:v>HYPERLINK is not implemented. linkLocation=#'山海经原文总库'!A3, friendlyName=↩ 返回目录</x:v>
      </x:c>
      <x:c r="I1164" s="437"/>
      <x:c r="J1164" s="437"/>
      <x:c r="K1164" s="437" t="str">
        <x:v>待同名检索｜待建档</x:v>
      </x:c>
    </x:row>
    <x:row r="1165" ht="22.5" customHeight="1">
      <x:c r="A1165" s="57"/>
      <x:c r="B1165" s="57"/>
      <x:c r="C1165" s="58"/>
      <x:c r="D1165" s="57" t="str">
        <x:v>畏共工之台</x:v>
      </x:c>
      <x:c r="E1165" s="57" t="str">
        <x:v>聚落／區域</x:v>
      </x:c>
      <x:c r="F1165" s="21"/>
      <x:c r="G1165" s="59"/>
      <x:c r="H1165" s="60" t="e">
        <x:f>HYPERLINK("#'山海经原文总库'!A3","↩ 返回目录")</x:f>
        <x:v>HYPERLINK is not implemented. linkLocation=#'山海经原文总库'!A3, friendlyName=↩ 返回目录</x:v>
      </x:c>
      <x:c r="I1165" s="437"/>
      <x:c r="J1165" s="437"/>
      <x:c r="K1165" s="437" t="str">
        <x:v>待同名检索｜待建档</x:v>
      </x:c>
    </x:row>
    <x:row r="1166" ht="48" customHeight="1">
      <x:c r="A1166" s="57" t="str">
        <x:v>SHJ-08-004</x:v>
      </x:c>
      <x:c r="B1166" s="57" t="str">
        <x:v>卷八 《海外北經》</x:v>
      </x:c>
      <x:c r="C1166" s="58" t="str">
        <x:v>深目國在其東，為人舉一手一目，在共工台東。</x:v>
      </x:c>
      <x:c r="D1166" s="57" t="str">
        <x:v>共工台</x:v>
      </x:c>
      <x:c r="E1166" s="57" t="str">
        <x:v>聚落／區域</x:v>
      </x:c>
      <x:c r="F1166" s="21"/>
      <x:c r="G1166" s="59" t="str">
        <x:v>标点与分段参考《山海经校注》；正文对读：https://ctext.org/shan-hai-jing/hai-wai-bei-jing/zh</x:v>
      </x:c>
      <x:c r="H1166" s="60" t="e">
        <x:f>HYPERLINK("#'山海经原文总库'!A3","↩ 返回目录")</x:f>
        <x:v>HYPERLINK is not implemented. linkLocation=#'山海经原文总库'!A3, friendlyName=↩ 返回目录</x:v>
      </x:c>
      <x:c r="I1166" s="437"/>
      <x:c r="J1166" s="437"/>
      <x:c r="K1166" s="437" t="str">
        <x:v>待同名检索｜待建档</x:v>
      </x:c>
    </x:row>
    <x:row r="1167" ht="22.5" customHeight="1">
      <x:c r="A1167" s="57"/>
      <x:c r="B1167" s="57"/>
      <x:c r="C1167" s="58"/>
      <x:c r="D1167" s="57" t="str">
        <x:v>深目國</x:v>
      </x:c>
      <x:c r="E1167" s="57" t="str">
        <x:v>國家</x:v>
      </x:c>
      <x:c r="F1167" s="21"/>
      <x:c r="G1167" s="59"/>
      <x:c r="H1167" s="60" t="e">
        <x:f>HYPERLINK("#'山海经原文总库'!A3","↩ 返回目录")</x:f>
        <x:v>HYPERLINK is not implemented. linkLocation=#'山海经原文总库'!A3, friendlyName=↩ 返回目录</x:v>
      </x:c>
      <x:c r="I1167" s="437"/>
      <x:c r="J1167" s="437"/>
      <x:c r="K1167" s="437" t="str">
        <x:v>待同名检索｜待建档</x:v>
      </x:c>
    </x:row>
    <x:row r="1168" ht="48" customHeight="1">
      <x:c r="A1168" s="57" t="str">
        <x:v>SHJ-08-005</x:v>
      </x:c>
      <x:c r="B1168" s="57" t="str">
        <x:v>卷八 《海外北經》</x:v>
      </x:c>
      <x:c r="C1168" s="58" t="str">
        <x:v>無腸之國在深目東，其為人長而無腸。</x:v>
      </x:c>
      <x:c r="D1168" s="57"/>
      <x:c r="E1168" s="57"/>
      <x:c r="F1168" s="21"/>
      <x:c r="G1168" s="59" t="str">
        <x:v>标点与分段参考《山海经校注》；正文对读：https://ctext.org/shan-hai-jing/hai-wai-bei-jing/zh</x:v>
      </x:c>
      <x:c r="H1168" s="60" t="e">
        <x:f>HYPERLINK("#'山海经原文总库'!A3","↩ 返回目录")</x:f>
        <x:v>HYPERLINK is not implemented. linkLocation=#'山海经原文总库'!A3, friendlyName=↩ 返回目录</x:v>
      </x:c>
      <x:c r="I1168" s="437"/>
      <x:c r="J1168" s="437"/>
      <x:c r="K1168" s="437" t="str">
        <x:v>经文已收录｜非地点行</x:v>
      </x:c>
    </x:row>
    <x:row r="1169" ht="48" customHeight="1">
      <x:c r="A1169" s="57" t="str">
        <x:v>SHJ-08-006</x:v>
      </x:c>
      <x:c r="B1169" s="57" t="str">
        <x:v>卷八 《海外北經》</x:v>
      </x:c>
      <x:c r="C1169" s="58" t="str">
        <x:v>聶耳之國在無腸國東，使兩文虎，為人兩手聶其耳。縣居海水中，及水所出入奇物。兩虎在其東。</x:v>
      </x:c>
      <x:c r="D1169" s="57" t="str">
        <x:v>聶耳之國</x:v>
      </x:c>
      <x:c r="E1169" s="57" t="str">
        <x:v>國</x:v>
      </x:c>
      <x:c r="F1169" s="21"/>
      <x:c r="G1169" s="59" t="str">
        <x:v>标点与分段参考《山海经校注》；正文对读：https://ctext.org/shan-hai-jing/hai-wai-bei-jing/zh</x:v>
      </x:c>
      <x:c r="H1169" s="60" t="e">
        <x:f>HYPERLINK("#'山海经原文总库'!A3","↩ 返回目录")</x:f>
        <x:v>HYPERLINK is not implemented. linkLocation=#'山海经原文总库'!A3, friendlyName=↩ 返回目录</x:v>
      </x:c>
      <x:c r="I1169" s="437"/>
      <x:c r="J1169" s="437"/>
      <x:c r="K1169" s="437" t="str">
        <x:v>待同名检索｜待建档</x:v>
      </x:c>
    </x:row>
    <x:row r="1170" ht="48" customHeight="1">
      <x:c r="A1170" s="57" t="str">
        <x:v>SHJ-08-007</x:v>
      </x:c>
      <x:c r="B1170" s="57" t="str">
        <x:v>卷八 《海外北經》</x:v>
      </x:c>
      <x:c r="C1170" s="58" t="str">
        <x:v>誇父與日逐走，入日。渴欲得飲，飲於河渭；河渭不足，北飲大澤。未至，道渴而死。？其杖，化為鄧林。</x:v>
      </x:c>
      <x:c r="D1170" s="57" t="str">
        <x:v>飲大澤</x:v>
      </x:c>
      <x:c r="E1170" s="57" t="str">
        <x:v>澤／淵</x:v>
      </x:c>
      <x:c r="F1170" s="21"/>
      <x:c r="G1170" s="59" t="str">
        <x:v>标点与分段参考《山海经校注》；正文对读：https://ctext.org/shan-hai-jing/hai-wai-bei-jing/zh</x:v>
      </x:c>
      <x:c r="H1170" s="60" t="e">
        <x:f>HYPERLINK("#'山海经原文总库'!A3","↩ 返回目录")</x:f>
        <x:v>HYPERLINK is not implemented. linkLocation=#'山海经原文总库'!A3, friendlyName=↩ 返回目录</x:v>
      </x:c>
      <x:c r="I1170" s="437"/>
      <x:c r="J1170" s="437"/>
      <x:c r="K1170" s="437" t="str">
        <x:v>待同名检索｜待建档</x:v>
      </x:c>
    </x:row>
    <x:row r="1171" ht="22.5" customHeight="1">
      <x:c r="A1171" s="57"/>
      <x:c r="B1171" s="57"/>
      <x:c r="C1171" s="58"/>
      <x:c r="D1171" s="57" t="str">
        <x:v>化為鄧林</x:v>
      </x:c>
      <x:c r="E1171" s="57" t="str">
        <x:v>區域</x:v>
      </x:c>
      <x:c r="F1171" s="21"/>
      <x:c r="G1171" s="59"/>
      <x:c r="H1171" s="60" t="e">
        <x:f>HYPERLINK("#'山海经原文总库'!A3","↩ 返回目录")</x:f>
        <x:v>HYPERLINK is not implemented. linkLocation=#'山海经原文总库'!A3, friendlyName=↩ 返回目录</x:v>
      </x:c>
      <x:c r="I1171" s="437"/>
      <x:c r="J1171" s="437"/>
      <x:c r="K1171" s="437" t="str">
        <x:v>待同名检索｜待建档</x:v>
      </x:c>
    </x:row>
    <x:row r="1172" ht="48" customHeight="1">
      <x:c r="A1172" s="57" t="str">
        <x:v>SHJ-08-008</x:v>
      </x:c>
      <x:c r="B1172" s="57" t="str">
        <x:v>卷八 《海外北經》</x:v>
      </x:c>
      <x:c r="C1172" s="58" t="str">
        <x:v>博父國在聶耳東，其為人大，右手操青蛇，左手操黃蛇。鄧林在其東，二樹木。一曰博父。</x:v>
      </x:c>
      <x:c r="D1172" s="57" t="str">
        <x:v>鄧林</x:v>
      </x:c>
      <x:c r="E1172" s="57" t="str">
        <x:v>區域</x:v>
      </x:c>
      <x:c r="F1172" s="21"/>
      <x:c r="G1172" s="59" t="str">
        <x:v>标点与分段参考《山海经校注》；正文对读：https://ctext.org/shan-hai-jing/hai-wai-bei-jing/zh</x:v>
      </x:c>
      <x:c r="H1172" s="60" t="e">
        <x:f>HYPERLINK("#'山海经原文总库'!A3","↩ 返回目录")</x:f>
        <x:v>HYPERLINK is not implemented. linkLocation=#'山海经原文总库'!A3, friendlyName=↩ 返回目录</x:v>
      </x:c>
      <x:c r="I1172" s="437"/>
      <x:c r="J1172" s="437"/>
      <x:c r="K1172" s="437" t="str">
        <x:v>待同名检索｜待建档</x:v>
      </x:c>
    </x:row>
    <x:row r="1173" ht="22.5" customHeight="1">
      <x:c r="A1173" s="57"/>
      <x:c r="B1173" s="57"/>
      <x:c r="C1173" s="58"/>
      <x:c r="D1173" s="57" t="str">
        <x:v>博父國</x:v>
      </x:c>
      <x:c r="E1173" s="57" t="str">
        <x:v>國家</x:v>
      </x:c>
      <x:c r="F1173" s="21"/>
      <x:c r="G1173" s="59"/>
      <x:c r="H1173" s="60" t="e">
        <x:f>HYPERLINK("#'山海经原文总库'!A3","↩ 返回目录")</x:f>
        <x:v>HYPERLINK is not implemented. linkLocation=#'山海经原文总库'!A3, friendlyName=↩ 返回目录</x:v>
      </x:c>
      <x:c r="I1173" s="437"/>
      <x:c r="J1173" s="437"/>
      <x:c r="K1173" s="437" t="str">
        <x:v>待同名检索｜待建档</x:v>
      </x:c>
    </x:row>
    <x:row r="1174" ht="48" customHeight="1">
      <x:c r="A1174" s="57" t="str">
        <x:v>SHJ-08-009</x:v>
      </x:c>
      <x:c r="B1174" s="57" t="str">
        <x:v>卷八 《海外北經》</x:v>
      </x:c>
      <x:c r="C1174" s="58" t="str">
        <x:v>手操黄蛇鄧林在，其東二樹木。一曰博父禹。</x:v>
      </x:c>
      <x:c r="D1174" s="57" t="str">
        <x:v>手操黄蛇鄧林</x:v>
      </x:c>
      <x:c r="E1174" s="57" t="str">
        <x:v>區域</x:v>
      </x:c>
      <x:c r="F1174" s="21"/>
      <x:c r="G1174" s="59" t="str">
        <x:v>标点与分段参考《山海经校注》；正文对读：https://ctext.org/shan-hai-jing/hai-wai-bei-jing/zh</x:v>
      </x:c>
      <x:c r="H1174" s="60" t="e">
        <x:f t="shared" ref="H1174:H1181" si="8">HYPERLINK("#'山海经原文总库'!A3","↩ 返回目录")</x:f>
        <x:v>HYPERLINK is not implemented. linkLocation=#'山海经原文总库'!A3, friendlyName=↩ 返回目录</x:v>
      </x:c>
      <x:c r="I1174" s="437"/>
      <x:c r="J1174" s="437"/>
      <x:c r="K1174" s="437" t="str">
        <x:v>待同名检索｜待建档</x:v>
      </x:c>
    </x:row>
    <x:row r="1175" ht="48" customHeight="1">
      <x:c r="A1175" s="57" t="str">
        <x:v>SHJ-08-010-1</x:v>
      </x:c>
      <x:c r="B1175" s="57" t="str">
        <x:v>卷八 《海外北經》</x:v>
      </x:c>
      <x:c r="C1175" s="58" t="str">
        <x:v>禹所積石之山在其東，河水所入。</x:v>
      </x:c>
      <x:c r="D1175" s="57" t="str">
        <x:v>所積石之山</x:v>
      </x:c>
      <x:c r="E1175" s="57" t="str">
        <x:v>山</x:v>
      </x:c>
      <x:c r="F1175" s="21" t="e">
        <x:f>HYPERLINK("#'都广核心区总表'!B88","→ 查看条目")</x:f>
        <x:v>HYPERLINK is not implemented. linkLocation=#'都广核心区总表'!B88, friendlyName=→ 查看条目</x:v>
      </x:c>
      <x:c r="G1175" s="59" t="str">
        <x:v>标点与分段参考《山海经校注》；正文对读：https://ctext.org/shan-hai-jing/hai-wai-bei-jing/zh</x:v>
      </x:c>
      <x:c r="H1175" s="60" t="e">
        <x:f t="shared" si="8">HYPERLINK("#'山海经原文总库'!A3","↩ 返回目录")</x:f>
        <x:v>HYPERLINK is not implemented. linkLocation=#'山海经原文总库'!A3, friendlyName=↩ 返回目录</x:v>
      </x:c>
      <x:c r="I1175" s="437" t="str">
        <x:v>是</x:v>
      </x:c>
      <x:c r="J1175" s="437" t="str">
        <x:v>总表第88行｜X=-820.7里，Y=+1279.3里（-8.2，+12.8格）｜河水入积石关系锁定；在先槛大逢山西锁定</x:v>
      </x:c>
      <x:c r="K1175" s="437" t="str">
        <x:v>已检索｜已建档</x:v>
      </x:c>
    </x:row>
    <x:row r="1176" ht="48" customHeight="1">
      <x:c r="A1176" s="57" t="str">
        <x:v>SHJ-08-010-2</x:v>
      </x:c>
      <x:c r="B1176" s="57" t="str">
        <x:v>卷八 《海外北經》</x:v>
      </x:c>
      <x:c r="C1176" s="58" t="str">
        <x:v>拘纓之國在其東，一手把纓。一曰利纓之國。</x:v>
      </x:c>
      <x:c r="D1176" s="57" t="str">
        <x:v>拘纓之國</x:v>
      </x:c>
      <x:c r="E1176" s="57" t="str">
        <x:v>國</x:v>
      </x:c>
      <x:c r="F1176" s="21"/>
      <x:c r="G1176" s="59" t="str">
        <x:v>标点与分段参考《山海经校注》；正文对读：https://ctext.org/shan-hai-jing/hai-wai-bei-jing/zh</x:v>
      </x:c>
      <x:c r="H1176" s="60" t="e">
        <x:f t="shared" si="8">HYPERLINK("#'山海经原文总库'!A3","↩ 返回目录")</x:f>
        <x:v>HYPERLINK is not implemented. linkLocation=#'山海经原文总库'!A3, friendlyName=↩ 返回目录</x:v>
      </x:c>
      <x:c r="I1176" s="437"/>
      <x:c r="J1176" s="437"/>
      <x:c r="K1176" s="437" t="str">
        <x:v>待同名检索｜待建档</x:v>
      </x:c>
    </x:row>
    <x:row r="1177" ht="48" customHeight="1">
      <x:c r="A1177" s="57" t="str">
        <x:v>SHJ-08-010-3</x:v>
      </x:c>
      <x:c r="B1177" s="57" t="str">
        <x:v>卷八 《海外北經》</x:v>
      </x:c>
      <x:c r="C1177" s="58" t="str">
        <x:v>尋木長千里，在拘纓南，生河上西北。</x:v>
      </x:c>
      <x:c r="D1177" s="57" t="str">
        <x:v>尋木</x:v>
      </x:c>
      <x:c r="E1177" s="57" t="str">
        <x:v>神木／地標</x:v>
      </x:c>
      <x:c r="F1177" s="21"/>
      <x:c r="G1177" s="59" t="str">
        <x:v>标点与分段参考《山海经校注》；正文对读：https://ctext.org/shan-hai-jing/hai-wai-bei-jing/zh</x:v>
      </x:c>
      <x:c r="H1177" s="60" t="e">
        <x:f t="shared" si="8">HYPERLINK("#'山海经原文总库'!A3","↩ 返回目录")</x:f>
        <x:v>HYPERLINK is not implemented. linkLocation=#'山海经原文总库'!A3, friendlyName=↩ 返回目录</x:v>
      </x:c>
      <x:c r="I1177" s="437"/>
      <x:c r="J1177" s="437"/>
      <x:c r="K1177" s="437" t="str">
        <x:v>待同名检索｜待建档</x:v>
      </x:c>
    </x:row>
    <x:row r="1178" ht="48" customHeight="1">
      <x:c r="A1178" s="57" t="str">
        <x:v>SHJ-08-011</x:v>
      </x:c>
      <x:c r="B1178" s="57" t="str">
        <x:v>卷八 《海外北經》</x:v>
      </x:c>
      <x:c r="C1178" s="58" t="str">
        <x:v>跂踵國在拘纓東，其為人大，兩足亦大。一曰大踵。</x:v>
      </x:c>
      <x:c r="D1178" s="57" t="str">
        <x:v>跂踵國</x:v>
      </x:c>
      <x:c r="E1178" s="57" t="str">
        <x:v>國家</x:v>
      </x:c>
      <x:c r="F1178" s="21"/>
      <x:c r="G1178" s="59" t="str">
        <x:v>标点与分段参考《山海经校注》；正文对读：https://ctext.org/shan-hai-jing/hai-wai-bei-jing/zh</x:v>
      </x:c>
      <x:c r="H1178" s="60" t="e">
        <x:f t="shared" si="8">HYPERLINK("#'山海经原文总库'!A3","↩ 返回目录")</x:f>
        <x:v>HYPERLINK is not implemented. linkLocation=#'山海经原文总库'!A3, friendlyName=↩ 返回目录</x:v>
      </x:c>
      <x:c r="I1178" s="437"/>
      <x:c r="J1178" s="437"/>
      <x:c r="K1178" s="437" t="str">
        <x:v>待同名检索｜待建档</x:v>
      </x:c>
    </x:row>
    <x:row r="1179" ht="48" customHeight="1">
      <x:c r="A1179" s="57" t="str">
        <x:v>SHJ-08-012-1</x:v>
      </x:c>
      <x:c r="B1179" s="57" t="str">
        <x:v>卷八 《海外北經》</x:v>
      </x:c>
      <x:c r="C1179" s="58" t="str">
        <x:v>歐絲之野在大踵東，一女子跪據樹歐絲。</x:v>
      </x:c>
      <x:c r="D1179" s="57" t="str">
        <x:v>歐絲之野</x:v>
      </x:c>
      <x:c r="E1179" s="57" t="str">
        <x:v>區域</x:v>
      </x:c>
      <x:c r="F1179" s="21"/>
      <x:c r="G1179" s="59" t="str">
        <x:v>标点与分段参考《山海经校注》；正文对读：https://ctext.org/shan-hai-jing/hai-wai-bei-jing/zh</x:v>
      </x:c>
      <x:c r="H1179" s="60" t="e">
        <x:f t="shared" si="8">HYPERLINK("#'山海经原文总库'!A3","↩ 返回目录")</x:f>
        <x:v>HYPERLINK is not implemented. linkLocation=#'山海经原文总库'!A3, friendlyName=↩ 返回目录</x:v>
      </x:c>
      <x:c r="I1179" s="437"/>
      <x:c r="J1179" s="437"/>
      <x:c r="K1179" s="437" t="str">
        <x:v>待同名检索｜待建档</x:v>
      </x:c>
    </x:row>
    <x:row r="1180" ht="48" customHeight="1">
      <x:c r="A1180" s="57" t="str">
        <x:v>SHJ-08-012-2</x:v>
      </x:c>
      <x:c r="B1180" s="57" t="str">
        <x:v>卷八 《海外北經》</x:v>
      </x:c>
      <x:c r="C1180" s="58" t="str">
        <x:v>三桑無枝，在歐絲東，其木長百仞，無枝。</x:v>
      </x:c>
      <x:c r="D1180" s="57" t="str">
        <x:v>三桑</x:v>
      </x:c>
      <x:c r="E1180" s="57" t="str">
        <x:v>神木／地標</x:v>
      </x:c>
      <x:c r="F1180" s="21"/>
      <x:c r="G1180" s="59" t="str">
        <x:v>标点与分段参考《山海经校注》；正文对读：https://ctext.org/shan-hai-jing/hai-wai-bei-jing/zh</x:v>
      </x:c>
      <x:c r="H1180" s="60" t="e">
        <x:f t="shared" si="8">HYPERLINK("#'山海经原文总库'!A3","↩ 返回目录")</x:f>
        <x:v>HYPERLINK is not implemented. linkLocation=#'山海经原文总库'!A3, friendlyName=↩ 返回目录</x:v>
      </x:c>
      <x:c r="I1180" s="437"/>
      <x:c r="J1180" s="437"/>
      <x:c r="K1180" s="437" t="str">
        <x:v>待同名检索｜待建档</x:v>
      </x:c>
    </x:row>
    <x:row r="1181" ht="48" customHeight="1">
      <x:c r="A1181" s="57" t="str">
        <x:v>SHJ-08-013</x:v>
      </x:c>
      <x:c r="B1181" s="57" t="str">
        <x:v>卷八 《海外北經》</x:v>
      </x:c>
      <x:c r="C1181" s="58" t="str">
        <x:v>範林方三百里，在三桑東，洲環其下。</x:v>
      </x:c>
      <x:c r="D1181" s="57" t="str">
        <x:v>範林</x:v>
      </x:c>
      <x:c r="E1181" s="57" t="str">
        <x:v>區域</x:v>
      </x:c>
      <x:c r="F1181" s="21"/>
      <x:c r="G1181" s="59" t="str">
        <x:v>标点与分段参考《山海经校注》；正文对读：https://ctext.org/shan-hai-jing/hai-wai-bei-jing/zh</x:v>
      </x:c>
      <x:c r="H1181" s="60" t="e">
        <x:f t="shared" si="8">HYPERLINK("#'山海经原文总库'!A3","↩ 返回目录")</x:f>
        <x:v>HYPERLINK is not implemented. linkLocation=#'山海经原文总库'!A3, friendlyName=↩ 返回目录</x:v>
      </x:c>
      <x:c r="I1181" s="437"/>
      <x:c r="J1181" s="437"/>
      <x:c r="K1181" s="437" t="str">
        <x:v>待同名检索｜待建档</x:v>
      </x:c>
    </x:row>
    <x:row r="1182" ht="22.5" customHeight="1">
      <x:c r="A1182" s="57"/>
      <x:c r="B1182" s="57"/>
      <x:c r="C1182" s="58"/>
      <x:c r="D1182" s="57" t="str">
        <x:v>三桑</x:v>
      </x:c>
      <x:c r="E1182" s="57" t="str">
        <x:v>神木地標</x:v>
      </x:c>
      <x:c r="F1182" s="21"/>
      <x:c r="G1182" s="59"/>
      <x:c r="H1182" s="60" t="e">
        <x:f>HYPERLINK("#'山海经原文总库'!A3","↩ 返回目录")</x:f>
        <x:v>HYPERLINK is not implemented. linkLocation=#'山海经原文总库'!A3, friendlyName=↩ 返回目录</x:v>
      </x:c>
      <x:c r="I1182" s="437"/>
      <x:c r="J1182" s="437"/>
      <x:c r="K1182" s="437" t="str">
        <x:v>待同名检索｜待建档</x:v>
      </x:c>
    </x:row>
    <x:row r="1183" ht="48" customHeight="1">
      <x:c r="A1183" s="57" t="str">
        <x:v>SHJ-08-014</x:v>
      </x:c>
      <x:c r="B1183" s="57" t="str">
        <x:v>卷八 《海外北經》</x:v>
      </x:c>
      <x:c r="C1183" s="58" t="str">
        <x:v>務隅之山，帝顓頊葬於陽，九嬪葬於陰。一曰爰有熊、羆、文虎、離朱、（丘鳥）久、視肉。</x:v>
      </x:c>
      <x:c r="D1183" s="57" t="str">
        <x:v>帝顓頊葬</x:v>
      </x:c>
      <x:c r="E1183" s="57" t="str">
        <x:v>墓葬</x:v>
      </x:c>
      <x:c r="F1183" s="21"/>
      <x:c r="G1183" s="59" t="str">
        <x:v>标点与分段参考《山海经校注》；正文对读：https://ctext.org/shan-hai-jing/hai-wai-bei-jing/zh</x:v>
      </x:c>
      <x:c r="H1183" s="60" t="e">
        <x:f>HYPERLINK("#'山海经原文总库'!A3","↩ 返回目录")</x:f>
        <x:v>HYPERLINK is not implemented. linkLocation=#'山海经原文总库'!A3, friendlyName=↩ 返回目录</x:v>
      </x:c>
      <x:c r="I1183" s="437"/>
      <x:c r="J1183" s="437"/>
      <x:c r="K1183" s="437" t="str">
        <x:v>待同名检索｜待建档</x:v>
      </x:c>
    </x:row>
    <x:row r="1184" ht="22.5" customHeight="1">
      <x:c r="A1184" s="57"/>
      <x:c r="B1184" s="57"/>
      <x:c r="C1184" s="58"/>
      <x:c r="D1184" s="57" t="str">
        <x:v>九嬪葬</x:v>
      </x:c>
      <x:c r="E1184" s="57" t="str">
        <x:v>墓葬</x:v>
      </x:c>
      <x:c r="F1184" s="21"/>
      <x:c r="G1184" s="59"/>
      <x:c r="H1184" s="60" t="e">
        <x:f>HYPERLINK("#'山海经原文总库'!A3","↩ 返回目录")</x:f>
        <x:v>HYPERLINK is not implemented. linkLocation=#'山海经原文总库'!A3, friendlyName=↩ 返回目录</x:v>
      </x:c>
      <x:c r="I1184" s="437"/>
      <x:c r="J1184" s="437"/>
      <x:c r="K1184" s="437" t="str">
        <x:v>待同名检索｜待建档</x:v>
      </x:c>
    </x:row>
    <x:row r="1185" ht="22.5" customHeight="1">
      <x:c r="A1185" s="57"/>
      <x:c r="B1185" s="57"/>
      <x:c r="C1185" s="58"/>
      <x:c r="D1185" s="57" t="str">
        <x:v>務隅之山</x:v>
      </x:c>
      <x:c r="E1185" s="57" t="str">
        <x:v>山</x:v>
      </x:c>
      <x:c r="F1185" s="21"/>
      <x:c r="G1185" s="59"/>
      <x:c r="H1185" s="60" t="e">
        <x:f>HYPERLINK("#'山海经原文总库'!A3","↩ 返回目录")</x:f>
        <x:v>HYPERLINK is not implemented. linkLocation=#'山海经原文总库'!A3, friendlyName=↩ 返回目录</x:v>
      </x:c>
      <x:c r="I1185" s="437"/>
      <x:c r="J1185" s="437"/>
      <x:c r="K1185" s="437" t="str">
        <x:v>待同名检索｜待建档</x:v>
      </x:c>
    </x:row>
    <x:row r="1186" ht="48" customHeight="1">
      <x:c r="A1186" s="57" t="str">
        <x:v>SHJ-08-015</x:v>
      </x:c>
      <x:c r="B1186" s="57" t="str">
        <x:v>卷八 《海外北經》</x:v>
      </x:c>
      <x:c r="C1186" s="58" t="str">
        <x:v>平丘在三桑東，爰有遺玉、青鳥、視肉、楊柳、甘柤、甘華，百果所生，有兩山夾上谷，二大丘居中，名曰平丘。</x:v>
      </x:c>
      <x:c r="D1186" s="57" t="str">
        <x:v>兩山</x:v>
      </x:c>
      <x:c r="E1186" s="57" t="str">
        <x:v>山</x:v>
      </x:c>
      <x:c r="F1186" s="21"/>
      <x:c r="G1186" s="59" t="str">
        <x:v>标点与分段参考《山海经校注》；正文对读：https://ctext.org/shan-hai-jing/hai-wai-bei-jing/zh</x:v>
      </x:c>
      <x:c r="H1186" s="60" t="e">
        <x:f>HYPERLINK("#'山海经原文总库'!A3","↩ 返回目录")</x:f>
        <x:v>HYPERLINK is not implemented. linkLocation=#'山海经原文总库'!A3, friendlyName=↩ 返回目录</x:v>
      </x:c>
      <x:c r="I1186" s="437"/>
      <x:c r="J1186" s="437"/>
      <x:c r="K1186" s="437" t="str">
        <x:v>待同名检索｜待建档</x:v>
      </x:c>
    </x:row>
    <x:row r="1187" ht="22.5" customHeight="1">
      <x:c r="A1187" s="57"/>
      <x:c r="B1187" s="57"/>
      <x:c r="C1187" s="58"/>
      <x:c r="D1187" s="57" t="str">
        <x:v>平丘</x:v>
      </x:c>
      <x:c r="E1187" s="57" t="str">
        <x:v>丘</x:v>
      </x:c>
      <x:c r="F1187" s="21"/>
      <x:c r="G1187" s="59"/>
      <x:c r="H1187" s="60" t="e">
        <x:f>HYPERLINK("#'山海经原文总库'!A3","↩ 返回目录")</x:f>
        <x:v>HYPERLINK is not implemented. linkLocation=#'山海经原文总库'!A3, friendlyName=↩ 返回目录</x:v>
      </x:c>
      <x:c r="I1187" s="437"/>
      <x:c r="J1187" s="437"/>
      <x:c r="K1187" s="437" t="str">
        <x:v>待同名检索｜待建档</x:v>
      </x:c>
    </x:row>
    <x:row r="1188" ht="22.5" customHeight="1">
      <x:c r="A1188" s="57"/>
      <x:c r="B1188" s="57"/>
      <x:c r="C1188" s="58"/>
      <x:c r="D1188" s="57" t="str">
        <x:v>兩山夾上谷</x:v>
      </x:c>
      <x:c r="E1188" s="57" t="str">
        <x:v>區域</x:v>
      </x:c>
      <x:c r="F1188" s="21"/>
      <x:c r="G1188" s="59"/>
      <x:c r="H1188" s="60" t="e">
        <x:f>HYPERLINK("#'山海经原文总库'!A3","↩ 返回目录")</x:f>
        <x:v>HYPERLINK is not implemented. linkLocation=#'山海经原文总库'!A3, friendlyName=↩ 返回目录</x:v>
      </x:c>
      <x:c r="I1188" s="437"/>
      <x:c r="J1188" s="437"/>
      <x:c r="K1188" s="437" t="str">
        <x:v>待同名检索｜待建档</x:v>
      </x:c>
    </x:row>
    <x:row r="1189" ht="22.5" customHeight="1">
      <x:c r="A1189" s="57"/>
      <x:c r="B1189" s="57"/>
      <x:c r="C1189" s="58"/>
      <x:c r="D1189" s="57" t="str">
        <x:v>三桑</x:v>
      </x:c>
      <x:c r="E1189" s="57" t="str">
        <x:v>神木地標</x:v>
      </x:c>
      <x:c r="F1189" s="21"/>
      <x:c r="G1189" s="59"/>
      <x:c r="H1189" s="60" t="e">
        <x:f>HYPERLINK("#'山海经原文总库'!A3","↩ 返回目录")</x:f>
        <x:v>HYPERLINK is not implemented. linkLocation=#'山海经原文总库'!A3, friendlyName=↩ 返回目录</x:v>
      </x:c>
      <x:c r="I1189" s="437"/>
      <x:c r="J1189" s="437"/>
      <x:c r="K1189" s="437" t="str">
        <x:v>待同名检索｜待建档</x:v>
      </x:c>
    </x:row>
    <x:row r="1190" ht="48" customHeight="1">
      <x:c r="A1190" s="57" t="str">
        <x:v>SHJ-08-016-1</x:v>
      </x:c>
      <x:c r="B1190" s="57" t="str">
        <x:v>卷八 《海外北經》</x:v>
      </x:c>
      <x:c r="C1190" s="58" t="str">
        <x:v>北海內有獸，其狀如馬，名曰騊駼。有獸焉，其名曰駁，狀如白馬，鋸牙，食虎豹。有素獸焉，狀如馬，名曰蛩蛩。有青獸焉，狀如虎，名曰羅羅。</x:v>
      </x:c>
      <x:c r="D1190" s="57" t="str">
        <x:v>北海</x:v>
      </x:c>
      <x:c r="E1190" s="57" t="str">
        <x:v>海域</x:v>
      </x:c>
      <x:c r="F1190" s="21"/>
      <x:c r="G1190" s="59" t="str">
        <x:v>标点与分段参考《山海经校注》；正文对读：https://ctext.org/shan-hai-jing/hai-wai-bei-jing/zh</x:v>
      </x:c>
      <x:c r="H1190" s="60" t="e">
        <x:f>HYPERLINK("#'山海经原文总库'!A3","↩ 返回目录")</x:f>
        <x:v>HYPERLINK is not implemented. linkLocation=#'山海经原文总库'!A3, friendlyName=↩ 返回目录</x:v>
      </x:c>
      <x:c r="I1190" s="437"/>
      <x:c r="J1190" s="437"/>
      <x:c r="K1190" s="437" t="str">
        <x:v>待同名检索｜待建档</x:v>
      </x:c>
    </x:row>
    <x:row r="1191" ht="48" customHeight="1">
      <x:c r="A1191" s="57" t="str">
        <x:v>SHJ-08-016-2</x:v>
      </x:c>
      <x:c r="B1191" s="57" t="str">
        <x:v>卷八 《海外北經》</x:v>
      </x:c>
      <x:c r="C1191" s="58" t="str">
        <x:v>北方禺強，人面鳥身，珥兩青蛇，踐兩青蛇。</x:v>
      </x:c>
      <x:c r="D1191" s="57"/>
      <x:c r="E1191" s="57"/>
      <x:c r="F1191" s="21"/>
      <x:c r="G1191" s="59" t="str">
        <x:v>标点与分段参考《山海经校注》；正文对读：https://ctext.org/shan-hai-jing/hai-wai-bei-jing/zh</x:v>
      </x:c>
      <x:c r="H1191" s="60" t="e">
        <x:f>HYPERLINK("#'山海经原文总库'!A3","↩ 返回目录")</x:f>
        <x:v>HYPERLINK is not implemented. linkLocation=#'山海经原文总库'!A3, friendlyName=↩ 返回目录</x:v>
      </x:c>
      <x:c r="I1191" s="437"/>
      <x:c r="J1191" s="437"/>
      <x:c r="K1191" s="437" t="str">
        <x:v>经文已收录｜非地点行</x:v>
      </x:c>
    </x:row>
    <x:row r="1192" ht="48" customHeight="1">
      <x:c r="A1192" s="61" t="str">
        <x:v>SHJ-09-001-1</x:v>
      </x:c>
      <x:c r="B1192" s="61" t="str">
        <x:v>卷九 《海外東經》</x:v>
      </x:c>
      <x:c r="C1192" s="62" t="str">
        <x:v>海外自東南陬至東北陬者。</x:v>
      </x:c>
      <x:c r="D1192" s="61"/>
      <x:c r="E1192" s="61"/>
      <x:c r="F1192" s="22"/>
      <x:c r="G1192" s="63" t="str">
        <x:v>标点与分段参考《山海经校注》；正文对读：https://ctext.org/shan-hai-jing/hai-wai-dong-jing/zh</x:v>
      </x:c>
      <x:c r="H1192" s="64" t="e">
        <x:f>HYPERLINK("#'山海经原文总库'!A3","↩ 返回目录")</x:f>
        <x:v>HYPERLINK is not implemented. linkLocation=#'山海经原文总库'!A3, friendlyName=↩ 返回目录</x:v>
      </x:c>
      <x:c r="I1192" s="437"/>
      <x:c r="J1192" s="437"/>
      <x:c r="K1192" s="437" t="str">
        <x:v>经文已收录｜非地点行</x:v>
      </x:c>
    </x:row>
    <x:row r="1193" ht="48" customHeight="1">
      <x:c r="A1193" s="61" t="str">
        <x:v>SHJ-09-001-2</x:v>
      </x:c>
      <x:c r="B1193" s="61" t="str">
        <x:v>卷九 《海外東經》</x:v>
      </x:c>
      <x:c r="C1193" s="62" t="str">
        <x:v>肆（聿改差）丘，爰有遺玉、青馬、視肉、楊柳、甘柤、甘華，百果所生。在東海，兩山夾丘，上有樹木。一曰嗟丘，一曰百果所在，在堯葬東。</x:v>
      </x:c>
      <x:c r="D1193" s="61" t="str">
        <x:v>嗟丘</x:v>
      </x:c>
      <x:c r="E1193" s="61" t="str">
        <x:v>丘</x:v>
      </x:c>
      <x:c r="F1193" s="22"/>
      <x:c r="G1193" s="63" t="str">
        <x:v>标点与分段参考《山海经校注》；正文对读：https://ctext.org/shan-hai-jing/hai-wai-dong-jing/zh</x:v>
      </x:c>
      <x:c r="H1193" s="64" t="e">
        <x:f>HYPERLINK("#'山海经原文总库'!A3","↩ 返回目录")</x:f>
        <x:v>HYPERLINK is not implemented. linkLocation=#'山海经原文总库'!A3, friendlyName=↩ 返回目录</x:v>
      </x:c>
      <x:c r="I1193" s="437"/>
      <x:c r="J1193" s="437"/>
      <x:c r="K1193" s="437" t="str">
        <x:v>待同名检索｜待建档</x:v>
      </x:c>
    </x:row>
    <x:row r="1194" ht="22.5" customHeight="1">
      <x:c r="A1194" s="61"/>
      <x:c r="B1194" s="61"/>
      <x:c r="C1194" s="62"/>
      <x:c r="D1194" s="61" t="str">
        <x:v>堯葬</x:v>
      </x:c>
      <x:c r="E1194" s="61" t="str">
        <x:v>墓葬</x:v>
      </x:c>
      <x:c r="F1194" s="22"/>
      <x:c r="G1194" s="63"/>
      <x:c r="H1194" s="64" t="e">
        <x:f>HYPERLINK("#'山海经原文总库'!A3","↩ 返回目录")</x:f>
        <x:v>HYPERLINK is not implemented. linkLocation=#'山海经原文总库'!A3, friendlyName=↩ 返回目录</x:v>
      </x:c>
      <x:c r="I1194" s="437"/>
      <x:c r="J1194" s="437"/>
      <x:c r="K1194" s="437" t="str">
        <x:v>待同名检索｜待建档</x:v>
      </x:c>
    </x:row>
    <x:row r="1195" ht="22.5" customHeight="1">
      <x:c r="A1195" s="61"/>
      <x:c r="B1195" s="61"/>
      <x:c r="C1195" s="62"/>
      <x:c r="D1195" s="61" t="str">
        <x:v>東海</x:v>
      </x:c>
      <x:c r="E1195" s="61" t="str">
        <x:v>海域</x:v>
      </x:c>
      <x:c r="F1195" s="22"/>
      <x:c r="G1195" s="63"/>
      <x:c r="H1195" s="64" t="e">
        <x:f>HYPERLINK("#'山海经原文总库'!A3","↩ 返回目录")</x:f>
        <x:v>HYPERLINK is not implemented. linkLocation=#'山海经原文总库'!A3, friendlyName=↩ 返回目录</x:v>
      </x:c>
      <x:c r="I1195" s="437"/>
      <x:c r="J1195" s="437"/>
      <x:c r="K1195" s="437" t="str">
        <x:v>待同名检索｜待建档</x:v>
      </x:c>
    </x:row>
    <x:row r="1196" ht="48" customHeight="1">
      <x:c r="A1196" s="61" t="str">
        <x:v>SHJ-09-002</x:v>
      </x:c>
      <x:c r="B1196" s="61" t="str">
        <x:v>卷九 《海外東經》</x:v>
      </x:c>
      <x:c r="C1196" s="62" t="str">
        <x:v>大人國在其北，為人大，坐而削船。一曰在肆（聿改差）丘北。</x:v>
      </x:c>
      <x:c r="D1196" s="61" t="str">
        <x:v>大人國</x:v>
      </x:c>
      <x:c r="E1196" s="61" t="str">
        <x:v>國家</x:v>
      </x:c>
      <x:c r="F1196" s="22"/>
      <x:c r="G1196" s="63" t="str">
        <x:v>标点与分段参考《山海经校注》；正文对读：https://ctext.org/shan-hai-jing/hai-wai-dong-jing/zh</x:v>
      </x:c>
      <x:c r="H1196" s="64" t="e">
        <x:f t="shared" ref="H1196:H1205" si="9">HYPERLINK("#'山海经原文总库'!A3","↩ 返回目录")</x:f>
        <x:v>HYPERLINK is not implemented. linkLocation=#'山海经原文总库'!A3, friendlyName=↩ 返回目录</x:v>
      </x:c>
      <x:c r="I1196" s="437"/>
      <x:c r="J1196" s="437"/>
      <x:c r="K1196" s="437" t="str">
        <x:v>待同名检索｜待建档</x:v>
      </x:c>
    </x:row>
    <x:row r="1197" ht="48" customHeight="1">
      <x:c r="A1197" s="61" t="str">
        <x:v>SHJ-09-003</x:v>
      </x:c>
      <x:c r="B1197" s="61" t="str">
        <x:v>卷九 《海外東經》</x:v>
      </x:c>
      <x:c r="C1197" s="62" t="str">
        <x:v>奢比之屍在其北，獸身、人面、大耳，珥兩青蛇。一曰肝榆之屍在大人北。</x:v>
      </x:c>
      <x:c r="D1197" s="61"/>
      <x:c r="E1197" s="61"/>
      <x:c r="F1197" s="22"/>
      <x:c r="G1197" s="63" t="str">
        <x:v>标点与分段参考《山海经校注》；正文对读：https://ctext.org/shan-hai-jing/hai-wai-dong-jing/zh</x:v>
      </x:c>
      <x:c r="H1197" s="64" t="e">
        <x:f t="shared" si="9">HYPERLINK("#'山海经原文总库'!A3","↩ 返回目录")</x:f>
        <x:v>HYPERLINK is not implemented. linkLocation=#'山海经原文总库'!A3, friendlyName=↩ 返回目录</x:v>
      </x:c>
      <x:c r="I1197" s="437"/>
      <x:c r="J1197" s="437"/>
      <x:c r="K1197" s="437" t="str">
        <x:v>经文已收录｜非地点行</x:v>
      </x:c>
    </x:row>
    <x:row r="1198" ht="48" customHeight="1">
      <x:c r="A1198" s="61" t="str">
        <x:v>SHJ-09-004</x:v>
      </x:c>
      <x:c r="B1198" s="61" t="str">
        <x:v>卷九 《海外東經》</x:v>
      </x:c>
      <x:c r="C1198" s="62" t="str">
        <x:v>青蛇。一曰肝榆之尸在大人北。</x:v>
      </x:c>
      <x:c r="D1198" s="61"/>
      <x:c r="E1198" s="61"/>
      <x:c r="F1198" s="22"/>
      <x:c r="G1198" s="63" t="str">
        <x:v>标点与分段参考《山海经校注》；正文对读：https://ctext.org/shan-hai-jing/hai-wai-dong-jing/zh</x:v>
      </x:c>
      <x:c r="H1198" s="64" t="e">
        <x:f t="shared" si="9">HYPERLINK("#'山海经原文总库'!A3","↩ 返回目录")</x:f>
        <x:v>HYPERLINK is not implemented. linkLocation=#'山海经原文总库'!A3, friendlyName=↩ 返回目录</x:v>
      </x:c>
      <x:c r="I1198" s="437"/>
      <x:c r="J1198" s="437"/>
      <x:c r="K1198" s="437" t="str">
        <x:v>经文已收录｜非地点行</x:v>
      </x:c>
    </x:row>
    <x:row r="1199" ht="48" customHeight="1">
      <x:c r="A1199" s="61" t="str">
        <x:v>SHJ-09-005-1</x:v>
      </x:c>
      <x:c r="B1199" s="61" t="str">
        <x:v>卷九 《海外東經》</x:v>
      </x:c>
      <x:c r="C1199" s="62" t="str">
        <x:v>君子國在其北，衣冠帶劍，食獸，使二大虎在旁，其人好讓不爭。有熏華草，朝生夕死。一曰在肝榆之屍北。</x:v>
      </x:c>
      <x:c r="D1199" s="61" t="str">
        <x:v>君子國</x:v>
      </x:c>
      <x:c r="E1199" s="61" t="str">
        <x:v>國家</x:v>
      </x:c>
      <x:c r="F1199" s="22"/>
      <x:c r="G1199" s="63" t="str">
        <x:v>标点与分段参考《山海经校注》；正文对读：https://ctext.org/shan-hai-jing/hai-wai-dong-jing/zh</x:v>
      </x:c>
      <x:c r="H1199" s="64" t="e">
        <x:f t="shared" si="9">HYPERLINK("#'山海经原文总库'!A3","↩ 返回目录")</x:f>
        <x:v>HYPERLINK is not implemented. linkLocation=#'山海经原文总库'!A3, friendlyName=↩ 返回目录</x:v>
      </x:c>
      <x:c r="I1199" s="437"/>
      <x:c r="J1199" s="437"/>
      <x:c r="K1199" s="437" t="str">
        <x:v>待同名检索｜待建档</x:v>
      </x:c>
    </x:row>
    <x:row r="1200" ht="48" customHeight="1">
      <x:c r="A1200" s="61" t="str">
        <x:v>SHJ-09-005-2</x:v>
      </x:c>
      <x:c r="B1200" s="61" t="str">
        <x:v>卷九 《海外東經》</x:v>
      </x:c>
      <x:c r="C1200" s="62" t="str">
        <x:v>？？在其北，各有兩首。一曰在君子國北。</x:v>
      </x:c>
      <x:c r="D1200" s="61"/>
      <x:c r="E1200" s="61"/>
      <x:c r="F1200" s="22"/>
      <x:c r="G1200" s="63" t="str">
        <x:v>标点与分段参考《山海经校注》；正文对读：https://ctext.org/shan-hai-jing/hai-wai-dong-jing/zh</x:v>
      </x:c>
      <x:c r="H1200" s="64" t="e">
        <x:f t="shared" si="9">HYPERLINK("#'山海经原文总库'!A3","↩ 返回目录")</x:f>
        <x:v>HYPERLINK is not implemented. linkLocation=#'山海经原文总库'!A3, friendlyName=↩ 返回目录</x:v>
      </x:c>
      <x:c r="I1200" s="437"/>
      <x:c r="J1200" s="437"/>
      <x:c r="K1200" s="437" t="str">
        <x:v>经文已收录｜非地点行</x:v>
      </x:c>
    </x:row>
    <x:row r="1201" ht="48" customHeight="1">
      <x:c r="A1201" s="61" t="str">
        <x:v>SHJ-09-005-3</x:v>
      </x:c>
      <x:c r="B1201" s="61" t="str">
        <x:v>卷九 《海外東經》</x:v>
      </x:c>
      <x:c r="C1201" s="62" t="str">
        <x:v>朝陽之谷，神曰天吳，是為水伯。在？？北兩水閒。其為獸也，八首人面，八足八尾，皆青黃。</x:v>
      </x:c>
      <x:c r="D1201" s="61" t="str">
        <x:v>朝陽之谷</x:v>
      </x:c>
      <x:c r="E1201" s="61" t="str">
        <x:v>區域</x:v>
      </x:c>
      <x:c r="F1201" s="22"/>
      <x:c r="G1201" s="63" t="str">
        <x:v>标点与分段参考《山海经校注》；正文对读：https://ctext.org/shan-hai-jing/hai-wai-dong-jing/zh</x:v>
      </x:c>
      <x:c r="H1201" s="64" t="e">
        <x:f t="shared" si="9">HYPERLINK("#'山海经原文总库'!A3","↩ 返回目录")</x:f>
        <x:v>HYPERLINK is not implemented. linkLocation=#'山海经原文总库'!A3, friendlyName=↩ 返回目录</x:v>
      </x:c>
      <x:c r="I1201" s="437"/>
      <x:c r="J1201" s="437"/>
      <x:c r="K1201" s="437" t="str">
        <x:v>待同名检索｜待建档</x:v>
      </x:c>
    </x:row>
    <x:row r="1202" ht="48" customHeight="1">
      <x:c r="A1202" s="61" t="str">
        <x:v>SHJ-09-006-1</x:v>
      </x:c>
      <x:c r="B1202" s="61" t="str">
        <x:v>卷九 《海外東經》</x:v>
      </x:c>
      <x:c r="C1202" s="62" t="str">
        <x:v>青丘國在其北，其狐四足九尾。一曰在朝陽北。</x:v>
      </x:c>
      <x:c r="D1202" s="61" t="str">
        <x:v>青丘國</x:v>
      </x:c>
      <x:c r="E1202" s="61" t="str">
        <x:v>國家</x:v>
      </x:c>
      <x:c r="F1202" s="22"/>
      <x:c r="G1202" s="63" t="str">
        <x:v>标点与分段参考《山海经校注》；正文对读：https://ctext.org/shan-hai-jing/hai-wai-dong-jing/zh</x:v>
      </x:c>
      <x:c r="H1202" s="64" t="e">
        <x:f t="shared" si="9">HYPERLINK("#'山海经原文总库'!A3","↩ 返回目录")</x:f>
        <x:v>HYPERLINK is not implemented. linkLocation=#'山海经原文总库'!A3, friendlyName=↩ 返回目录</x:v>
      </x:c>
      <x:c r="I1202" s="437"/>
      <x:c r="J1202" s="437"/>
      <x:c r="K1202" s="437" t="str">
        <x:v>待同名检索｜待建档</x:v>
      </x:c>
    </x:row>
    <x:row r="1203" ht="48" customHeight="1">
      <x:c r="A1203" s="61" t="str">
        <x:v>SHJ-09-006-2</x:v>
      </x:c>
      <x:c r="B1203" s="61" t="str">
        <x:v>卷九 《海外東經》</x:v>
      </x:c>
      <x:c r="C1203" s="62" t="str">
        <x:v>帝命竪亥步，自東極至於西極，五億十選九千八百步。竪亥右手把算，左手指青丘北。一曰禹令竪亥。一曰五億十萬九千八百步。</x:v>
      </x:c>
      <x:c r="D1203" s="61"/>
      <x:c r="E1203" s="61"/>
      <x:c r="F1203" s="22"/>
      <x:c r="G1203" s="63" t="str">
        <x:v>标点与分段参考《山海经校注》；正文对读：https://ctext.org/shan-hai-jing/hai-wai-dong-jing/zh</x:v>
      </x:c>
      <x:c r="H1203" s="64" t="e">
        <x:f t="shared" si="9">HYPERLINK("#'山海经原文总库'!A3","↩ 返回目录")</x:f>
        <x:v>HYPERLINK is not implemented. linkLocation=#'山海经原文总库'!A3, friendlyName=↩ 返回目录</x:v>
      </x:c>
      <x:c r="I1203" s="437"/>
      <x:c r="J1203" s="437"/>
      <x:c r="K1203" s="437" t="str">
        <x:v>经文已收录｜非地点行</x:v>
      </x:c>
    </x:row>
    <x:row r="1204" ht="48" customHeight="1">
      <x:c r="A1204" s="61" t="str">
        <x:v>SHJ-09-007-1</x:v>
      </x:c>
      <x:c r="B1204" s="61" t="str">
        <x:v>卷九 《海外東經》</x:v>
      </x:c>
      <x:c r="C1204" s="62" t="str">
        <x:v>黑齒國在其北，為人黑，食稻啖蛇，一赤一青，在其旁。一曰：在竪亥北，為人黑首，食稻使蛇，其一蛇赤。</x:v>
      </x:c>
      <x:c r="D1204" s="61" t="str">
        <x:v>黑齒國</x:v>
      </x:c>
      <x:c r="E1204" s="61" t="str">
        <x:v>國家</x:v>
      </x:c>
      <x:c r="F1204" s="22"/>
      <x:c r="G1204" s="63" t="str">
        <x:v>标点与分段参考《山海经校注》；正文对读：https://ctext.org/shan-hai-jing/hai-wai-dong-jing/zh</x:v>
      </x:c>
      <x:c r="H1204" s="64" t="e">
        <x:f t="shared" si="9">HYPERLINK("#'山海经原文总库'!A3","↩ 返回目录")</x:f>
        <x:v>HYPERLINK is not implemented. linkLocation=#'山海经原文总库'!A3, friendlyName=↩ 返回目录</x:v>
      </x:c>
      <x:c r="I1204" s="437"/>
      <x:c r="J1204" s="437"/>
      <x:c r="K1204" s="437" t="str">
        <x:v>待同名检索｜待建档</x:v>
      </x:c>
    </x:row>
    <x:row r="1205" ht="48" customHeight="1">
      <x:c r="A1205" s="61" t="str">
        <x:v>SHJ-09-007-2</x:v>
      </x:c>
      <x:c r="B1205" s="61" t="str">
        <x:v>卷九 《海外東經》</x:v>
      </x:c>
      <x:c r="C1205" s="62" t="str">
        <x:v>下有湯谷。湯谷上有扶桑，十日所浴，在黑齒北。居水中，有大木，九日居下枝，一日居上枝。</x:v>
      </x:c>
      <x:c r="D1205" s="61" t="str">
        <x:v>下有湯谷</x:v>
      </x:c>
      <x:c r="E1205" s="61" t="str">
        <x:v>區域</x:v>
      </x:c>
      <x:c r="F1205" s="22"/>
      <x:c r="G1205" s="63" t="str">
        <x:v>标点与分段参考《山海经校注》；正文对读：https://ctext.org/shan-hai-jing/hai-wai-dong-jing/zh</x:v>
      </x:c>
      <x:c r="H1205" s="64" t="e">
        <x:f t="shared" si="9">HYPERLINK("#'山海经原文总库'!A3","↩ 返回目录")</x:f>
        <x:v>HYPERLINK is not implemented. linkLocation=#'山海经原文总库'!A3, friendlyName=↩ 返回目录</x:v>
      </x:c>
      <x:c r="I1205" s="437"/>
      <x:c r="J1205" s="437"/>
      <x:c r="K1205" s="437" t="str">
        <x:v>待同名检索｜待建档</x:v>
      </x:c>
    </x:row>
    <x:row r="1206" ht="22.5" customHeight="1">
      <x:c r="A1206" s="61"/>
      <x:c r="B1206" s="61"/>
      <x:c r="C1206" s="62"/>
      <x:c r="D1206" s="61" t="str">
        <x:v>湯谷</x:v>
      </x:c>
      <x:c r="E1206" s="61" t="str">
        <x:v>區域</x:v>
      </x:c>
      <x:c r="F1206" s="22"/>
      <x:c r="G1206" s="63"/>
      <x:c r="H1206" s="64" t="e">
        <x:f>HYPERLINK("#'山海经原文总库'!A3","↩ 返回目录")</x:f>
        <x:v>HYPERLINK is not implemented. linkLocation=#'山海经原文总库'!A3, friendlyName=↩ 返回目录</x:v>
      </x:c>
      <x:c r="I1206" s="437"/>
      <x:c r="J1206" s="437"/>
      <x:c r="K1206" s="437" t="str">
        <x:v>待同名检索｜待建档</x:v>
      </x:c>
    </x:row>
    <x:row r="1207" ht="22.5" customHeight="1">
      <x:c r="A1207" s="61"/>
      <x:c r="B1207" s="61"/>
      <x:c r="C1207" s="62"/>
      <x:c r="D1207" s="61" t="str">
        <x:v>扶桑</x:v>
      </x:c>
      <x:c r="E1207" s="61" t="str">
        <x:v>神木／地標</x:v>
      </x:c>
      <x:c r="F1207" s="22"/>
      <x:c r="G1207" s="63"/>
      <x:c r="H1207" s="64" t="e">
        <x:f>HYPERLINK("#'山海经原文总库'!A3","↩ 返回目录")</x:f>
        <x:v>HYPERLINK is not implemented. linkLocation=#'山海经原文总库'!A3, friendlyName=↩ 返回目录</x:v>
      </x:c>
      <x:c r="I1207" s="437"/>
      <x:c r="J1207" s="437"/>
      <x:c r="K1207" s="437" t="str">
        <x:v>待同名检索｜待建档</x:v>
      </x:c>
    </x:row>
    <x:row r="1208" ht="48" customHeight="1">
      <x:c r="A1208" s="61" t="str">
        <x:v>SHJ-09-007-3</x:v>
      </x:c>
      <x:c r="B1208" s="61" t="str">
        <x:v>卷九 《海外東經》</x:v>
      </x:c>
      <x:c r="C1208" s="62" t="str">
        <x:v>雨師妾在其北，其為人黑，兩手各操一蛇，左耳有青蛇，右耳有赤蛇。一曰在十日北，為人黑身人面，各操一龜。</x:v>
      </x:c>
      <x:c r="D1208" s="61"/>
      <x:c r="E1208" s="61"/>
      <x:c r="F1208" s="22"/>
      <x:c r="G1208" s="63" t="str">
        <x:v>标点与分段参考《山海经校注》；正文对读：https://ctext.org/shan-hai-jing/hai-wai-dong-jing/zh</x:v>
      </x:c>
      <x:c r="H1208" s="64" t="e">
        <x:f>HYPERLINK("#'山海经原文总库'!A3","↩ 返回目录")</x:f>
        <x:v>HYPERLINK is not implemented. linkLocation=#'山海经原文总库'!A3, friendlyName=↩ 返回目录</x:v>
      </x:c>
      <x:c r="I1208" s="437"/>
      <x:c r="J1208" s="437"/>
      <x:c r="K1208" s="437" t="str">
        <x:v>经文已收录｜非地点行</x:v>
      </x:c>
    </x:row>
    <x:row r="1209" ht="48" customHeight="1">
      <x:c r="A1209" s="61" t="str">
        <x:v>SHJ-09-008</x:v>
      </x:c>
      <x:c r="B1209" s="61" t="str">
        <x:v>卷九 《海外東經》</x:v>
      </x:c>
      <x:c r="C1209" s="62" t="str">
        <x:v>玄股之國在其北，其為人衣魚食（鳥區），使兩鳥夾之。一曰在雨師妾北。</x:v>
      </x:c>
      <x:c r="D1209" s="61" t="str">
        <x:v>玄股之國</x:v>
      </x:c>
      <x:c r="E1209" s="61" t="str">
        <x:v>國</x:v>
      </x:c>
      <x:c r="F1209" s="22"/>
      <x:c r="G1209" s="63" t="str">
        <x:v>标点与分段参考《山海经校注》；正文对读：https://ctext.org/shan-hai-jing/hai-wai-dong-jing/zh</x:v>
      </x:c>
      <x:c r="H1209" s="64" t="e">
        <x:f>HYPERLINK("#'山海经原文总库'!A3","↩ 返回目录")</x:f>
        <x:v>HYPERLINK is not implemented. linkLocation=#'山海经原文总库'!A3, friendlyName=↩ 返回目录</x:v>
      </x:c>
      <x:c r="I1209" s="437"/>
      <x:c r="J1209" s="437"/>
      <x:c r="K1209" s="437" t="str">
        <x:v>待同名检索｜待建档</x:v>
      </x:c>
    </x:row>
    <x:row r="1210" ht="22.5" customHeight="1">
      <x:c r="A1210" s="61"/>
      <x:c r="B1210" s="61"/>
      <x:c r="C1210" s="62"/>
      <x:c r="D1210" s="61" t="str">
        <x:v>股之國</x:v>
      </x:c>
      <x:c r="E1210" s="61" t="str">
        <x:v>國家</x:v>
      </x:c>
      <x:c r="F1210" s="22"/>
      <x:c r="G1210" s="63"/>
      <x:c r="H1210" s="64" t="e">
        <x:f>HYPERLINK("#'山海经原文总库'!A3","↩ 返回目录")</x:f>
        <x:v>HYPERLINK is not implemented. linkLocation=#'山海经原文总库'!A3, friendlyName=↩ 返回目录</x:v>
      </x:c>
      <x:c r="I1210" s="437"/>
      <x:c r="J1210" s="437"/>
      <x:c r="K1210" s="437" t="str">
        <x:v>待同名检索｜待建档</x:v>
      </x:c>
    </x:row>
    <x:row r="1211" ht="48" customHeight="1">
      <x:c r="A1211" s="61" t="str">
        <x:v>SHJ-09-009</x:v>
      </x:c>
      <x:c r="B1211" s="61" t="str">
        <x:v>卷九 《海外東經》</x:v>
      </x:c>
      <x:c r="C1211" s="62" t="str">
        <x:v>毛民之國在其北，為人身生毛。一曰在玄股北。</x:v>
      </x:c>
      <x:c r="D1211" s="61" t="str">
        <x:v>毛民之國</x:v>
      </x:c>
      <x:c r="E1211" s="61" t="str">
        <x:v>國</x:v>
      </x:c>
      <x:c r="F1211" s="22"/>
      <x:c r="G1211" s="63" t="str">
        <x:v>标点与分段参考《山海经校注》；正文对读：https://ctext.org/shan-hai-jing/hai-wai-dong-jing/zh</x:v>
      </x:c>
      <x:c r="H1211" s="64" t="e">
        <x:f t="shared" ref="H1211:H1216" si="10">HYPERLINK("#'山海经原文总库'!A3","↩ 返回目录")</x:f>
        <x:v>HYPERLINK is not implemented. linkLocation=#'山海经原文总库'!A3, friendlyName=↩ 返回目录</x:v>
      </x:c>
      <x:c r="I1211" s="437"/>
      <x:c r="J1211" s="437"/>
      <x:c r="K1211" s="437" t="str">
        <x:v>待同名检索｜待建档</x:v>
      </x:c>
    </x:row>
    <x:row r="1212" ht="48" customHeight="1">
      <x:c r="A1212" s="61" t="str">
        <x:v>SHJ-09-010-1</x:v>
      </x:c>
      <x:c r="B1212" s="61" t="str">
        <x:v>卷九 《海外東經》</x:v>
      </x:c>
      <x:c r="C1212" s="62" t="str">
        <x:v>勞民國在其北，其為人黑。或曰教民。一曰在毛民北，為人面目手足盡黑。</x:v>
      </x:c>
      <x:c r="D1212" s="61" t="str">
        <x:v>勞民國</x:v>
      </x:c>
      <x:c r="E1212" s="61" t="str">
        <x:v>國家</x:v>
      </x:c>
      <x:c r="F1212" s="22"/>
      <x:c r="G1212" s="63" t="str">
        <x:v>标点与分段参考《山海经校注》；正文对读：https://ctext.org/shan-hai-jing/hai-wai-dong-jing/zh</x:v>
      </x:c>
      <x:c r="H1212" s="64" t="e">
        <x:f t="shared" si="10">HYPERLINK("#'山海经原文总库'!A3","↩ 返回目录")</x:f>
        <x:v>HYPERLINK is not implemented. linkLocation=#'山海经原文总库'!A3, friendlyName=↩ 返回目录</x:v>
      </x:c>
      <x:c r="I1212" s="437"/>
      <x:c r="J1212" s="437"/>
      <x:c r="K1212" s="437" t="str">
        <x:v>待同名检索｜待建档</x:v>
      </x:c>
    </x:row>
    <x:row r="1213" ht="48" customHeight="1">
      <x:c r="A1213" s="61" t="str">
        <x:v>SHJ-09-010-2</x:v>
      </x:c>
      <x:c r="B1213" s="61" t="str">
        <x:v>卷九 《海外東經》</x:v>
      </x:c>
      <x:c r="C1213" s="62" t="str">
        <x:v>東方句芒，鳥身人面，乘兩龍。</x:v>
      </x:c>
      <x:c r="D1213" s="61"/>
      <x:c r="E1213" s="61"/>
      <x:c r="F1213" s="22"/>
      <x:c r="G1213" s="63" t="str">
        <x:v>标点与分段参考《山海经校注》；正文对读：https://ctext.org/shan-hai-jing/hai-wai-dong-jing/zh</x:v>
      </x:c>
      <x:c r="H1213" s="64" t="e">
        <x:f t="shared" si="10">HYPERLINK("#'山海经原文总库'!A3","↩ 返回目录")</x:f>
        <x:v>HYPERLINK is not implemented. linkLocation=#'山海经原文总库'!A3, friendlyName=↩ 返回目录</x:v>
      </x:c>
      <x:c r="I1213" s="437"/>
      <x:c r="J1213" s="437"/>
      <x:c r="K1213" s="437" t="str">
        <x:v>经文已收录｜非地点行</x:v>
      </x:c>
    </x:row>
    <x:row r="1214" ht="48" customHeight="1">
      <x:c r="A1214" s="65" t="str">
        <x:v>SHJ-10-001-1</x:v>
      </x:c>
      <x:c r="B1214" s="65" t="str">
        <x:v>卷十 《海內南經》</x:v>
      </x:c>
      <x:c r="C1214" s="66" t="str">
        <x:v>海內東南陬以西者。</x:v>
      </x:c>
      <x:c r="D1214" s="65"/>
      <x:c r="E1214" s="65"/>
      <x:c r="F1214" s="23"/>
      <x:c r="G1214" s="67" t="str">
        <x:v>标点与分段参考《山海经校注》；正文对读：https://ctext.org/shan-hai-jing/hai-nei-nan-jing/zh</x:v>
      </x:c>
      <x:c r="H1214" s="68" t="e">
        <x:f t="shared" si="10">HYPERLINK("#'山海经原文总库'!A3","↩ 返回目录")</x:f>
        <x:v>HYPERLINK is not implemented. linkLocation=#'山海经原文总库'!A3, friendlyName=↩ 返回目录</x:v>
      </x:c>
      <x:c r="I1214" s="437"/>
      <x:c r="J1214" s="437"/>
      <x:c r="K1214" s="437" t="str">
        <x:v>经文已收录｜非地点行</x:v>
      </x:c>
    </x:row>
    <x:row r="1215" ht="48" customHeight="1">
      <x:c r="A1215" s="65" t="str">
        <x:v>SHJ-10-001-2</x:v>
      </x:c>
      <x:c r="B1215" s="65" t="str">
        <x:v>卷十 《海內南經》</x:v>
      </x:c>
      <x:c r="C1215" s="66" t="str">
        <x:v>甌居海中。閩在海中，其西北有山。一曰閩中山在海中。</x:v>
      </x:c>
      <x:c r="D1215" s="65" t="str">
        <x:v>閩中山</x:v>
      </x:c>
      <x:c r="E1215" s="65" t="str">
        <x:v>山</x:v>
      </x:c>
      <x:c r="F1215" s="23"/>
      <x:c r="G1215" s="67" t="str">
        <x:v>标点与分段参考《山海经校注》；正文对读：https://ctext.org/shan-hai-jing/hai-nei-nan-jing/zh</x:v>
      </x:c>
      <x:c r="H1215" s="68" t="e">
        <x:f t="shared" si="10">HYPERLINK("#'山海经原文总库'!A3","↩ 返回目录")</x:f>
        <x:v>HYPERLINK is not implemented. linkLocation=#'山海经原文总库'!A3, friendlyName=↩ 返回目录</x:v>
      </x:c>
      <x:c r="I1215" s="437"/>
      <x:c r="J1215" s="437"/>
      <x:c r="K1215" s="437" t="str">
        <x:v>待同名检索｜待建档</x:v>
      </x:c>
    </x:row>
    <x:row r="1216" ht="48" customHeight="1">
      <x:c r="A1216" s="65" t="str">
        <x:v>SHJ-10-002-1</x:v>
      </x:c>
      <x:c r="B1216" s="65" t="str">
        <x:v>卷十 《海內南經》</x:v>
      </x:c>
      <x:c r="C1216" s="66" t="str">
        <x:v>三天子鄣山在閩西海北。一曰在海中。</x:v>
      </x:c>
      <x:c r="D1216" s="65" t="str">
        <x:v>西海</x:v>
      </x:c>
      <x:c r="E1216" s="65" t="str">
        <x:v>海域</x:v>
      </x:c>
      <x:c r="F1216" s="23"/>
      <x:c r="G1216" s="67" t="str">
        <x:v>标点与分段参考《山海经校注》；正文对读：https://ctext.org/shan-hai-jing/hai-nei-nan-jing/zh</x:v>
      </x:c>
      <x:c r="H1216" s="68" t="e">
        <x:f t="shared" si="10">HYPERLINK("#'山海经原文总库'!A3","↩ 返回目录")</x:f>
        <x:v>HYPERLINK is not implemented. linkLocation=#'山海经原文总库'!A3, friendlyName=↩ 返回目录</x:v>
      </x:c>
      <x:c r="I1216" s="437"/>
      <x:c r="J1216" s="437"/>
      <x:c r="K1216" s="437" t="str">
        <x:v>待同名检索｜待建档</x:v>
      </x:c>
    </x:row>
    <x:row r="1217" ht="22.5" customHeight="1">
      <x:c r="A1217" s="65"/>
      <x:c r="B1217" s="65"/>
      <x:c r="C1217" s="66"/>
      <x:c r="D1217" s="65" t="str">
        <x:v>三天子鄣山</x:v>
      </x:c>
      <x:c r="E1217" s="65" t="str">
        <x:v>山</x:v>
      </x:c>
      <x:c r="F1217" s="23"/>
      <x:c r="G1217" s="67"/>
      <x:c r="H1217" s="68" t="e">
        <x:f>HYPERLINK("#'山海经原文总库'!A3","↩ 返回目录")</x:f>
        <x:v>HYPERLINK is not implemented. linkLocation=#'山海经原文总库'!A3, friendlyName=↩ 返回目录</x:v>
      </x:c>
      <x:c r="I1217" s="437"/>
      <x:c r="J1217" s="437"/>
      <x:c r="K1217" s="437" t="str">
        <x:v>待同名检索｜待建档</x:v>
      </x:c>
    </x:row>
    <x:row r="1218" ht="48" customHeight="1">
      <x:c r="A1218" s="65" t="str">
        <x:v>SHJ-10-002-2</x:v>
      </x:c>
      <x:c r="B1218" s="65" t="str">
        <x:v>卷十 《海內南經》</x:v>
      </x:c>
      <x:c r="C1218" s="66" t="str">
        <x:v>桂林八樹在番隅東。</x:v>
      </x:c>
      <x:c r="D1218" s="65" t="str">
        <x:v>桂林</x:v>
      </x:c>
      <x:c r="E1218" s="65" t="str">
        <x:v>區域</x:v>
      </x:c>
      <x:c r="F1218" s="23"/>
      <x:c r="G1218" s="67" t="str">
        <x:v>标点与分段参考《山海经校注》；正文对读：https://ctext.org/shan-hai-jing/hai-nei-nan-jing/zh</x:v>
      </x:c>
      <x:c r="H1218" s="68" t="e">
        <x:f>HYPERLINK("#'山海经原文总库'!A3","↩ 返回目录")</x:f>
        <x:v>HYPERLINK is not implemented. linkLocation=#'山海经原文总库'!A3, friendlyName=↩ 返回目录</x:v>
      </x:c>
      <x:c r="I1218" s="437"/>
      <x:c r="J1218" s="437"/>
      <x:c r="K1218" s="437" t="str">
        <x:v>待同名检索｜待建档</x:v>
      </x:c>
    </x:row>
    <x:row r="1219" ht="48" customHeight="1">
      <x:c r="A1219" s="65" t="str">
        <x:v>SHJ-10-003-1</x:v>
      </x:c>
      <x:c r="B1219" s="65" t="str">
        <x:v>卷十 《海內南經》</x:v>
      </x:c>
      <x:c r="C1219" s="66" t="str">
        <x:v>伯慮國、離耳國、雕題國、北朐國皆在郁水南。郁水出湘陵南海。一曰相慮。</x:v>
      </x:c>
      <x:c r="D1219" s="65" t="str">
        <x:v>南海</x:v>
      </x:c>
      <x:c r="E1219" s="65" t="str">
        <x:v>海域</x:v>
      </x:c>
      <x:c r="F1219" s="23"/>
      <x:c r="G1219" s="67" t="str">
        <x:v>标点与分段参考《山海经校注》；正文对读：https://ctext.org/shan-hai-jing/hai-nei-nan-jing/zh</x:v>
      </x:c>
      <x:c r="H1219" s="68" t="e">
        <x:f>HYPERLINK("#'山海经原文总库'!A3","↩ 返回目录")</x:f>
        <x:v>HYPERLINK is not implemented. linkLocation=#'山海经原文总库'!A3, friendlyName=↩ 返回目录</x:v>
      </x:c>
      <x:c r="I1219" s="437"/>
      <x:c r="J1219" s="437"/>
      <x:c r="K1219" s="437" t="str">
        <x:v>待同名检索｜待建档</x:v>
      </x:c>
    </x:row>
    <x:row r="1220" ht="48" customHeight="1">
      <x:c r="A1220" s="65" t="str">
        <x:v>SHJ-10-003-2</x:v>
      </x:c>
      <x:c r="B1220" s="65" t="str">
        <x:v>卷十 《海內南經》</x:v>
      </x:c>
      <x:c r="C1220" s="66" t="str">
        <x:v>梟陽國在北朐之西，其為人人面長唇，黑身有毛，反踵，見人笑亦笑；左手操管。</x:v>
      </x:c>
      <x:c r="D1220" s="65"/>
      <x:c r="E1220" s="65"/>
      <x:c r="F1220" s="23"/>
      <x:c r="G1220" s="67" t="str">
        <x:v>标点与分段参考《山海经校注》；正文对读：https://ctext.org/shan-hai-jing/hai-nei-nan-jing/zh</x:v>
      </x:c>
      <x:c r="H1220" s="68" t="e">
        <x:f>HYPERLINK("#'山海经原文总库'!A3","↩ 返回目录")</x:f>
        <x:v>HYPERLINK is not implemented. linkLocation=#'山海经原文总库'!A3, friendlyName=↩ 返回目录</x:v>
      </x:c>
      <x:c r="I1220" s="437"/>
      <x:c r="J1220" s="437"/>
      <x:c r="K1220" s="437" t="str">
        <x:v>经文已收录｜非地点行</x:v>
      </x:c>
    </x:row>
    <x:row r="1221" ht="48" customHeight="1">
      <x:c r="A1221" s="65" t="str">
        <x:v>SHJ-10-003-3</x:v>
      </x:c>
      <x:c r="B1221" s="65" t="str">
        <x:v>卷十 《海內南經》</x:v>
      </x:c>
      <x:c r="C1221" s="66" t="str">
        <x:v>兕在舜葬東，湘水南，其狀如牛，蒼黑，一角。</x:v>
      </x:c>
      <x:c r="D1221" s="65" t="str">
        <x:v>兕</x:v>
      </x:c>
      <x:c r="E1221" s="65" t="str">
        <x:v>野獸／地標</x:v>
      </x:c>
      <x:c r="F1221" s="23" t="e">
        <x:f>HYPERLINK("#'都广核心区总表'!B38","→ 查看条目")</x:f>
        <x:v>HYPERLINK is not implemented. linkLocation=#'都广核心区总表'!B38, friendlyName=→ 查看条目</x:v>
      </x:c>
      <x:c r="G1221" s="67" t="str">
        <x:v>标点与分段参考《山海经校注》；正文对读：https://ctext.org/shan-hai-jing/hai-nei-nan-jing/zh</x:v>
      </x:c>
      <x:c r="H1221" s="68" t="e">
        <x:f>HYPERLINK("#'山海经原文总库'!A3","↩ 返回目录")</x:f>
        <x:v>HYPERLINK is not implemented. linkLocation=#'山海经原文总库'!A3, friendlyName=↩ 返回目录</x:v>
      </x:c>
      <x:c r="I1221" s="437" t="str">
        <x:v>是</x:v>
      </x:c>
      <x:c r="J1221" s="437" t="str">
        <x:v>总表第38行｜X=+400里，Y=0里（+4，0格）｜方向锁定；距离推定</x:v>
      </x:c>
      <x:c r="K1221" s="437" t="str">
        <x:v>已检索｜已建档</x:v>
      </x:c>
    </x:row>
    <x:row r="1222" ht="21" customHeight="1">
      <x:c r="A1222" s="65"/>
      <x:c r="B1222" s="65"/>
      <x:c r="C1222" s="66"/>
      <x:c r="D1222" s="65" t="str">
        <x:v>舜葬</x:v>
      </x:c>
      <x:c r="E1222" s="65" t="str">
        <x:v>墓葬</x:v>
      </x:c>
      <x:c r="F1222" s="23" t="e">
        <x:f>HYPERLINK("#'都广核心区总表'!B32","→ 查看条目")</x:f>
        <x:v>HYPERLINK is not implemented. linkLocation=#'都广核心区总表'!B32, friendlyName=→ 查看条目</x:v>
      </x:c>
      <x:c r="G1222" s="67"/>
      <x:c r="H1222" s="68" t="e">
        <x:f>HYPERLINK("#'山海经原文总库'!A3","↩ 返回目录")</x:f>
        <x:v>HYPERLINK is not implemented. linkLocation=#'山海经原文总库'!A3, friendlyName=↩ 返回目录</x:v>
      </x:c>
      <x:c r="I1222" s="437" t="str">
        <x:v>是</x:v>
      </x:c>
      <x:c r="J1222" s="437" t="str">
        <x:v>总表第32行｜X=+300里，Y=0里（+3，0格）｜方向关系锁定；距离推定</x:v>
      </x:c>
      <x:c r="K1222" s="437" t="str">
        <x:v>已检索｜已建档</x:v>
      </x:c>
    </x:row>
    <x:row r="1223" ht="21" customHeight="1">
      <x:c r="A1223" s="65"/>
      <x:c r="B1223" s="65"/>
      <x:c r="C1223" s="66"/>
      <x:c r="D1223" s="65" t="str">
        <x:v>湘水</x:v>
      </x:c>
      <x:c r="E1223" s="65" t="str">
        <x:v>水系</x:v>
      </x:c>
      <x:c r="F1223" s="23" t="e">
        <x:f>HYPERLINK("#'都广核心区总表'!B39","→ 查看条目")</x:f>
        <x:v>HYPERLINK is not implemented. linkLocation=#'都广核心区总表'!B39, friendlyName=→ 查看条目</x:v>
      </x:c>
      <x:c r="G1223" s="67"/>
      <x:c r="H1223" s="68" t="e">
        <x:f>HYPERLINK("#'山海经原文总库'!A3","↩ 返回目录")</x:f>
        <x:v>HYPERLINK is not implemented. linkLocation=#'山海经原文总库'!A3, friendlyName=↩ 返回目录</x:v>
      </x:c>
      <x:c r="I1223" s="437" t="str">
        <x:v>是</x:v>
      </x:c>
      <x:c r="J1223" s="437" t="str">
        <x:v>总表第39行｜X=+400里，Y=+100里（+4，+1格）｜局部关系锁定；全河待接入</x:v>
      </x:c>
      <x:c r="K1223" s="437" t="str">
        <x:v>已检索｜已建档</x:v>
      </x:c>
    </x:row>
    <x:row r="1224" ht="22.5" customHeight="1">
      <x:c r="A1224" s="65" t="str">
        <x:v>SHJ-10-004</x:v>
      </x:c>
      <x:c r="B1224" s="65" t="str">
        <x:v>卷十 《海內南經》</x:v>
      </x:c>
      <x:c r="C1224" s="66" t="str">
        <x:v>蒼梧之山，帝舜葬於陽，帝丹朱葬於陰。</x:v>
      </x:c>
      <x:c r="D1224" s="65" t="str">
        <x:v>帝舜葬</x:v>
      </x:c>
      <x:c r="E1224" s="65" t="str">
        <x:v>墓葬</x:v>
      </x:c>
      <x:c r="F1224" s="23" t="e">
        <x:f>HYPERLINK("#'都广核心区总表'!B32","→ 查看条目")</x:f>
        <x:v>HYPERLINK is not implemented. linkLocation=#'都广核心区总表'!B32, friendlyName=→ 查看条目</x:v>
      </x:c>
      <x:c r="G1224" s="67" t="str">
        <x:v>标点与分段参考《山海经校注》；正文对读：https://ctext.org/shan-hai-jing/hai-nei-nan-jing/zh</x:v>
      </x:c>
      <x:c r="H1224" s="68" t="e">
        <x:f>HYPERLINK("#'山海经原文总库'!A3","↩ 返回目录")</x:f>
        <x:v>HYPERLINK is not implemented. linkLocation=#'山海经原文总库'!A3, friendlyName=↩ 返回目录</x:v>
      </x:c>
      <x:c r="I1224" s="437" t="str">
        <x:v>是</x:v>
      </x:c>
      <x:c r="J1224" s="437" t="str">
        <x:v>总表第32行｜X=+300里，Y=0里（+3，0格）｜方向关系锁定；距离推定</x:v>
      </x:c>
      <x:c r="K1224" s="437" t="str">
        <x:v>已检索｜已建档</x:v>
      </x:c>
    </x:row>
    <x:row r="1225" ht="48" customHeight="1">
      <x:c r="A1225" s="65"/>
      <x:c r="B1225" s="65"/>
      <x:c r="C1225" s="66"/>
      <x:c r="D1225" s="65" t="str">
        <x:v>帝丹朱葬</x:v>
      </x:c>
      <x:c r="E1225" s="65" t="str">
        <x:v>墓葬</x:v>
      </x:c>
      <x:c r="F1225" s="23" t="e">
        <x:f>HYPERLINK("#'都广核心区总表'!B33","→ 查看条目")</x:f>
        <x:v>HYPERLINK is not implemented. linkLocation=#'都广核心区总表'!B33, friendlyName=→ 查看条目</x:v>
      </x:c>
      <x:c r="G1225" s="67"/>
      <x:c r="H1225" s="68" t="e">
        <x:f t="shared" ref="H1225:H1231" si="11">HYPERLINK("#'山海经原文总库'!A3","↩ 返回目录")</x:f>
        <x:v>HYPERLINK is not implemented. linkLocation=#'山海经原文总库'!A3, friendlyName=↩ 返回目录</x:v>
      </x:c>
      <x:c r="I1225" s="437" t="str">
        <x:v>是</x:v>
      </x:c>
      <x:c r="J1225" s="437" t="str">
        <x:v>总表第33行｜X=+300里，Y=0里（+3，0格）｜内部关系锁定；比例尺内同格</x:v>
      </x:c>
      <x:c r="K1225" s="437" t="str">
        <x:v>已检索｜已建档</x:v>
      </x:c>
    </x:row>
    <x:row r="1226" ht="48" customHeight="1">
      <x:c r="A1226" s="65"/>
      <x:c r="B1226" s="65"/>
      <x:c r="C1226" s="66"/>
      <x:c r="D1226" s="65" t="str">
        <x:v>蒼梧之山</x:v>
      </x:c>
      <x:c r="E1226" s="65" t="str">
        <x:v>山</x:v>
      </x:c>
      <x:c r="F1226" s="23" t="e">
        <x:f>HYPERLINK("#'都广核心区总表'!B31","→ 查看条目")</x:f>
        <x:v>HYPERLINK is not implemented. linkLocation=#'都广核心区总表'!B31, friendlyName=→ 查看条目</x:v>
      </x:c>
      <x:c r="G1226" s="67"/>
      <x:c r="H1226" s="68" t="e">
        <x:f t="shared" si="11">HYPERLINK("#'山海经原文总库'!A3","↩ 返回目录")</x:f>
        <x:v>HYPERLINK is not implemented. linkLocation=#'山海经原文总库'!A3, friendlyName=↩ 返回目录</x:v>
      </x:c>
      <x:c r="I1226" s="437" t="str">
        <x:v>是</x:v>
      </x:c>
      <x:c r="J1226" s="437" t="str">
        <x:v>总表第31行｜X=+300里，Y=0里（+3，0格）｜模块锚点锁定；精确距离推定</x:v>
      </x:c>
      <x:c r="K1226" s="437" t="str">
        <x:v>已检索｜已建档</x:v>
      </x:c>
    </x:row>
    <x:row r="1227" ht="48" customHeight="1">
      <x:c r="A1227" s="65" t="str">
        <x:v>SHJ-10-005-1</x:v>
      </x:c>
      <x:c r="B1227" s="65" t="str">
        <x:v>卷十 《海內南經》</x:v>
      </x:c>
      <x:c r="C1227" s="66" t="str">
        <x:v>泛林方三百里，在狌狌東。</x:v>
      </x:c>
      <x:c r="D1227" s="65" t="str">
        <x:v>泛林</x:v>
      </x:c>
      <x:c r="E1227" s="65" t="str">
        <x:v>區域</x:v>
      </x:c>
      <x:c r="F1227" s="23" t="e">
        <x:f>HYPERLINK("#'都广核心区总表'!B37","→ 查看条目")</x:f>
        <x:v>HYPERLINK is not implemented. linkLocation=#'都广核心区总表'!B37, friendlyName=→ 查看条目</x:v>
      </x:c>
      <x:c r="G1227" s="67" t="str">
        <x:v>标点与分段参考《山海经校注》；正文对读：https://ctext.org/shan-hai-jing/hai-nei-nan-jing/zh</x:v>
      </x:c>
      <x:c r="H1227" s="68" t="e">
        <x:f t="shared" si="11">HYPERLINK("#'山海经原文总库'!A3","↩ 返回目录")</x:f>
        <x:v>HYPERLINK is not implemented. linkLocation=#'山海经原文总库'!A3, friendlyName=↩ 返回目录</x:v>
      </x:c>
      <x:c r="I1227" s="437" t="str">
        <x:v>是</x:v>
      </x:c>
      <x:c r="J1227" s="437" t="str">
        <x:v>总表第37行｜X=+400里，Y=0里（+4，0格）｜同名同面积高强度同地候选；现坐标保留</x:v>
      </x:c>
      <x:c r="K1227" s="437" t="str">
        <x:v>已检索｜已建档</x:v>
      </x:c>
    </x:row>
    <x:row r="1228" ht="48" customHeight="1">
      <x:c r="A1228" s="65" t="str">
        <x:v>SHJ-10-005-2</x:v>
      </x:c>
      <x:c r="B1228" s="65" t="str">
        <x:v>卷十 《海內南經》</x:v>
      </x:c>
      <x:c r="C1228" s="66" t="str">
        <x:v>狌狌知人名，其為獸如豕而人面，在舜葬西。</x:v>
      </x:c>
      <x:c r="D1228" s="65" t="str">
        <x:v>舜葬</x:v>
      </x:c>
      <x:c r="E1228" s="65" t="str">
        <x:v>墓葬</x:v>
      </x:c>
      <x:c r="F1228" s="23" t="e">
        <x:f>HYPERLINK("#'都广核心区总表'!B32","→ 查看条目")</x:f>
        <x:v>HYPERLINK is not implemented. linkLocation=#'都广核心区总表'!B32, friendlyName=→ 查看条目</x:v>
      </x:c>
      <x:c r="G1228" s="67" t="str">
        <x:v>标点与分段参考《山海经校注》；正文对读：https://ctext.org/shan-hai-jing/hai-nei-nan-jing/zh</x:v>
      </x:c>
      <x:c r="H1228" s="68" t="e">
        <x:f t="shared" si="11">HYPERLINK("#'山海经原文总库'!A3","↩ 返回目录")</x:f>
        <x:v>HYPERLINK is not implemented. linkLocation=#'山海经原文总库'!A3, friendlyName=↩ 返回目录</x:v>
      </x:c>
      <x:c r="I1228" s="437" t="str">
        <x:v>是</x:v>
      </x:c>
      <x:c r="J1228" s="437" t="str">
        <x:v>总表第32行｜X=+300里，Y=0里（+3，0格）｜方向关系锁定；距离推定</x:v>
      </x:c>
      <x:c r="K1228" s="437" t="str">
        <x:v>已检索｜已建档</x:v>
      </x:c>
    </x:row>
    <x:row r="1229" ht="48" customHeight="1">
      <x:c r="A1229" s="65" t="str">
        <x:v>SHJ-10-005-3</x:v>
      </x:c>
      <x:c r="B1229" s="65" t="str">
        <x:v>卷十 《海內南經》</x:v>
      </x:c>
      <x:c r="C1229" s="66" t="str">
        <x:v>狌狌西北有犀牛，其狀如牛而黑。</x:v>
      </x:c>
      <x:c r="D1229" s="65" t="str">
        <x:v>犀牛</x:v>
      </x:c>
      <x:c r="E1229" s="65" t="str">
        <x:v>野獸／地標</x:v>
      </x:c>
      <x:c r="F1229" s="23" t="e">
        <x:f>HYPERLINK("#'都广核心区总表'!B30","→ 查看条目")</x:f>
        <x:v>HYPERLINK is not implemented. linkLocation=#'都广核心区总表'!B30, friendlyName=→ 查看条目</x:v>
      </x:c>
      <x:c r="G1229" s="67" t="str">
        <x:v>标点与分段参考《山海经校注》；正文对读：https://ctext.org/shan-hai-jing/hai-nei-nan-jing/zh</x:v>
      </x:c>
      <x:c r="H1229" s="68" t="e">
        <x:f t="shared" si="11">HYPERLINK("#'山海经原文总库'!A3","↩ 返回目录")</x:f>
        <x:v>HYPERLINK is not implemented. linkLocation=#'山海经原文总库'!A3, friendlyName=↩ 返回目录</x:v>
      </x:c>
      <x:c r="I1229" s="437" t="str">
        <x:v>是</x:v>
      </x:c>
      <x:c r="J1229" s="437" t="str">
        <x:v>总表第30行｜X=+129里，Y=+71里（+1.29，+0.71格）｜方向锁定；距离推定</x:v>
      </x:c>
      <x:c r="K1229" s="437" t="str">
        <x:v>已检索｜已建档</x:v>
      </x:c>
    </x:row>
    <x:row r="1230" ht="48" customHeight="1">
      <x:c r="A1230" s="65" t="str">
        <x:v>SHJ-10-006</x:v>
      </x:c>
      <x:c r="B1230" s="65" t="str">
        <x:v>卷十 《海內南經》</x:v>
      </x:c>
      <x:c r="C1230" s="66" t="str">
        <x:v>夏後啓之臣曰孟塗，是司神於巴，人請訟於孟塗之所，其衣有血者乃執之，是請生。居山上；在丹山西。丹山在丹陽南，丹陽居屬也。</x:v>
      </x:c>
      <x:c r="D1230" s="65"/>
      <x:c r="E1230" s="65"/>
      <x:c r="F1230" s="23"/>
      <x:c r="G1230" s="67" t="str">
        <x:v>标点与分段参考《山海经校注》；正文对读：https://ctext.org/shan-hai-jing/hai-nei-nan-jing/zh</x:v>
      </x:c>
      <x:c r="H1230" s="68" t="e">
        <x:f t="shared" si="11">HYPERLINK("#'山海经原文总库'!A3","↩ 返回目录")</x:f>
        <x:v>HYPERLINK is not implemented. linkLocation=#'山海经原文总库'!A3, friendlyName=↩ 返回目录</x:v>
      </x:c>
      <x:c r="I1230" s="437"/>
      <x:c r="J1230" s="437"/>
      <x:c r="K1230" s="437" t="str">
        <x:v>经文已收录｜非地点行</x:v>
      </x:c>
    </x:row>
    <x:row r="1231" ht="48" customHeight="1">
      <x:c r="A1231" s="65" t="str">
        <x:v>SHJ-10-007-1</x:v>
      </x:c>
      <x:c r="B1231" s="65" t="str">
        <x:v>卷十 《海內南經》</x:v>
      </x:c>
      <x:c r="C1231" s="66" t="str">
        <x:v>窫窳龍首，居弱水中，在狌狌知人名之西，其狀如龍首，食人。</x:v>
      </x:c>
      <x:c r="D1231" s="65" t="str">
        <x:v>窫窳</x:v>
      </x:c>
      <x:c r="E1231" s="65" t="str">
        <x:v>異獸／地標</x:v>
      </x:c>
      <x:c r="F1231" s="23" t="e">
        <x:f>HYPERLINK("#'都广核心区总表'!B27","→ 查看条目")</x:f>
        <x:v>HYPERLINK is not implemented. linkLocation=#'都广核心区总表'!B27, friendlyName=→ 查看条目</x:v>
      </x:c>
      <x:c r="G1231" s="67" t="str">
        <x:v>标点与分段参考《山海经校注》；正文对读：https://ctext.org/shan-hai-jing/hai-nei-nan-jing/zh</x:v>
      </x:c>
      <x:c r="H1231" s="68" t="e">
        <x:f t="shared" si="11">HYPERLINK("#'山海经原文总库'!A3","↩ 返回目录")</x:f>
        <x:v>HYPERLINK is not implemented. linkLocation=#'山海经原文总库'!A3, friendlyName=↩ 返回目录</x:v>
      </x:c>
      <x:c r="I1231" s="437" t="str">
        <x:v>是</x:v>
      </x:c>
      <x:c r="J1231" s="437" t="str">
        <x:v>总表第27行｜X=+100里，Y=0里（+1，0格）｜方向锁定；距离推定</x:v>
      </x:c>
      <x:c r="K1231" s="437" t="str">
        <x:v>已检索｜已建档</x:v>
      </x:c>
    </x:row>
    <x:row r="1232" ht="21" customHeight="1">
      <x:c r="A1232" s="65"/>
      <x:c r="B1232" s="65"/>
      <x:c r="C1232" s="66"/>
      <x:c r="D1232" s="65" t="str">
        <x:v>弱水</x:v>
      </x:c>
      <x:c r="E1232" s="65" t="str">
        <x:v>水系／水域</x:v>
      </x:c>
      <x:c r="F1232" s="23" t="e">
        <x:f>HYPERLINK("#'都广核心区总表'!B28","→ 查看条目")</x:f>
        <x:v>HYPERLINK is not implemented. linkLocation=#'都广核心区总表'!B28, friendlyName=→ 查看条目</x:v>
      </x:c>
      <x:c r="G1232" s="67"/>
      <x:c r="H1232" s="68" t="e">
        <x:f>HYPERLINK("#'山海经原文总库'!A3","↩ 返回目录")</x:f>
        <x:v>HYPERLINK is not implemented. linkLocation=#'山海经原文总库'!A3, friendlyName=↩ 返回目录</x:v>
      </x:c>
      <x:c r="I1232" s="437" t="str">
        <x:v>是</x:v>
      </x:c>
      <x:c r="J1232" s="437" t="str">
        <x:v>总表第28行｜X=+100里，Y=0里（+1，0格）｜局部关系锁定；与昆仑源段未闭合</x:v>
      </x:c>
      <x:c r="K1232" s="437" t="str">
        <x:v>已检索｜已建档</x:v>
      </x:c>
    </x:row>
    <x:row r="1233" ht="21" customHeight="1">
      <x:c r="A1233" s="65"/>
      <x:c r="B1233" s="65"/>
      <x:c r="C1233" s="66"/>
      <x:c r="D1233" s="65" t="str">
        <x:v>狌狌</x:v>
      </x:c>
      <x:c r="E1233" s="65" t="str">
        <x:v>异兽／地标</x:v>
      </x:c>
      <x:c r="F1233" s="23" t="e">
        <x:f>HYPERLINK("#'都广核心区总表'!B29","→ 查看条目")</x:f>
        <x:v>HYPERLINK is not implemented. linkLocation=#'都广核心区总表'!B29, friendlyName=→ 查看条目</x:v>
      </x:c>
      <x:c r="G1233" s="67"/>
      <x:c r="H1233" s="68" t="e">
        <x:f>HYPERLINK("#'山海经原文总库'!A3","↩ 返回目录")</x:f>
        <x:v>HYPERLINK is not implemented. linkLocation=#'山海经原文总库'!A3, friendlyName=↩ 返回目录</x:v>
      </x:c>
      <x:c r="I1233" s="437" t="str">
        <x:v>是</x:v>
      </x:c>
      <x:c r="J1233" s="437" t="str">
        <x:v>总表第29行｜X=+200里，Y=0里（+2，0格）｜方向锁定；距离推定</x:v>
      </x:c>
      <x:c r="K1233" s="437" t="str">
        <x:v>已检索｜已建档</x:v>
      </x:c>
    </x:row>
    <x:row r="1234" ht="48" customHeight="1">
      <x:c r="A1234" s="65" t="str">
        <x:v>SHJ-10-007-2</x:v>
      </x:c>
      <x:c r="B1234" s="65" t="str">
        <x:v>卷十 《海內南經》</x:v>
      </x:c>
      <x:c r="C1234" s="66" t="str">
        <x:v>有木，其狀如牛，引之有皮，若纓、黃蛇。其葉如羅，其實如欒，其木若蓲，其名曰建木。在窫窳西弱水上。</x:v>
      </x:c>
      <x:c r="D1234" s="65" t="str">
        <x:v>建木</x:v>
      </x:c>
      <x:c r="E1234" s="65" t="str">
        <x:v>神木／地標</x:v>
      </x:c>
      <x:c r="F1234" s="23" t="e">
        <x:f>HYPERLINK("#'都广核心区总表'!B10","→ 查看条目")</x:f>
        <x:v>HYPERLINK is not implemented. linkLocation=#'都广核心区总表'!B10, friendlyName=→ 查看条目</x:v>
      </x:c>
      <x:c r="G1234" s="67" t="str">
        <x:v>标点与分段参考《山海经校注》；正文对读：https://ctext.org/shan-hai-jing/hai-nei-nan-jing/zh</x:v>
      </x:c>
      <x:c r="H1234" s="68" t="e">
        <x:f>HYPERLINK("#'山海经原文总库'!A3","↩ 返回目录")</x:f>
        <x:v>HYPERLINK is not implemented. linkLocation=#'山海经原文总库'!A3, friendlyName=↩ 返回目录</x:v>
      </x:c>
      <x:c r="I1234" s="437" t="str">
        <x:v>是</x:v>
      </x:c>
      <x:c r="J1234" s="437" t="str">
        <x:v>总表第10行｜X=0里，Y=0里（0，0格）｜核心关系锁定</x:v>
      </x:c>
      <x:c r="K1234" s="437" t="str">
        <x:v>已检索｜已建档</x:v>
      </x:c>
    </x:row>
    <x:row r="1235" ht="48" customHeight="1">
      <x:c r="A1235" s="65" t="str">
        <x:v>SHJ-10-008-1</x:v>
      </x:c>
      <x:c r="B1235" s="65" t="str">
        <x:v>卷十 《海內南經》</x:v>
      </x:c>
      <x:c r="C1235" s="66" t="str">
        <x:v>氐人國在建木西，其為人人面而魚身，無足。</x:v>
      </x:c>
      <x:c r="D1235" s="65" t="str">
        <x:v>氐人國</x:v>
      </x:c>
      <x:c r="E1235" s="65" t="str">
        <x:v>國家</x:v>
      </x:c>
      <x:c r="F1235" s="23" t="e">
        <x:f>HYPERLINK("#'都广核心区总表'!B23","→ 查看条目")</x:f>
        <x:v>HYPERLINK is not implemented. linkLocation=#'都广核心区总表'!B23, friendlyName=→ 查看条目</x:v>
      </x:c>
      <x:c r="G1235" s="67" t="str">
        <x:v>标点与分段参考《山海经校注》；正文对读：https://ctext.org/shan-hai-jing/hai-nei-nan-jing/zh</x:v>
      </x:c>
      <x:c r="H1235" s="68" t="e">
        <x:f>HYPERLINK("#'山海经原文总库'!A3","↩ 返回目录")</x:f>
        <x:v>HYPERLINK is not implemented. linkLocation=#'山海经原文总库'!A3, friendlyName=↩ 返回目录</x:v>
      </x:c>
      <x:c r="I1235" s="437" t="str">
        <x:v>是</x:v>
      </x:c>
      <x:c r="J1235" s="437" t="str">
        <x:v>总表第23行｜X=-100里，Y=0里（-1，0格）｜方向锁定；距离推定</x:v>
      </x:c>
      <x:c r="K1235" s="437" t="str">
        <x:v>已检索｜已建档</x:v>
      </x:c>
    </x:row>
    <x:row r="1236" ht="22.5" customHeight="1">
      <x:c r="A1236" s="65"/>
      <x:c r="B1236" s="65"/>
      <x:c r="C1236" s="66"/>
      <x:c r="D1236" s="65" t="str">
        <x:v>建木</x:v>
      </x:c>
      <x:c r="E1236" s="65" t="str">
        <x:v>神木地標</x:v>
      </x:c>
      <x:c r="F1236" s="23" t="e">
        <x:f>HYPERLINK("#'都广核心区总表'!B10","→ 查看条目")</x:f>
        <x:v>HYPERLINK is not implemented. linkLocation=#'都广核心区总表'!B10, friendlyName=→ 查看条目</x:v>
      </x:c>
      <x:c r="G1236" s="67"/>
      <x:c r="H1236" s="68" t="e">
        <x:f>HYPERLINK("#'山海经原文总库'!A3","↩ 返回目录")</x:f>
        <x:v>HYPERLINK is not implemented. linkLocation=#'山海经原文总库'!A3, friendlyName=↩ 返回目录</x:v>
      </x:c>
      <x:c r="I1236" s="437" t="str">
        <x:v>是</x:v>
      </x:c>
      <x:c r="J1236" s="437" t="str">
        <x:v>总表第10行｜X=0里，Y=0里（0，0格）｜核心关系锁定</x:v>
      </x:c>
      <x:c r="K1236" s="437" t="str">
        <x:v>已检索｜已建档</x:v>
      </x:c>
    </x:row>
    <x:row r="1237" ht="48" customHeight="1">
      <x:c r="A1237" s="69" t="str">
        <x:v>SHJ-10-008-2</x:v>
      </x:c>
      <x:c r="B1237" s="69" t="str">
        <x:v>卷十 《海內南經》</x:v>
      </x:c>
      <x:c r="C1237" s="70" t="str">
        <x:v>巴蛇食象，三歲而出其骨，君子服之，無心腹之疾。其為蛇青黃赤黑。一曰黑蛇青首，在犀牛西。</x:v>
      </x:c>
      <x:c r="D1237" s="69"/>
      <x:c r="E1237" s="69"/>
      <x:c r="F1237" s="28"/>
      <x:c r="G1237" s="71" t="str">
        <x:v>标点与分段参考《山海经校注》；正文对读：https://ctext.org/shan-hai-jing/hai-nei-nan-jing/zh</x:v>
      </x:c>
      <x:c r="H1237" s="72" t="e">
        <x:f t="shared" ref="H1237:H1242" si="12">HYPERLINK("#'山海经原文总库'!A3","↩ 返回目录")</x:f>
        <x:v>HYPERLINK is not implemented. linkLocation=#'山海经原文总库'!A3, friendlyName=↩ 返回目录</x:v>
      </x:c>
      <x:c r="I1237" s="437"/>
      <x:c r="J1237" s="437"/>
      <x:c r="K1237" s="437" t="str">
        <x:v>经文已收录｜非地点行</x:v>
      </x:c>
    </x:row>
    <x:row r="1238" ht="48" customHeight="1">
      <x:c r="A1238" s="69" t="str">
        <x:v>SHJ-10-008-3</x:v>
      </x:c>
      <x:c r="B1238" s="69" t="str">
        <x:v>卷十 《海內南經》</x:v>
      </x:c>
      <x:c r="C1238" s="70" t="str">
        <x:v>旄馬，其狀如馬，四節有毛。在巴蛇西北，高山南。</x:v>
      </x:c>
      <x:c r="D1238" s="69"/>
      <x:c r="E1238" s="69"/>
      <x:c r="F1238" s="28"/>
      <x:c r="G1238" s="71" t="str">
        <x:v>标点与分段参考《山海经校注》；正文对读：https://ctext.org/shan-hai-jing/hai-nei-nan-jing/zh</x:v>
      </x:c>
      <x:c r="H1238" s="72" t="e">
        <x:f t="shared" si="12">HYPERLINK("#'山海经原文总库'!A3","↩ 返回目录")</x:f>
        <x:v>HYPERLINK is not implemented. linkLocation=#'山海经原文总库'!A3, friendlyName=↩ 返回目录</x:v>
      </x:c>
      <x:c r="I1238" s="437"/>
      <x:c r="J1238" s="437"/>
      <x:c r="K1238" s="437" t="str">
        <x:v>经文已收录｜非地点行</x:v>
      </x:c>
    </x:row>
    <x:row r="1239" ht="48" customHeight="1">
      <x:c r="A1239" s="69" t="str">
        <x:v>SHJ-10-008-4</x:v>
      </x:c>
      <x:c r="B1239" s="69" t="str">
        <x:v>卷十 《海內南經》</x:v>
      </x:c>
      <x:c r="C1239" s="70" t="str">
        <x:v>匈奴、開題之國、列人之國並在西北。</x:v>
      </x:c>
      <x:c r="D1239" s="69" t="str">
        <x:v>開題之國</x:v>
      </x:c>
      <x:c r="E1239" s="69" t="str">
        <x:v>國</x:v>
      </x:c>
      <x:c r="F1239" s="28"/>
      <x:c r="G1239" s="71" t="str">
        <x:v>标点与分段参考《山海经校注》；正文对读：https://ctext.org/shan-hai-jing/hai-nei-nan-jing/zh</x:v>
      </x:c>
      <x:c r="H1239" s="72" t="e">
        <x:f t="shared" si="12">HYPERLINK("#'山海经原文总库'!A3","↩ 返回目录")</x:f>
        <x:v>HYPERLINK is not implemented. linkLocation=#'山海经原文总库'!A3, friendlyName=↩ 返回目录</x:v>
      </x:c>
      <x:c r="I1239" s="437"/>
      <x:c r="J1239" s="437"/>
      <x:c r="K1239" s="437" t="str">
        <x:v>待同名检索｜待建档</x:v>
      </x:c>
    </x:row>
    <x:row r="1240" ht="48" customHeight="1">
      <x:c r="A1240" s="69"/>
      <x:c r="B1240" s="69"/>
      <x:c r="C1240" s="70"/>
      <x:c r="D1240" s="69" t="str">
        <x:v>列人之國</x:v>
      </x:c>
      <x:c r="E1240" s="69" t="str">
        <x:v>國</x:v>
      </x:c>
      <x:c r="F1240" s="28"/>
      <x:c r="G1240" s="71"/>
      <x:c r="H1240" s="72" t="e">
        <x:f t="shared" si="12">HYPERLINK("#'山海经原文总库'!A3","↩ 返回目录")</x:f>
        <x:v>HYPERLINK is not implemented. linkLocation=#'山海经原文总库'!A3, friendlyName=↩ 返回目录</x:v>
      </x:c>
      <x:c r="I1240" s="437"/>
      <x:c r="J1240" s="437"/>
      <x:c r="K1240" s="437" t="str">
        <x:v>待同名检索｜待建档</x:v>
      </x:c>
    </x:row>
    <x:row r="1241" ht="48" customHeight="1">
      <x:c r="A1241" s="69" t="str">
        <x:v>SHJ-11-001-1</x:v>
      </x:c>
      <x:c r="B1241" s="69" t="str">
        <x:v>卷十一 《海內西經》</x:v>
      </x:c>
      <x:c r="C1241" s="70" t="str">
        <x:v>海內西南陬以北者。</x:v>
      </x:c>
      <x:c r="D1241" s="69"/>
      <x:c r="E1241" s="69"/>
      <x:c r="F1241" s="28"/>
      <x:c r="G1241" s="71" t="str">
        <x:v>标点与分段参考《山海经校注》；正文对读：https://ctext.org/shan-hai-jing/hai-nei-xi-jing/zh</x:v>
      </x:c>
      <x:c r="H1241" s="72" t="e">
        <x:f t="shared" si="12">HYPERLINK("#'山海经原文总库'!A3","↩ 返回目录")</x:f>
        <x:v>HYPERLINK is not implemented. linkLocation=#'山海经原文总库'!A3, friendlyName=↩ 返回目录</x:v>
      </x:c>
      <x:c r="I1241" s="437"/>
      <x:c r="J1241" s="437"/>
      <x:c r="K1241" s="437" t="str">
        <x:v>经文已收录｜非地点行</x:v>
      </x:c>
    </x:row>
    <x:row r="1242" ht="48" customHeight="1">
      <x:c r="A1242" s="69" t="str">
        <x:v>SHJ-11-001-2</x:v>
      </x:c>
      <x:c r="B1242" s="69" t="str">
        <x:v>卷十一 《海內西經》</x:v>
      </x:c>
      <x:c r="C1242" s="70" t="str">
        <x:v>貳負之臣曰危，危與貳負殺窫窳。帝乃梏之疏屬之山，桎其右足，反縛兩手與發，系之山上木。在開題西北。</x:v>
      </x:c>
      <x:c r="D1242" s="69"/>
      <x:c r="E1242" s="69"/>
      <x:c r="F1242" s="28"/>
      <x:c r="G1242" s="71" t="str">
        <x:v>标点与分段参考《山海经校注》；正文对读：https://ctext.org/shan-hai-jing/hai-nei-xi-jing/zh</x:v>
      </x:c>
      <x:c r="H1242" s="72" t="e">
        <x:f t="shared" si="12">HYPERLINK("#'山海经原文总库'!A3","↩ 返回目录")</x:f>
        <x:v>HYPERLINK is not implemented. linkLocation=#'山海经原文总库'!A3, friendlyName=↩ 返回目录</x:v>
      </x:c>
      <x:c r="I1242" s="437"/>
      <x:c r="J1242" s="437"/>
      <x:c r="K1242" s="437" t="str">
        <x:v>经文已收录｜非地点行</x:v>
      </x:c>
    </x:row>
    <x:row r="1243" ht="22.5" customHeight="1">
      <x:c r="A1243" s="69" t="str">
        <x:v>SHJ-11-001-3</x:v>
      </x:c>
      <x:c r="B1243" s="69" t="str">
        <x:v>卷十一 《海內西經》</x:v>
      </x:c>
      <x:c r="C1243" s="70" t="str">
        <x:v>大澤方百里，群鳥所生及所解。在鴈門北。</x:v>
      </x:c>
      <x:c r="D1243" s="69" t="str">
        <x:v>大澤</x:v>
      </x:c>
      <x:c r="E1243" s="69" t="str">
        <x:v>澤／淵</x:v>
      </x:c>
      <x:c r="F1243" s="28"/>
      <x:c r="G1243" s="71" t="str">
        <x:v>标点与分段参考《山海经校注》；正文对读：https://ctext.org/shan-hai-jing/hai-nei-xi-jing/zh</x:v>
      </x:c>
      <x:c r="H1243" s="72" t="e">
        <x:f>HYPERLINK("#'山海经原文总库'!A3","↩ 返回目录")</x:f>
        <x:v>HYPERLINK is not implemented. linkLocation=#'山海经原文总库'!A3, friendlyName=↩ 返回目录</x:v>
      </x:c>
      <x:c r="I1243" s="437"/>
      <x:c r="J1243" s="437"/>
      <x:c r="K1243" s="437" t="str">
        <x:v>待同名检索｜待建档</x:v>
      </x:c>
    </x:row>
    <x:row r="1244" ht="48" customHeight="1">
      <x:c r="A1244" s="69" t="str">
        <x:v>SHJ-11-001-4</x:v>
      </x:c>
      <x:c r="B1244" s="69" t="str">
        <x:v>卷十一 《海內西經》</x:v>
      </x:c>
      <x:c r="C1244" s="70" t="str">
        <x:v>鴈門山，鴈出其閒。在高柳北。</x:v>
      </x:c>
      <x:c r="D1244" s="69"/>
      <x:c r="E1244" s="69"/>
      <x:c r="F1244" s="28"/>
      <x:c r="G1244" s="71" t="str">
        <x:v>标点与分段参考《山海经校注》；正文对读：https://ctext.org/shan-hai-jing/hai-nei-xi-jing/zh</x:v>
      </x:c>
      <x:c r="H1244" s="72" t="e">
        <x:f>HYPERLINK("#'山海经原文总库'!A3","↩ 返回目录")</x:f>
        <x:v>HYPERLINK is not implemented. linkLocation=#'山海经原文总库'!A3, friendlyName=↩ 返回目录</x:v>
      </x:c>
      <x:c r="I1244" s="437"/>
      <x:c r="J1244" s="437"/>
      <x:c r="K1244" s="437" t="str">
        <x:v>经文已收录｜非地点行</x:v>
      </x:c>
    </x:row>
    <x:row r="1245" ht="48" customHeight="1">
      <x:c r="A1245" s="69" t="str">
        <x:v>SHJ-11-002-1</x:v>
      </x:c>
      <x:c r="B1245" s="69" t="str">
        <x:v>卷十一 《海內西經》</x:v>
      </x:c>
      <x:c r="C1245" s="70" t="str">
        <x:v>后稷之葬，山水環之。在氐國西。</x:v>
      </x:c>
      <x:c r="D1245" s="69" t="str">
        <x:v>后稷之葬</x:v>
      </x:c>
      <x:c r="E1245" s="69" t="str">
        <x:v>墓葬</x:v>
      </x:c>
      <x:c r="F1245" s="28" t="e">
        <x:f>HYPERLINK("#'都广核心区总表'!B22","→ 查看条目")</x:f>
        <x:v>HYPERLINK is not implemented. linkLocation=#'都广核心区总表'!B22, friendlyName=→ 查看条目</x:v>
      </x:c>
      <x:c r="G1245" s="71" t="str">
        <x:v>标点与分段参考《山海经校注》；正文对读：https://ctext.org/shan-hai-jing/hai-nei-xi-jing/zh</x:v>
      </x:c>
      <x:c r="H1245" s="72" t="e">
        <x:f>HYPERLINK("#'山海经原文总库'!A3","↩ 返回目录")</x:f>
        <x:v>HYPERLINK is not implemented. linkLocation=#'山海经原文总库'!A3, friendlyName=↩ 返回目录</x:v>
      </x:c>
      <x:c r="I1245" s="437" t="str">
        <x:v>是</x:v>
      </x:c>
      <x:c r="J1245" s="437" t="str">
        <x:v>总表第22行｜X=-200里，Y=0里（-2，0格）｜方向锁定；距离为项目推定</x:v>
      </x:c>
      <x:c r="K1245" s="437" t="str">
        <x:v>已检索｜已建档</x:v>
      </x:c>
    </x:row>
    <x:row r="1246" ht="48" customHeight="1">
      <x:c r="A1246" s="69" t="str">
        <x:v>SHJ-11-002-2</x:v>
      </x:c>
      <x:c r="B1246" s="69" t="str">
        <x:v>卷十一 《海內西經》</x:v>
      </x:c>
      <x:c r="C1246" s="70" t="str">
        <x:v>流黃酆氏之國，中方三百里。有塗四方，中有山。在后稷葬西。</x:v>
      </x:c>
      <x:c r="D1246" s="69" t="str">
        <x:v>流黃酆氏之國</x:v>
      </x:c>
      <x:c r="E1246" s="69" t="str">
        <x:v>國</x:v>
      </x:c>
      <x:c r="F1246" s="28" t="e">
        <x:f>HYPERLINK("#'都广核心区总表'!B24","→ 查看条目")</x:f>
        <x:v>HYPERLINK is not implemented. linkLocation=#'都广核心区总表'!B24, friendlyName=→ 查看条目</x:v>
      </x:c>
      <x:c r="G1246" s="71" t="str">
        <x:v>标点与分段参考《山海经校注》；正文对读：https://ctext.org/shan-hai-jing/hai-nei-xi-jing/zh</x:v>
      </x:c>
      <x:c r="H1246" s="72" t="e">
        <x:f>HYPERLINK("#'山海经原文总库'!A3","↩ 返回目录")</x:f>
        <x:v>HYPERLINK is not implemented. linkLocation=#'山海经原文总库'!A3, friendlyName=↩ 返回目录</x:v>
      </x:c>
      <x:c r="I1246" s="437" t="str">
        <x:v>是</x:v>
      </x:c>
      <x:c r="J1246" s="437" t="str">
        <x:v>总表第24行｜X=-400里，Y=0里（-4，0格）｜方向锁定；中心距离推定</x:v>
      </x:c>
      <x:c r="K1246" s="437" t="str">
        <x:v>已检索｜已建档</x:v>
      </x:c>
    </x:row>
    <x:row r="1247" ht="48" customHeight="1">
      <x:c r="A1247" s="69"/>
      <x:c r="B1247" s="69"/>
      <x:c r="C1247" s="70"/>
      <x:c r="D1247" s="69" t="str">
        <x:v>后稷葬</x:v>
      </x:c>
      <x:c r="E1247" s="69" t="str">
        <x:v>墓葬</x:v>
      </x:c>
      <x:c r="F1247" s="28" t="e">
        <x:f>HYPERLINK("#'都广核心区总表'!B22","→ 查看条目")</x:f>
        <x:v>HYPERLINK is not implemented. linkLocation=#'都广核心区总表'!B22, friendlyName=→ 查看条目</x:v>
      </x:c>
      <x:c r="G1247" s="71"/>
      <x:c r="H1247" s="72" t="e">
        <x:f>HYPERLINK("#'山海经原文总库'!A3","↩ 返回目录")</x:f>
        <x:v>HYPERLINK is not implemented. linkLocation=#'山海经原文总库'!A3, friendlyName=↩ 返回目录</x:v>
      </x:c>
      <x:c r="I1247" s="437" t="str">
        <x:v>是</x:v>
      </x:c>
      <x:c r="J1247" s="437" t="str">
        <x:v>总表第22行｜X=-200里，Y=0里（-2，0格）｜方向锁定；距离为项目推定</x:v>
      </x:c>
      <x:c r="K1247" s="437" t="str">
        <x:v>已检索｜已建档</x:v>
      </x:c>
    </x:row>
    <x:row r="1248" ht="22.5" customHeight="1">
      <x:c r="A1248" s="69" t="str">
        <x:v>SHJ-11-003-1</x:v>
      </x:c>
      <x:c r="B1248" s="69" t="str">
        <x:v>卷十一 《海內西經》</x:v>
      </x:c>
      <x:c r="C1248" s="70" t="str">
        <x:v>流沙出鍾山，西行又南行崑崙之虛，西南入海黑水之山。</x:v>
      </x:c>
      <x:c r="D1248" s="69" t="str">
        <x:v>流沙</x:v>
      </x:c>
      <x:c r="E1248" s="69" t="str">
        <x:v>區域</x:v>
      </x:c>
      <x:c r="F1248" s="28"/>
      <x:c r="G1248" s="71" t="str">
        <x:v>标点与分段参考《山海经校注》；正文对读：https://ctext.org/shan-hai-jing/hai-nei-xi-jing/zh</x:v>
      </x:c>
      <x:c r="H1248" s="72" t="e">
        <x:f>HYPERLINK("#'山海经原文总库'!A3","↩ 返回目录")</x:f>
        <x:v>HYPERLINK is not implemented. linkLocation=#'山海经原文总库'!A3, friendlyName=↩ 返回目录</x:v>
      </x:c>
      <x:c r="I1248" s="437"/>
      <x:c r="J1248" s="437"/>
      <x:c r="K1248" s="437" t="str">
        <x:v>待同名检索｜待建档</x:v>
      </x:c>
    </x:row>
    <x:row r="1249" ht="48" customHeight="1">
      <x:c r="A1249" s="69" t="str">
        <x:v>SHJ-11-003-2</x:v>
      </x:c>
      <x:c r="B1249" s="69" t="str">
        <x:v>卷十一 《海內西經》</x:v>
      </x:c>
      <x:c r="C1249" s="70" t="str">
        <x:v>東胡在大澤東。</x:v>
      </x:c>
      <x:c r="D1249" s="69" t="str">
        <x:v>東胡</x:v>
      </x:c>
      <x:c r="E1249" s="69" t="str">
        <x:v>族群／區域</x:v>
      </x:c>
      <x:c r="F1249" s="28"/>
      <x:c r="G1249" s="71" t="str">
        <x:v>标点与分段参考《山海经校注》；正文对读：https://ctext.org/shan-hai-jing/hai-nei-xi-jing/zh</x:v>
      </x:c>
      <x:c r="H1249" s="72" t="e">
        <x:f t="shared" ref="H1249:H1269" si="13">HYPERLINK("#'山海经原文总库'!A3","↩ 返回目录")</x:f>
        <x:v>HYPERLINK is not implemented. linkLocation=#'山海经原文总库'!A3, friendlyName=↩ 返回目录</x:v>
      </x:c>
      <x:c r="I1249" s="437"/>
      <x:c r="J1249" s="437"/>
      <x:c r="K1249" s="437" t="str">
        <x:v>待同名检索｜待建档</x:v>
      </x:c>
    </x:row>
    <x:row r="1250" ht="21" customHeight="1">
      <x:c r="A1250" s="69"/>
      <x:c r="B1250" s="69"/>
      <x:c r="C1250" s="70"/>
      <x:c r="D1250" s="69" t="str">
        <x:v>大澤</x:v>
      </x:c>
      <x:c r="E1250" s="69" t="str">
        <x:v>澤／區域</x:v>
      </x:c>
      <x:c r="F1250" s="73"/>
      <x:c r="G1250" s="71"/>
      <x:c r="H1250" s="72" t="e">
        <x:f t="shared" si="13">HYPERLINK("#'山海经原文总库'!A3","↩ 返回目录")</x:f>
        <x:v>HYPERLINK is not implemented. linkLocation=#'山海经原文总库'!A3, friendlyName=↩ 返回目录</x:v>
      </x:c>
      <x:c r="I1250" s="437"/>
      <x:c r="J1250" s="437"/>
      <x:c r="K1250" s="437" t="str">
        <x:v>待同名检索｜待建档</x:v>
      </x:c>
    </x:row>
    <x:row r="1251" ht="48" customHeight="1">
      <x:c r="A1251" s="69" t="str">
        <x:v>SHJ-11-003-3</x:v>
      </x:c>
      <x:c r="B1251" s="69" t="str">
        <x:v>卷十一 《海內西經》</x:v>
      </x:c>
      <x:c r="C1251" s="70" t="str">
        <x:v>夷人在東胡東。</x:v>
      </x:c>
      <x:c r="D1251" s="69"/>
      <x:c r="E1251" s="69"/>
      <x:c r="F1251" s="28"/>
      <x:c r="G1251" s="71" t="str">
        <x:v>标点与分段参考《山海经校注》；正文对读：https://ctext.org/shan-hai-jing/hai-nei-xi-jing/zh</x:v>
      </x:c>
      <x:c r="H1251" s="72" t="e">
        <x:f t="shared" si="13">HYPERLINK("#'山海经原文总库'!A3","↩ 返回目录")</x:f>
        <x:v>HYPERLINK is not implemented. linkLocation=#'山海经原文总库'!A3, friendlyName=↩ 返回目录</x:v>
      </x:c>
      <x:c r="I1251" s="437"/>
      <x:c r="J1251" s="437"/>
      <x:c r="K1251" s="437" t="str">
        <x:v>经文已收录｜非地点行</x:v>
      </x:c>
    </x:row>
    <x:row r="1252" ht="48" customHeight="1">
      <x:c r="A1252" s="69" t="str">
        <x:v>SHJ-11-004-1</x:v>
      </x:c>
      <x:c r="B1252" s="69" t="str">
        <x:v>卷十一 《海內西經》</x:v>
      </x:c>
      <x:c r="C1252" s="70" t="str">
        <x:v>貊國在漢水東北。地近於燕，滅之。</x:v>
      </x:c>
      <x:c r="D1252" s="69" t="str">
        <x:v>漢水</x:v>
      </x:c>
      <x:c r="E1252" s="69" t="str">
        <x:v>水系</x:v>
      </x:c>
      <x:c r="F1252" s="73"/>
      <x:c r="G1252" s="71" t="str">
        <x:v>标点与分段参考《山海经校注》；正文对读：https://ctext.org/shan-hai-jing/hai-nei-xi-jing/zh</x:v>
      </x:c>
      <x:c r="H1252" s="72" t="e">
        <x:f t="shared" si="13">HYPERLINK("#'山海经原文总库'!A3","↩ 返回目录")</x:f>
        <x:v>HYPERLINK is not implemented. linkLocation=#'山海经原文总库'!A3, friendlyName=↩ 返回目录</x:v>
      </x:c>
      <x:c r="I1252" s="437"/>
      <x:c r="J1252" s="437"/>
      <x:c r="K1252" s="437" t="str">
        <x:v>待同名检索｜待建档</x:v>
      </x:c>
    </x:row>
    <x:row r="1253" ht="48" customHeight="1">
      <x:c r="A1253" s="69"/>
      <x:c r="B1253" s="69"/>
      <x:c r="C1253" s="70"/>
      <x:c r="D1253" s="69" t="str">
        <x:v>貊國</x:v>
      </x:c>
      <x:c r="E1253" s="69" t="str">
        <x:v>國家</x:v>
      </x:c>
      <x:c r="F1253" s="73"/>
      <x:c r="G1253" s="71"/>
      <x:c r="H1253" s="72" t="e">
        <x:f t="shared" si="13">HYPERLINK("#'山海经原文总库'!A3","↩ 返回目录")</x:f>
        <x:v>HYPERLINK is not implemented. linkLocation=#'山海经原文总库'!A3, friendlyName=↩ 返回目录</x:v>
      </x:c>
      <x:c r="I1253" s="437"/>
      <x:c r="J1253" s="437"/>
      <x:c r="K1253" s="437" t="str">
        <x:v>待同名检索｜待建档</x:v>
      </x:c>
    </x:row>
    <x:row r="1254" ht="48" customHeight="1">
      <x:c r="A1254" s="69" t="str">
        <x:v>SHJ-11-004-2</x:v>
      </x:c>
      <x:c r="B1254" s="69" t="str">
        <x:v>卷十一 《海內西經》</x:v>
      </x:c>
      <x:c r="C1254" s="70" t="str">
        <x:v>孟鳥在貊國東北，其鳥文赤、黃、青，東鄉。</x:v>
      </x:c>
      <x:c r="D1254" s="69"/>
      <x:c r="E1254" s="69"/>
      <x:c r="F1254" s="73"/>
      <x:c r="G1254" s="71" t="str">
        <x:v>标点与分段参考《山海经校注》；正文对读：https://ctext.org/shan-hai-jing/hai-nei-xi-jing/zh</x:v>
      </x:c>
      <x:c r="H1254" s="72" t="e">
        <x:f t="shared" si="13">HYPERLINK("#'山海经原文总库'!A3","↩ 返回目录")</x:f>
        <x:v>HYPERLINK is not implemented. linkLocation=#'山海经原文总库'!A3, friendlyName=↩ 返回目录</x:v>
      </x:c>
      <x:c r="I1254" s="437"/>
      <x:c r="J1254" s="437"/>
      <x:c r="K1254" s="437" t="str">
        <x:v>经文已收录｜非地点行</x:v>
      </x:c>
    </x:row>
    <x:row r="1255" ht="48" customHeight="1">
      <x:c r="A1255" s="69" t="str">
        <x:v>SHJ-11-005</x:v>
      </x:c>
      <x:c r="B1255" s="69" t="str">
        <x:v>卷十一 《海內西經》</x:v>
      </x:c>
      <x:c r="C1255" s="70" t="str">
        <x:v>海內崑崙之虛，在西北，帝之下都。崑崙之虛，方八百里，高萬仞。上有木禾，長五尋，大五圍。面有九井，以玉為檻。面有九門，門有開明獸守之，百神之所在。在八隅之岩，赤水之際，非仁羿莫能上岡之岩。</x:v>
      </x:c>
      <x:c r="D1255" s="69" t="str">
        <x:v>海内昆仑之虚</x:v>
      </x:c>
      <x:c r="E1255" s="69" t="str">
        <x:v>山岳／区域</x:v>
      </x:c>
      <x:c r="F1255" s="73" t="e">
        <x:f>HYPERLINK("#'都广核心区总表'!B44","→ 查看条目")</x:f>
        <x:v>HYPERLINK is not implemented. linkLocation=#'都广核心区总表'!B44, friendlyName=→ 查看条目</x:v>
      </x:c>
      <x:c r="G1255" s="71" t="str">
        <x:v>标点与分段参考《山海经校注》；正文对读：https://ctext.org/shan-hai-jing/hai-nei-xi-jing/zh</x:v>
      </x:c>
      <x:c r="H1255" s="72" t="e">
        <x:f t="shared" si="13">HYPERLINK("#'山海经原文总库'!A3","↩ 返回目录")</x:f>
        <x:v>HYPERLINK is not implemented. linkLocation=#'山海经原文总库'!A3, friendlyName=↩ 返回目录</x:v>
      </x:c>
      <x:c r="I1255" s="437" t="str">
        <x:v>是</x:v>
      </x:c>
      <x:c r="J1255" s="437" t="str">
        <x:v>总表第44行｜X=-1050里，Y=+650里（-10.5，+6.5格）｜昆仑复合体主体同地锁定；海内内部层为面积母版</x:v>
      </x:c>
      <x:c r="K1255" s="437" t="str">
        <x:v>已检索｜已建档</x:v>
      </x:c>
    </x:row>
    <x:row r="1256" ht="21" customHeight="1">
      <x:c r="A1256" s="69"/>
      <x:c r="B1256" s="69"/>
      <x:c r="C1256" s="70"/>
      <x:c r="D1256" s="69" t="str">
        <x:v>木禾</x:v>
      </x:c>
      <x:c r="E1256" s="69" t="str">
        <x:v>神木／地標</x:v>
      </x:c>
      <x:c r="F1256" s="73" t="e">
        <x:f>HYPERLINK("#'都广核心区总表'!B66","→ 查看条目")</x:f>
        <x:v>HYPERLINK is not implemented. linkLocation=#'都广核心区总表'!B66, friendlyName=→ 查看条目</x:v>
      </x:c>
      <x:c r="G1256" s="71"/>
      <x:c r="H1256" s="72" t="e">
        <x:f t="shared" si="13">HYPERLINK("#'山海经原文总库'!A3","↩ 返回目录")</x:f>
        <x:v>HYPERLINK is not implemented. linkLocation=#'山海经原文总库'!A3, friendlyName=↩ 返回目录</x:v>
      </x:c>
      <x:c r="I1256" s="437" t="str">
        <x:v>是</x:v>
      </x:c>
      <x:c r="J1256" s="437" t="str">
        <x:v>总表第66行｜X=-1050里，Y=+650里（-10.5，+6.5格）｜顶部关系锁定；平面坐标与昆仑中心重合</x:v>
      </x:c>
      <x:c r="K1256" s="437" t="str">
        <x:v>已检索｜已建档</x:v>
      </x:c>
    </x:row>
    <x:row r="1257" ht="21" customHeight="1">
      <x:c r="A1257" s="69"/>
      <x:c r="B1257" s="69"/>
      <x:c r="C1257" s="70"/>
      <x:c r="D1257" s="69" t="str">
        <x:v>崑崙九井</x:v>
      </x:c>
      <x:c r="E1257" s="69" t="str">
        <x:v>井群／內部設施</x:v>
      </x:c>
      <x:c r="F1257" s="28" t="e">
        <x:f>HYPERLINK("#'都广核心区总表'!B67","→ 查看条目")</x:f>
        <x:v>HYPERLINK is not implemented. linkLocation=#'都广核心区总表'!B67, friendlyName=→ 查看条目</x:v>
      </x:c>
      <x:c r="G1257" s="71"/>
      <x:c r="H1257" s="72" t="e">
        <x:f t="shared" si="13">HYPERLINK("#'山海经原文总库'!A3","↩ 返回目录")</x:f>
        <x:v>HYPERLINK is not implemented. linkLocation=#'山海经原文总库'!A3, friendlyName=↩ 返回目录</x:v>
      </x:c>
      <x:c r="I1257" s="437" t="str">
        <x:v>是</x:v>
      </x:c>
      <x:c r="J1257" s="437" t="str">
        <x:v>总表第67行｜X=-1050里，Y=+650里（-10.5，+6.5格）｜数量与昆仑内部关系锁定；具体排列未锁</x:v>
      </x:c>
      <x:c r="K1257" s="437" t="str">
        <x:v>已检索｜已建档</x:v>
      </x:c>
    </x:row>
    <x:row r="1258" ht="21" customHeight="1">
      <x:c r="A1258" s="69"/>
      <x:c r="B1258" s="69"/>
      <x:c r="C1258" s="70"/>
      <x:c r="D1258" s="69" t="str">
        <x:v>崑崙九門</x:v>
      </x:c>
      <x:c r="E1258" s="69" t="str">
        <x:v>門群／入口系統</x:v>
      </x:c>
      <x:c r="F1258" s="28" t="e">
        <x:f>HYPERLINK("#'都广核心区总表'!B68","→ 查看条目")</x:f>
        <x:v>HYPERLINK is not implemented. linkLocation=#'都广核心区总表'!B68, friendlyName=→ 查看条目</x:v>
      </x:c>
      <x:c r="G1258" s="71"/>
      <x:c r="H1258" s="72" t="e">
        <x:f t="shared" si="13">HYPERLINK("#'山海经原文总库'!A3","↩ 返回目录")</x:f>
        <x:v>HYPERLINK is not implemented. linkLocation=#'山海经原文总库'!A3, friendlyName=↩ 返回目录</x:v>
      </x:c>
      <x:c r="I1258" s="437" t="str">
        <x:v>是</x:v>
      </x:c>
      <x:c r="J1258" s="437" t="str">
        <x:v>总表第68行｜X=-1050里，Y=+650里（-10.5，+6.5格）｜数量与守门关系锁定；具体排列未锁</x:v>
      </x:c>
      <x:c r="K1258" s="437" t="str">
        <x:v>已检索｜已建档</x:v>
      </x:c>
    </x:row>
    <x:row r="1259" ht="21" customHeight="1">
      <x:c r="A1259" s="69"/>
      <x:c r="B1259" s="69"/>
      <x:c r="C1259" s="70"/>
      <x:c r="D1259" s="69" t="str">
        <x:v>開明獸</x:v>
      </x:c>
      <x:c r="E1259" s="69" t="str">
        <x:v>神獸／門守</x:v>
      </x:c>
      <x:c r="F1259" s="28" t="e">
        <x:f>HYPERLINK("#'都广核心区总表'!B69","→ 查看条目")</x:f>
        <x:v>HYPERLINK is not implemented. linkLocation=#'都广核心区总表'!B69, friendlyName=→ 查看条目</x:v>
      </x:c>
      <x:c r="G1259" s="71"/>
      <x:c r="H1259" s="72" t="e">
        <x:f t="shared" si="13">HYPERLINK("#'山海经原文总库'!A3","↩ 返回目录")</x:f>
        <x:v>HYPERLINK is not implemented. linkLocation=#'山海经原文总库'!A3, friendlyName=↩ 返回目录</x:v>
      </x:c>
      <x:c r="I1259" s="437" t="str">
        <x:v>是</x:v>
      </x:c>
      <x:c r="J1259" s="437" t="str">
        <x:v>总表第69行｜X=-1050里，Y=+650里（-10.5，+6.5格）｜守门关系与东向锁定；个体数量未锁</x:v>
      </x:c>
      <x:c r="K1259" s="437" t="str">
        <x:v>已检索｜已建档</x:v>
      </x:c>
    </x:row>
    <x:row r="1260" ht="21" customHeight="1">
      <x:c r="A1260" s="74"/>
      <x:c r="B1260" s="74"/>
      <x:c r="C1260" s="75"/>
      <x:c r="D1260" s="74" t="str">
        <x:v>八隅之巖</x:v>
      </x:c>
      <x:c r="E1260" s="74" t="str">
        <x:v>岩隅／區域</x:v>
      </x:c>
      <x:c r="F1260" s="74" t="e">
        <x:f>HYPERLINK("#'都广核心区总表'!B70","→ 查看条目")</x:f>
        <x:v>HYPERLINK is not implemented. linkLocation=#'都广核心区总表'!B70, friendlyName=→ 查看条目</x:v>
      </x:c>
      <x:c r="G1260" s="75"/>
      <x:c r="H1260" s="75" t="e">
        <x:f t="shared" si="13">HYPERLINK("#'山海经原文总库'!A3","↩ 返回目录")</x:f>
        <x:v>HYPERLINK is not implemented. linkLocation=#'山海经原文总库'!A3, friendlyName=↩ 返回目录</x:v>
      </x:c>
      <x:c r="I1260" s="75" t="str">
        <x:v>是</x:v>
      </x:c>
      <x:c r="J1260" s="75" t="str">
        <x:v>总表第70行｜X=-650里，Y=+250里（-6.5，+2.5格）｜赤水邻接锁定；八隅整体范围未锁</x:v>
      </x:c>
      <x:c r="K1260" s="75" t="str">
        <x:v>已检索｜已建档</x:v>
      </x:c>
    </x:row>
    <x:row r="1261" ht="21" customHeight="1">
      <x:c r="A1261" s="74"/>
      <x:c r="B1261" s="74"/>
      <x:c r="C1261" s="75"/>
      <x:c r="D1261" s="74" t="str">
        <x:v>赤水之際</x:v>
      </x:c>
      <x:c r="E1261" s="74" t="str">
        <x:v>水際／區域</x:v>
      </x:c>
      <x:c r="F1261" s="74" t="e">
        <x:f>HYPERLINK("#'都广核心区总表'!B70","→ 查看条目")</x:f>
        <x:v>HYPERLINK is not implemented. linkLocation=#'都广核心区总表'!B70, friendlyName=→ 查看条目</x:v>
      </x:c>
      <x:c r="G1261" s="75"/>
      <x:c r="H1261" s="75" t="e">
        <x:f t="shared" si="13">HYPERLINK("#'山海经原文总库'!A3","↩ 返回目录")</x:f>
        <x:v>HYPERLINK is not implemented. linkLocation=#'山海经原文总库'!A3, friendlyName=↩ 返回目录</x:v>
      </x:c>
      <x:c r="I1261" s="75" t="str">
        <x:v>是</x:v>
      </x:c>
      <x:c r="J1261" s="75" t="str">
        <x:v>总表第70行｜X=-650里，Y=+250里（-6.5，+2.5格）｜赤水邻接锁定；八隅整体范围未锁</x:v>
      </x:c>
      <x:c r="K1261" s="75" t="str">
        <x:v>已检索｜已建档</x:v>
      </x:c>
    </x:row>
    <x:row r="1262" ht="34.5" customHeight="1">
      <x:c r="A1262" s="74" t="str">
        <x:v>SHJ-11-006</x:v>
      </x:c>
      <x:c r="B1262" s="74" t="str">
        <x:v>卷十一 《海內西經》</x:v>
      </x:c>
      <x:c r="C1262" s="75" t="str">
        <x:v>赤水之際非仁羿莫能上岡之巖。</x:v>
      </x:c>
      <x:c r="D1262" s="74" t="str">
        <x:v>赤水之际</x:v>
      </x:c>
      <x:c r="E1262" s="74" t="str">
        <x:v>水域参照</x:v>
      </x:c>
      <x:c r="F1262" s="74"/>
      <x:c r="G1262" s="75" t="str">
        <x:v>标点与分段参考《山海经校注》；正文对读：https://ctext.org/shan-hai-jing/hai-nei-xi-jing/zh</x:v>
      </x:c>
      <x:c r="H1262" s="75" t="e">
        <x:f t="shared" si="13">HYPERLINK("#'山海经原文总库'!A3","↩ 返回目录")</x:f>
        <x:v>HYPERLINK is not implemented. linkLocation=#'山海经原文总库'!A3, friendlyName=↩ 返回目录</x:v>
      </x:c>
      <x:c r="I1262" s="75"/>
      <x:c r="J1262" s="75"/>
      <x:c r="K1262" s="75" t="str">
        <x:v>待同名检索｜待建档</x:v>
      </x:c>
    </x:row>
    <x:row r="1263" ht="34.5" customHeight="1">
      <x:c r="A1263" s="74" t="str">
        <x:v>SHJ-11-007</x:v>
      </x:c>
      <x:c r="B1263" s="74" t="str">
        <x:v>卷十一 《海內西經》</x:v>
      </x:c>
      <x:c r="C1263" s="75" t="str">
        <x:v>赤水出東南隅，以行其東北。</x:v>
      </x:c>
      <x:c r="D1263" s="74" t="str">
        <x:v>赤水</x:v>
      </x:c>
      <x:c r="E1263" s="74" t="str">
        <x:v>水系</x:v>
      </x:c>
      <x:c r="F1263" s="76" t="e">
        <x:f>HYPERLINK("#'都广核心区总表'!B45","→ 查看条目")</x:f>
        <x:v>HYPERLINK is not implemented. linkLocation=#'都广核心区总表'!B45, friendlyName=→ 查看条目</x:v>
      </x:c>
      <x:c r="G1263" s="75" t="str">
        <x:v>标点与分段参考《山海经校注》；正文对读：https://ctext.org/shan-hai-jing/hai-nei-xi-jing/zh</x:v>
      </x:c>
      <x:c r="H1263" s="75" t="e">
        <x:f t="shared" si="13">HYPERLINK("#'山海经原文总库'!A3","↩ 返回目录")</x:f>
        <x:v>HYPERLINK is not implemented. linkLocation=#'山海经原文总库'!A3, friendlyName=↩ 返回目录</x:v>
      </x:c>
      <x:c r="I1263" s="75" t="str">
        <x:v>是</x:v>
      </x:c>
      <x:c r="J1263" s="75" t="str">
        <x:v>总表第45行｜X=-650里，Y=+250里（-6.5，+2.5格）｜东北初始流向锁定；氾天终止为跨篇候选</x:v>
      </x:c>
      <x:c r="K1263" s="75" t="str">
        <x:v>已检索｜已建档</x:v>
      </x:c>
    </x:row>
    <x:row r="1264" ht="34.5" customHeight="1">
      <x:c r="A1264" s="74" t="str">
        <x:v>SHJ-11-008-1</x:v>
      </x:c>
      <x:c r="B1264" s="74" t="str">
        <x:v>卷十一 《海內西經》</x:v>
      </x:c>
      <x:c r="C1264" s="75" t="str">
        <x:v>河水出東北隅，以行其北，西南又入渤海，又出海外，即西而北，入禹所導積石山。</x:v>
      </x:c>
      <x:c r="D1264" s="74" t="str">
        <x:v>河水</x:v>
      </x:c>
      <x:c r="E1264" s="74" t="str">
        <x:v>水系</x:v>
      </x:c>
      <x:c r="F1264" s="76" t="e">
        <x:f>HYPERLINK("#'都广核心区总表'!B46","→ 查看条目")</x:f>
        <x:v>HYPERLINK is not implemented. linkLocation=#'都广核心区总表'!B46, friendlyName=→ 查看条目</x:v>
      </x:c>
      <x:c r="G1264" s="75" t="str">
        <x:v>标点与分段参考《山海经校注》；正文对读：https://ctext.org/shan-hai-jing/hai-nei-xi-jing/zh</x:v>
      </x:c>
      <x:c r="H1264" s="75" t="e">
        <x:f t="shared" si="13">HYPERLINK("#'山海经原文总库'!A3","↩ 返回目录")</x:f>
        <x:v>HYPERLINK is not implemented. linkLocation=#'山海经原文总库'!A3, friendlyName=↩ 返回目录</x:v>
      </x:c>
      <x:c r="I1264" s="75" t="str">
        <x:v>是</x:v>
      </x:c>
      <x:c r="J1264" s="75" t="str">
        <x:v>总表第46行｜X=-650里，Y=+1050里（-6.5，+10.5格）｜河水跨卷路径已建；节点长度为项目推定</x:v>
      </x:c>
      <x:c r="K1264" s="75" t="str">
        <x:v>已检索｜已建档</x:v>
      </x:c>
    </x:row>
    <x:row r="1265" ht="34.5" customHeight="1">
      <x:c r="A1265" s="74" t="str">
        <x:v>SHJ-11-008-2</x:v>
      </x:c>
      <x:c r="B1265" s="74" t="str">
        <x:v>卷十一 《海內西經》</x:v>
      </x:c>
      <x:c r="C1265" s="75" t="str">
        <x:v>洋水、黑水出西北隅，以東，東行，又東北，南入海，羽民南。</x:v>
      </x:c>
      <x:c r="D1265" s="74" t="str">
        <x:v>洋水</x:v>
      </x:c>
      <x:c r="E1265" s="74" t="str">
        <x:v>水系</x:v>
      </x:c>
      <x:c r="F1265" s="76" t="e">
        <x:f>HYPERLINK("#'都广核心区总表'!B47","→ 查看条目")</x:f>
        <x:v>HYPERLINK is not implemented. linkLocation=#'都广核心区总表'!B47, friendlyName=→ 查看条目</x:v>
      </x:c>
      <x:c r="G1265" s="75" t="str">
        <x:v>标点与分段参考《山海经校注》；正文对读：https://ctext.org/shan-hai-jing/hai-nei-xi-jing/zh</x:v>
      </x:c>
      <x:c r="H1265" s="75" t="e">
        <x:f t="shared" si="13">HYPERLINK("#'山海经原文总库'!A3","↩ 返回目录")</x:f>
        <x:v>HYPERLINK is not implemented. linkLocation=#'山海经原文总库'!A3, friendlyName=↩ 返回目录</x:v>
      </x:c>
      <x:c r="I1265" s="75" t="str">
        <x:v>是</x:v>
      </x:c>
      <x:c r="J1265" s="75" t="str">
        <x:v>总表第47行｜X=-1450里，Y=+1050里（-14.5，+10.5格）｜东—东—东北—南入海次序锁定</x:v>
      </x:c>
      <x:c r="K1265" s="75" t="str">
        <x:v>已检索｜已建档</x:v>
      </x:c>
    </x:row>
    <x:row r="1266" ht="21" customHeight="1">
      <x:c r="A1266" s="74"/>
      <x:c r="B1266" s="74"/>
      <x:c r="C1266" s="75"/>
      <x:c r="D1266" s="74" t="str">
        <x:v>黑水</x:v>
      </x:c>
      <x:c r="E1266" s="74" t="str">
        <x:v>水系</x:v>
      </x:c>
      <x:c r="F1266" s="74" t="e">
        <x:f>HYPERLINK("#'都广核心区总表'!B48","→ 查看条目")</x:f>
        <x:v>HYPERLINK is not implemented. linkLocation=#'都广核心区总表'!B48, friendlyName=→ 查看条目</x:v>
      </x:c>
      <x:c r="G1266" s="75"/>
      <x:c r="H1266" s="75" t="e">
        <x:f t="shared" si="13">HYPERLINK("#'山海经原文总库'!A3","↩ 返回目录")</x:f>
        <x:v>HYPERLINK is not implemented. linkLocation=#'山海经原文总库'!A3, friendlyName=↩ 返回目录</x:v>
      </x:c>
      <x:c r="I1266" s="75" t="str">
        <x:v>是</x:v>
      </x:c>
      <x:c r="J1266" s="75" t="str">
        <x:v>总表第48行｜X=-1450里，Y=+1050里（-14.5，+10.5格）｜昆仑黑水路径锁定；与其他黑水未合并</x:v>
      </x:c>
      <x:c r="K1266" s="75" t="str">
        <x:v>已检索｜已建档</x:v>
      </x:c>
    </x:row>
    <x:row r="1267" ht="21" customHeight="1">
      <x:c r="A1267" s="74"/>
      <x:c r="B1267" s="74"/>
      <x:c r="C1267" s="75"/>
      <x:c r="D1267" s="74" t="str">
        <x:v>海</x:v>
      </x:c>
      <x:c r="E1267" s="74" t="str">
        <x:v>海域</x:v>
      </x:c>
      <x:c r="F1267" s="74" t="e">
        <x:f>HYPERLINK("#'都广核心区总表'!B96","→ 查看条目")</x:f>
        <x:v>HYPERLINK is not implemented. linkLocation=#'都广核心区总表'!B96, friendlyName=→ 查看条目</x:v>
      </x:c>
      <x:c r="G1267" s="75"/>
      <x:c r="H1267" s="75" t="e">
        <x:f t="shared" si="13">HYPERLINK("#'山海经原文总库'!A3","↩ 返回目录")</x:f>
        <x:v>HYPERLINK is not implemented. linkLocation=#'山海经原文总库'!A3, friendlyName=↩ 返回目录</x:v>
      </x:c>
      <x:c r="I1267" s="75" t="str">
        <x:v>是</x:v>
      </x:c>
      <x:c r="J1267" s="75" t="str">
        <x:v>总表第96行｜X=-1179.3里，Y=+1020.7里（-11.8，+10.2格）｜羽民南入海关系锁定</x:v>
      </x:c>
      <x:c r="K1267" s="75" t="str">
        <x:v>已检索｜已建档</x:v>
      </x:c>
    </x:row>
    <x:row r="1268" ht="21" customHeight="1">
      <x:c r="A1268" s="74"/>
      <x:c r="B1268" s="74"/>
      <x:c r="C1268" s="75"/>
      <x:c r="D1268" s="74" t="str">
        <x:v>羽民</x:v>
      </x:c>
      <x:c r="E1268" s="74" t="str">
        <x:v>國家／族群</x:v>
      </x:c>
      <x:c r="F1268" s="74" t="e">
        <x:f>HYPERLINK("#'都广核心区总表'!B95","→ 查看条目")</x:f>
        <x:v>HYPERLINK is not implemented. linkLocation=#'都广核心区总表'!B95, friendlyName=→ 查看条目</x:v>
      </x:c>
      <x:c r="G1268" s="75"/>
      <x:c r="H1268" s="75" t="e">
        <x:f t="shared" si="13">HYPERLINK("#'山海经原文总库'!A3","↩ 返回目录")</x:f>
        <x:v>HYPERLINK is not implemented. linkLocation=#'山海经原文总库'!A3, friendlyName=↩ 返回目录</x:v>
      </x:c>
      <x:c r="I1268" s="75" t="str">
        <x:v>是</x:v>
      </x:c>
      <x:c r="J1268" s="75" t="str">
        <x:v>总表第95行｜X=-1179.3里，Y=+1120.7里（-11.8，+11.2格）｜位于洋黑水入海口北关系锁定</x:v>
      </x:c>
      <x:c r="K1268" s="75" t="str">
        <x:v>已检索｜已建档</x:v>
      </x:c>
    </x:row>
    <x:row r="1269" ht="34.5" customHeight="1">
      <x:c r="A1269" s="74" t="str">
        <x:v>SHJ-11-009</x:v>
      </x:c>
      <x:c r="B1269" s="74" t="str">
        <x:v>卷十一 《海內西經》</x:v>
      </x:c>
      <x:c r="C1269" s="75" t="str">
        <x:v>弱水、青水出西南隅，以東，又北，又西南，過畢方鳥東。</x:v>
      </x:c>
      <x:c r="D1269" s="74" t="str">
        <x:v>弱水</x:v>
      </x:c>
      <x:c r="E1269" s="74" t="str">
        <x:v>水系</x:v>
      </x:c>
      <x:c r="F1269" s="74" t="e">
        <x:f>HYPERLINK("#'都广核心区总表'!B49","→ 查看条目")</x:f>
        <x:v>HYPERLINK is not implemented. linkLocation=#'都广核心区总表'!B49, friendlyName=→ 查看条目</x:v>
      </x:c>
      <x:c r="G1269" s="75" t="str">
        <x:v>标点与分段参考《山海经校注》；正文对读：https://ctext.org/shan-hai-jing/hai-nei-xi-jing/zh</x:v>
      </x:c>
      <x:c r="H1269" s="75" t="e">
        <x:f t="shared" si="13">HYPERLINK("#'山海经原文总库'!A3","↩ 返回目录")</x:f>
        <x:v>HYPERLINK is not implemented. linkLocation=#'山海经原文总库'!A3, friendlyName=↩ 返回目录</x:v>
      </x:c>
      <x:c r="I1269" s="75" t="str">
        <x:v>是</x:v>
      </x:c>
      <x:c r="J1269" s="75" t="str">
        <x:v>总表第49行｜X=-1450里，Y=+250里（-14.5，+2.5格）｜东—北—西南路径已建；与都广弱水未合并</x:v>
      </x:c>
      <x:c r="K1269" s="75" t="str">
        <x:v>已检索｜已建档</x:v>
      </x:c>
    </x:row>
    <x:row r="1270" ht="21" customHeight="1">
      <x:c r="A1270" s="74"/>
      <x:c r="B1270" s="74"/>
      <x:c r="C1270" s="75"/>
      <x:c r="D1270" s="74" t="str">
        <x:v>青水</x:v>
      </x:c>
      <x:c r="E1270" s="74" t="str">
        <x:v>水系</x:v>
      </x:c>
      <x:c r="F1270" s="74" t="e">
        <x:f>HYPERLINK("#'都广核心区总表'!B50","→ 查看条目")</x:f>
        <x:v>HYPERLINK is not implemented. linkLocation=#'都广核心区总表'!B50, friendlyName=→ 查看条目</x:v>
      </x:c>
      <x:c r="G1270" s="75"/>
      <x:c r="H1270" s="75" t="e">
        <x:f>HYPERLINK("#'山海经原文总库'!A3","↩ 返回目录")</x:f>
        <x:v>HYPERLINK is not implemented. linkLocation=#'山海经原文总库'!A3, friendlyName=↩ 返回目录</x:v>
      </x:c>
      <x:c r="I1270" s="75" t="str">
        <x:v>是</x:v>
      </x:c>
      <x:c r="J1270" s="75" t="str">
        <x:v>总表第50行｜X=-1450里，Y=+250里（-14.5，+2.5格）｜水在毕方东关系锁定；与若木青水未合并</x:v>
      </x:c>
      <x:c r="K1270" s="75" t="str">
        <x:v>已检索｜已建档</x:v>
      </x:c>
    </x:row>
    <x:row r="1271" ht="21" customHeight="1">
      <x:c r="A1271" s="74"/>
      <x:c r="B1271" s="74"/>
      <x:c r="C1271" s="75"/>
      <x:c r="D1271" s="74" t="str">
        <x:v>畢方鳥</x:v>
      </x:c>
      <x:c r="E1271" s="74" t="str">
        <x:v>神鳥／地標</x:v>
      </x:c>
      <x:c r="F1271" s="74" t="e">
        <x:f>HYPERLINK("#'都广核心区总表'!B51","→ 查看条目")</x:f>
        <x:v>HYPERLINK is not implemented. linkLocation=#'都广核心区总表'!B51, friendlyName=→ 查看条目</x:v>
      </x:c>
      <x:c r="G1271" s="75"/>
      <x:c r="H1271" s="75" t="e">
        <x:f>HYPERLINK("#'山海经原文总库'!A3","↩ 返回目录")</x:f>
        <x:v>HYPERLINK is not implemented. linkLocation=#'山海经原文总库'!A3, friendlyName=↩ 返回目录</x:v>
      </x:c>
      <x:c r="I1271" s="75" t="str">
        <x:v>是</x:v>
      </x:c>
      <x:c r="J1271" s="75" t="str">
        <x:v>总表第51行｜X=-1450里，Y=+350里（-14.5，+3.5格）｜毕方在青水西关系锁定</x:v>
      </x:c>
      <x:c r="K1271" s="75" t="str">
        <x:v>已检索｜已建档</x:v>
      </x:c>
    </x:row>
    <x:row r="1272" ht="34.5" customHeight="1">
      <x:c r="A1272" s="74" t="str">
        <x:v>SHJ-11-010-1</x:v>
      </x:c>
      <x:c r="B1272" s="74" t="str">
        <x:v>卷十一 《海內西經》</x:v>
      </x:c>
      <x:c r="C1272" s="75" t="str">
        <x:v>崑崙南淵深三百仞。開明獸身大類虎而九首，皆人面，東向立崑崙上。</x:v>
      </x:c>
      <x:c r="D1272" s="74" t="str">
        <x:v>崑崙南淵</x:v>
      </x:c>
      <x:c r="E1272" s="74" t="str">
        <x:v>澤／淵</x:v>
      </x:c>
      <x:c r="F1272" s="74" t="e">
        <x:f>HYPERLINK("#'都广核心区总表'!B52","→ 查看条目")</x:f>
        <x:v>HYPERLINK is not implemented. linkLocation=#'都广核心区总表'!B52, friendlyName=→ 查看条目</x:v>
      </x:c>
      <x:c r="G1272" s="75" t="str">
        <x:v>标点与分段参考《山海经校注》；正文对读：https://ctext.org/shan-hai-jing/hai-nei-xi-jing/zh</x:v>
      </x:c>
      <x:c r="H1272" s="75" t="e">
        <x:f>HYPERLINK("#'山海经原文总库'!A3","↩ 返回目录")</x:f>
        <x:v>HYPERLINK is not implemented. linkLocation=#'山海经原文总库'!A3, friendlyName=↩ 返回目录</x:v>
      </x:c>
      <x:c r="I1272" s="75" t="str">
        <x:v>是</x:v>
      </x:c>
      <x:c r="J1272" s="75" t="str">
        <x:v>总表第52行｜X=-1050里，Y=+250里（-10.5，+2.5格）｜南缘关系锁定；与从极之渊候选叠置，未合并</x:v>
      </x:c>
      <x:c r="K1272" s="75" t="str">
        <x:v>已检索｜已建档</x:v>
      </x:c>
    </x:row>
    <x:row r="1273" ht="21" customHeight="1">
      <x:c r="A1273" s="74"/>
      <x:c r="B1273" s="74"/>
      <x:c r="C1273" s="75"/>
      <x:c r="D1273" s="74" t="str">
        <x:v>開明獸</x:v>
      </x:c>
      <x:c r="E1273" s="74" t="str">
        <x:v>神獸／門守</x:v>
      </x:c>
      <x:c r="F1273" s="74" t="e">
        <x:f>HYPERLINK("#'都广核心区总表'!B69","→ 查看条目")</x:f>
        <x:v>HYPERLINK is not implemented. linkLocation=#'都广核心区总表'!B69, friendlyName=→ 查看条目</x:v>
      </x:c>
      <x:c r="G1273" s="75"/>
      <x:c r="H1273" s="75" t="e">
        <x:f t="shared" ref="H1273:H1278" si="14">HYPERLINK("#'山海经原文总库'!A3","↩ 返回目录")</x:f>
        <x:v>HYPERLINK is not implemented. linkLocation=#'山海经原文总库'!A3, friendlyName=↩ 返回目录</x:v>
      </x:c>
      <x:c r="I1273" s="75" t="str">
        <x:v>是</x:v>
      </x:c>
      <x:c r="J1273" s="75" t="str">
        <x:v>总表第69行｜X=-1050里，Y=+650里（-10.5，+6.5格）｜守门关系与东向锁定；个体数量未锁</x:v>
      </x:c>
      <x:c r="K1273" s="75" t="str">
        <x:v>已检索｜已建档</x:v>
      </x:c>
    </x:row>
    <x:row r="1274" ht="34.5" customHeight="1">
      <x:c r="A1274" s="74" t="str">
        <x:v>SHJ-11-010-2</x:v>
      </x:c>
      <x:c r="B1274" s="74" t="str">
        <x:v>卷十一 《海內西經》</x:v>
      </x:c>
      <x:c r="C1274" s="75" t="str">
        <x:v>開明西有鳳皇、鸞鳥，皆戴蛇踐蛇，膺有赤蛇。</x:v>
      </x:c>
      <x:c r="D1274" s="74" t="str">
        <x:v>開明西</x:v>
      </x:c>
      <x:c r="E1274" s="74" t="str">
        <x:v>方位區域</x:v>
      </x:c>
      <x:c r="F1274" s="74" t="e">
        <x:f>HYPERLINK("#'都广核心区总表'!B71","→ 查看条目")</x:f>
        <x:v>HYPERLINK is not implemented. linkLocation=#'都广核心区总表'!B71, friendlyName=→ 查看条目</x:v>
      </x:c>
      <x:c r="G1274" s="75" t="str">
        <x:v>标点与分段参考《山海经校注》；正文对读：https://ctext.org/shan-hai-jing/hai-nei-xi-jing/zh</x:v>
      </x:c>
      <x:c r="H1274" s="75" t="e">
        <x:f t="shared" si="14">HYPERLINK("#'山海经原文总库'!A3","↩ 返回目录")</x:f>
        <x:v>HYPERLINK is not implemented. linkLocation=#'山海经原文总库'!A3, friendlyName=↩ 返回目录</x:v>
      </x:c>
      <x:c r="I1274" s="75" t="str">
        <x:v>是</x:v>
      </x:c>
      <x:c r="J1274" s="75" t="str">
        <x:v>总表第71行｜X=-1150里，Y=+650里（-11.5，+6.5格）｜西向关系锁定；距离推定</x:v>
      </x:c>
      <x:c r="K1274" s="75" t="str">
        <x:v>已检索｜已建档</x:v>
      </x:c>
    </x:row>
    <x:row r="1275" ht="34.5" customHeight="1">
      <x:c r="A1275" s="74" t="str">
        <x:v>SHJ-11-010-3</x:v>
      </x:c>
      <x:c r="B1275" s="74" t="str">
        <x:v>卷十一 《海內西經》</x:v>
      </x:c>
      <x:c r="C1275" s="75" t="str">
        <x:v>開明北有視肉、珠樹、文玉樹、玗琪樹、不死樹。鳳皇、鸞鳥皆戴瞂。又有離朱、木禾、柏樹、甘水、聖木曼兌，一曰挺木牙交。</x:v>
      </x:c>
      <x:c r="D1275" s="74" t="str">
        <x:v>開明北</x:v>
      </x:c>
      <x:c r="E1275" s="74" t="str">
        <x:v>方位區域</x:v>
      </x:c>
      <x:c r="F1275" s="74" t="e">
        <x:f>HYPERLINK("#'都广核心区总表'!B72","→ 查看条目")</x:f>
        <x:v>HYPERLINK is not implemented. linkLocation=#'都广核心区总表'!B72, friendlyName=→ 查看条目</x:v>
      </x:c>
      <x:c r="G1275" s="75" t="str">
        <x:v>标点与分段参考《山海经校注》；正文对读：https://ctext.org/shan-hai-jing/hai-nei-xi-jing/zh</x:v>
      </x:c>
      <x:c r="H1275" s="75" t="e">
        <x:f t="shared" si="14">HYPERLINK("#'山海经原文总库'!A3","↩ 返回目录")</x:f>
        <x:v>HYPERLINK is not implemented. linkLocation=#'山海经原文总库'!A3, friendlyName=↩ 返回目录</x:v>
      </x:c>
      <x:c r="I1275" s="75" t="str">
        <x:v>是</x:v>
      </x:c>
      <x:c r="J1275" s="75" t="str">
        <x:v>总表第72行｜X=-1050里，Y=+750里（-10.5，+7.5格）｜北向关系锁定；内部次序与距离未锁</x:v>
      </x:c>
      <x:c r="K1275" s="75" t="str">
        <x:v>已检索｜已建档</x:v>
      </x:c>
    </x:row>
    <x:row r="1276" ht="21" customHeight="1">
      <x:c r="A1276" s="74"/>
      <x:c r="B1276" s="74"/>
      <x:c r="C1276" s="75"/>
      <x:c r="D1276" s="74" t="str">
        <x:v>甘水</x:v>
      </x:c>
      <x:c r="E1276" s="74" t="str">
        <x:v>水系／水域</x:v>
      </x:c>
      <x:c r="F1276" s="76" t="e">
        <x:f>HYPERLINK("#'都广核心区总表'!B72","→ 查看条目")</x:f>
        <x:v>HYPERLINK is not implemented. linkLocation=#'都广核心区总表'!B72, friendlyName=→ 查看条目</x:v>
      </x:c>
      <x:c r="G1276" s="75"/>
      <x:c r="H1276" s="75" t="e">
        <x:f t="shared" si="14">HYPERLINK("#'山海经原文总库'!A3","↩ 返回目录")</x:f>
        <x:v>HYPERLINK is not implemented. linkLocation=#'山海经原文总库'!A3, friendlyName=↩ 返回目录</x:v>
      </x:c>
      <x:c r="I1276" s="75" t="str">
        <x:v>是</x:v>
      </x:c>
      <x:c r="J1276" s="75" t="str">
        <x:v>总表第72行｜X=-1050里，Y=+750里（-10.5，+7.5格）｜北向关系锁定；内部次序与距离未锁</x:v>
      </x:c>
      <x:c r="K1276" s="75" t="str">
        <x:v>已检索｜已建档</x:v>
      </x:c>
    </x:row>
    <x:row r="1277" ht="34.5" customHeight="1">
      <x:c r="A1277" s="74" t="str">
        <x:v>SHJ-11-010-4</x:v>
      </x:c>
      <x:c r="B1277" s="74" t="str">
        <x:v>卷十一 《海內西經》</x:v>
      </x:c>
      <x:c r="C1277" s="75" t="str">
        <x:v>開明東有巫彭、巫抵、巫陽、巫履、巫凡、巫相，夾窫窳之屍，皆操不死之藥以距之。窫窳者，蛇身人面，貳負臣所殺也。</x:v>
      </x:c>
      <x:c r="D1277" s="74" t="str">
        <x:v>開明東</x:v>
      </x:c>
      <x:c r="E1277" s="74" t="str">
        <x:v>方位區域</x:v>
      </x:c>
      <x:c r="F1277" s="76" t="e">
        <x:f>HYPERLINK("#'都广核心区总表'!B73","→ 查看条目")</x:f>
        <x:v>HYPERLINK is not implemented. linkLocation=#'都广核心区总表'!B73, friendlyName=→ 查看条目</x:v>
      </x:c>
      <x:c r="G1277" s="75" t="str">
        <x:v>标点与分段参考《山海经校注》；正文对读：https://ctext.org/shan-hai-jing/hai-nei-xi-jing/zh</x:v>
      </x:c>
      <x:c r="H1277" s="75" t="e">
        <x:f t="shared" si="14">HYPERLINK("#'山海经原文总库'!A3","↩ 返回目录")</x:f>
        <x:v>HYPERLINK is not implemented. linkLocation=#'山海经原文总库'!A3, friendlyName=↩ 返回目录</x:v>
      </x:c>
      <x:c r="I1277" s="75" t="str">
        <x:v>是</x:v>
      </x:c>
      <x:c r="J1277" s="75" t="str">
        <x:v>总表第73行｜X=-950里，Y=+650里（-9.5，+6.5格）｜东向关系与六巫事件锁定；距离推定</x:v>
      </x:c>
      <x:c r="K1277" s="75" t="str">
        <x:v>已检索｜已建档</x:v>
      </x:c>
    </x:row>
    <x:row r="1278" ht="21" customHeight="1">
      <x:c r="A1278" s="74"/>
      <x:c r="B1278" s="74"/>
      <x:c r="C1278" s="75"/>
      <x:c r="D1278" s="74" t="str">
        <x:v>窫窳之尸</x:v>
      </x:c>
      <x:c r="E1278" s="74" t="str">
        <x:v>屍體／事件地標</x:v>
      </x:c>
      <x:c r="F1278" s="76" t="e">
        <x:f>HYPERLINK("#'都广核心区总表'!B73","→ 查看条目")</x:f>
        <x:v>HYPERLINK is not implemented. linkLocation=#'都广核心区总表'!B73, friendlyName=→ 查看条目</x:v>
      </x:c>
      <x:c r="G1278" s="75"/>
      <x:c r="H1278" s="75" t="e">
        <x:f t="shared" si="14">HYPERLINK("#'山海经原文总库'!A3","↩ 返回目录")</x:f>
        <x:v>HYPERLINK is not implemented. linkLocation=#'山海经原文总库'!A3, friendlyName=↩ 返回目录</x:v>
      </x:c>
      <x:c r="I1278" s="75" t="str">
        <x:v>是</x:v>
      </x:c>
      <x:c r="J1278" s="75" t="str">
        <x:v>总表第73行｜X=-950里，Y=+650里（-9.5，+6.5格）｜东向关系与六巫事件锁定；距离推定</x:v>
      </x:c>
      <x:c r="K1278" s="75" t="str">
        <x:v>已检索｜已建档</x:v>
      </x:c>
    </x:row>
    <x:row r="1279" ht="63" customHeight="1">
      <x:c r="A1279" s="74" t="str">
        <x:v>SHJ-11-010-5-1</x:v>
      </x:c>
      <x:c r="B1279" s="74" t="str">
        <x:v>卷十一 《海內西經》</x:v>
      </x:c>
      <x:c r="C1279" s="75" t="str">
        <x:v>服常樹，其上有三頭人，伺琅玕樹。</x:v>
      </x:c>
      <x:c r="D1279" s="74" t="str">
        <x:v>服常樹</x:v>
      </x:c>
      <x:c r="E1279" s="74" t="str">
        <x:v>神木／地標</x:v>
      </x:c>
      <x:c r="F1279" s="76" t="e">
        <x:f>HYPERLINK("#'都广核心区总表'!B82","→ 查看条目")</x:f>
        <x:v>HYPERLINK is not implemented. linkLocation=#'都广核心区总表'!B82, friendlyName=→ 查看条目</x:v>
      </x:c>
      <x:c r="G1279" s="75" t="str">
        <x:v>标点与分段参考《山海经校注》；正文对读：https://ctext.org/shan-hai-jing/hai-nei-xi-jing/zh</x:v>
      </x:c>
      <x:c r="H1279" s="75" t="e">
        <x:f>HYPERLINK("#'山海经原文总库'!A3","↩ 返回目录")</x:f>
        <x:v>HYPERLINK is not implemented. linkLocation=#'山海经原文总库'!A3, friendlyName=↩ 返回目录</x:v>
      </x:c>
      <x:c r="I1279" s="75" t="str">
        <x:v>是</x:v>
      </x:c>
      <x:c r="J1279" s="75" t="str">
        <x:v>总表第82行｜X=-1050里，Y=+650里（-10.5，+6.5格）｜服常树—三头人—琅玕树关系锁定；昆仑内部方向未锁</x:v>
      </x:c>
      <x:c r="K1279" s="75" t="str">
        <x:v>已检索｜已建档</x:v>
      </x:c>
    </x:row>
    <x:row r="1280" ht="21" customHeight="1">
      <x:c r="A1280" s="74" t="str">
        <x:v>SHJ-11-010-5-2</x:v>
      </x:c>
      <x:c r="B1280" s="74" t="str">
        <x:v>卷十一 《海內西經》</x:v>
      </x:c>
      <x:c r="C1280" s="75"/>
      <x:c r="D1280" s="74" t="str">
        <x:v>琅玕樹</x:v>
      </x:c>
      <x:c r="E1280" s="74" t="str">
        <x:v>神木／地標</x:v>
      </x:c>
      <x:c r="F1280" s="76" t="e">
        <x:f>HYPERLINK("#'都广核心区总表'!B83","→ 查看条目")</x:f>
        <x:v>HYPERLINK is not implemented. linkLocation=#'都广核心区总表'!B83, friendlyName=→ 查看条目</x:v>
      </x:c>
      <x:c r="G1280" s="75" t="str">
        <x:v>标点与分段参考《山海经校注》；正文对读：https://ctext.org/shan-hai-jing/hai-nei-xi-jing/zh</x:v>
      </x:c>
      <x:c r="H1280" s="75" t="e">
        <x:f t="shared" ref="H1280:H1295" si="15">HYPERLINK("#'山海经原文总库'!A3","↩ 返回目录")</x:f>
        <x:v>HYPERLINK is not implemented. linkLocation=#'山海经原文总库'!A3, friendlyName=↩ 返回目录</x:v>
      </x:c>
      <x:c r="I1280" s="75" t="str">
        <x:v>是</x:v>
      </x:c>
      <x:c r="J1280" s="75" t="str">
        <x:v>总表第83行｜X=-1050里，Y=+650里（-10.5，+6.5格）｜与服常树的守望关系锁定；具体方位与距离未锁</x:v>
      </x:c>
      <x:c r="K1280" s="75" t="str">
        <x:v>已检索｜已建档</x:v>
      </x:c>
    </x:row>
    <x:row r="1281" ht="63" customHeight="1">
      <x:c r="A1281" s="74" t="str">
        <x:v>SHJ-11-010-6-1</x:v>
      </x:c>
      <x:c r="B1281" s="74" t="str">
        <x:v>卷十一 《海內西經》</x:v>
      </x:c>
      <x:c r="C1281" s="75" t="str">
        <x:v>開明南有樹鳥，六首；蛟、蝮、蛇、蜼、豹、鳥秩樹，於表池樹木，誦鳥、鶽、視肉。</x:v>
      </x:c>
      <x:c r="D1281" s="74" t="str">
        <x:v>開明南</x:v>
      </x:c>
      <x:c r="E1281" s="74" t="str">
        <x:v>方位區域</x:v>
      </x:c>
      <x:c r="F1281" s="74" t="e">
        <x:f>HYPERLINK("#'都广核心区总表'!B74","→ 查看条目")</x:f>
        <x:v>HYPERLINK is not implemented. linkLocation=#'都广核心区总表'!B74, friendlyName=→ 查看条目</x:v>
      </x:c>
      <x:c r="G1281" s="75" t="str">
        <x:v>标点与分段参考《山海经校注》；正文对读：https://ctext.org/shan-hai-jing/hai-nei-xi-jing/zh</x:v>
      </x:c>
      <x:c r="H1281" s="75" t="e">
        <x:f t="shared" si="15">HYPERLINK("#'山海经原文总库'!A3","↩ 返回目录")</x:f>
        <x:v>HYPERLINK is not implemented. linkLocation=#'山海经原文总库'!A3, friendlyName=↩ 返回目录</x:v>
      </x:c>
      <x:c r="I1281" s="75" t="str">
        <x:v>是</x:v>
      </x:c>
      <x:c r="J1281" s="75" t="str">
        <x:v>总表第74行｜X=-1050里，Y=+550里（-10.5，+5.5格）｜南向关系锁定；内部次序与距离未锁</x:v>
      </x:c>
      <x:c r="K1281" s="75" t="str">
        <x:v>已检索｜已建档</x:v>
      </x:c>
    </x:row>
    <x:row r="1282" ht="21" customHeight="1">
      <x:c r="A1282" s="74" t="str">
        <x:v>SHJ-11-010-6-2</x:v>
      </x:c>
      <x:c r="B1282" s="74" t="str">
        <x:v>卷十一 《海內西經》</x:v>
      </x:c>
      <x:c r="C1282" s="75"/>
      <x:c r="D1282" s="74" t="str">
        <x:v>表池</x:v>
      </x:c>
      <x:c r="E1282" s="74" t="str">
        <x:v>池／水域</x:v>
      </x:c>
      <x:c r="F1282" s="74" t="e">
        <x:f>HYPERLINK("#'都广核心区总表'!B74","→ 查看条目")</x:f>
        <x:v>HYPERLINK is not implemented. linkLocation=#'都广核心区总表'!B74, friendlyName=→ 查看条目</x:v>
      </x:c>
      <x:c r="G1282" s="75" t="str">
        <x:v>标点与分段参考《山海经校注》；正文对读：https://ctext.org/shan-hai-jing/hai-nei-xi-jing/zh</x:v>
      </x:c>
      <x:c r="H1282" s="75" t="e">
        <x:f t="shared" si="15">HYPERLINK("#'山海经原文总库'!A3","↩ 返回目录")</x:f>
        <x:v>HYPERLINK is not implemented. linkLocation=#'山海经原文总库'!A3, friendlyName=↩ 返回目录</x:v>
      </x:c>
      <x:c r="I1282" s="75" t="str">
        <x:v>是</x:v>
      </x:c>
      <x:c r="J1282" s="75" t="str">
        <x:v>总表第74行｜X=-1050里，Y=+550里（-10.5，+5.5格）｜南向关系锁定；内部次序与距离未锁</x:v>
      </x:c>
      <x:c r="K1282" s="75" t="str">
        <x:v>已检索｜已建档</x:v>
      </x:c>
    </x:row>
    <x:row r="1283" ht="34.5" customHeight="1">
      <x:c r="A1283" s="74" t="str">
        <x:v>SHJ-12-001-1</x:v>
      </x:c>
      <x:c r="B1283" s="74" t="str">
        <x:v>卷十二 《海內北經》</x:v>
      </x:c>
      <x:c r="C1283" s="75" t="str">
        <x:v>海內西北陬以東者。</x:v>
      </x:c>
      <x:c r="D1283" s="74" t="str">
        <x:v>海內西北陬</x:v>
      </x:c>
      <x:c r="E1283" s="74" t="str">
        <x:v>區域</x:v>
      </x:c>
      <x:c r="F1283" s="74"/>
      <x:c r="G1283" s="75" t="str">
        <x:v>标点与分段参考《山海经校注》；正文对读：https://ctext.org/shan-hai-jing/hai-nei-bei-jing/zh</x:v>
      </x:c>
      <x:c r="H1283" s="75" t="e">
        <x:f t="shared" si="15">HYPERLINK("#'山海经原文总库'!A3","↩ 返回目录")</x:f>
        <x:v>HYPERLINK is not implemented. linkLocation=#'山海经原文总库'!A3, friendlyName=↩ 返回目录</x:v>
      </x:c>
      <x:c r="I1283" s="75"/>
      <x:c r="J1283" s="75"/>
      <x:c r="K1283" s="75" t="str">
        <x:v>待同名检索｜待建档</x:v>
      </x:c>
    </x:row>
    <x:row r="1284" ht="34.5" customHeight="1">
      <x:c r="A1284" s="74" t="str">
        <x:v>SHJ-12-001-2</x:v>
      </x:c>
      <x:c r="B1284" s="74" t="str">
        <x:v>卷十二 《海內北經》</x:v>
      </x:c>
      <x:c r="C1284" s="75" t="str">
        <x:v>蛇巫之山，上有人操柸而東向立。一曰龜山。</x:v>
      </x:c>
      <x:c r="D1284" s="74" t="str">
        <x:v>蛇巫之山</x:v>
      </x:c>
      <x:c r="E1284" s="74" t="str">
        <x:v>山</x:v>
      </x:c>
      <x:c r="F1284" s="74"/>
      <x:c r="G1284" s="75" t="str">
        <x:v>标点与分段参考《山海经校注》；正文对读：https://ctext.org/shan-hai-jing/hai-nei-bei-jing/zh</x:v>
      </x:c>
      <x:c r="H1284" s="75" t="e">
        <x:f t="shared" si="15">HYPERLINK("#'山海经原文总库'!A3","↩ 返回目录")</x:f>
        <x:v>HYPERLINK is not implemented. linkLocation=#'山海经原文总库'!A3, friendlyName=↩ 返回目录</x:v>
      </x:c>
      <x:c r="I1284" s="75"/>
      <x:c r="J1284" s="75"/>
      <x:c r="K1284" s="75" t="str">
        <x:v>待同名检索｜待建档</x:v>
      </x:c>
    </x:row>
    <x:row r="1285" ht="34.5" customHeight="1">
      <x:c r="A1285" s="74"/>
      <x:c r="B1285" s="74"/>
      <x:c r="C1285" s="75"/>
      <x:c r="D1285" s="74" t="str">
        <x:v>龜山</x:v>
      </x:c>
      <x:c r="E1285" s="74" t="str">
        <x:v>山</x:v>
      </x:c>
      <x:c r="F1285" s="74"/>
      <x:c r="G1285" s="75"/>
      <x:c r="H1285" s="75" t="e">
        <x:f t="shared" si="15">HYPERLINK("#'山海经原文总库'!A3","↩ 返回目录")</x:f>
        <x:v>HYPERLINK is not implemented. linkLocation=#'山海经原文总库'!A3, friendlyName=↩ 返回目录</x:v>
      </x:c>
      <x:c r="I1285" s="75"/>
      <x:c r="J1285" s="75"/>
      <x:c r="K1285" s="75" t="str">
        <x:v>待同名检索｜待建档</x:v>
      </x:c>
    </x:row>
    <x:row r="1286" ht="34.5" customHeight="1">
      <x:c r="A1286" s="74" t="str">
        <x:v>SHJ-12-001-3</x:v>
      </x:c>
      <x:c r="B1286" s="74" t="str">
        <x:v>卷十二 《海內北經》</x:v>
      </x:c>
      <x:c r="C1286" s="75" t="str">
        <x:v>西王母梯幾而戴勝杖，其南有三青鳥，為西王母取食。在崑崙虛北。</x:v>
      </x:c>
      <x:c r="D1286" s="74" t="str">
        <x:v>西王母</x:v>
      </x:c>
      <x:c r="E1286" s="74" t="str">
        <x:v>神祇／地標</x:v>
      </x:c>
      <x:c r="F1286" s="76" t="e">
        <x:f>HYPERLINK("#'都广核心区总表'!B58","→ 查看条目")</x:f>
        <x:v>HYPERLINK is not implemented. linkLocation=#'都广核心区总表'!B58, friendlyName=→ 查看条目</x:v>
      </x:c>
      <x:c r="G1286" s="75" t="str">
        <x:v>标点与分段参考《山海经校注》；正文对读：https://ctext.org/shan-hai-jing/hai-nei-bei-jing/zh</x:v>
      </x:c>
      <x:c r="H1286" s="75" t="e">
        <x:f t="shared" si="15">HYPERLINK("#'山海经原文总库'!A3","↩ 返回目录")</x:f>
        <x:v>HYPERLINK is not implemented. linkLocation=#'山海经原文总库'!A3, friendlyName=↩ 返回目录</x:v>
      </x:c>
      <x:c r="I1286" s="75" t="str">
        <x:v>是</x:v>
      </x:c>
      <x:c r="J1286" s="75" t="str">
        <x:v>总表第58行｜X=-1050里，Y=+1250里（-10.5，+12.5格）｜西王母昆仑虚北层保持独立</x:v>
      </x:c>
      <x:c r="K1286" s="75" t="str">
        <x:v>已检索｜已建档</x:v>
      </x:c>
    </x:row>
    <x:row r="1287" ht="34.5" customHeight="1">
      <x:c r="A1287" s="74"/>
      <x:c r="B1287" s="74"/>
      <x:c r="C1287" s="75"/>
      <x:c r="D1287" s="74" t="str">
        <x:v>三青鳥</x:v>
      </x:c>
      <x:c r="E1287" s="74" t="str">
        <x:v>神鳥／地標</x:v>
      </x:c>
      <x:c r="F1287" s="76" t="e">
        <x:f>HYPERLINK("#'都广核心区总表'!B59","→ 查看条目")</x:f>
        <x:v>HYPERLINK is not implemented. linkLocation=#'都广核心区总表'!B59, friendlyName=→ 查看条目</x:v>
      </x:c>
      <x:c r="G1287" s="75"/>
      <x:c r="H1287" s="75" t="e">
        <x:f t="shared" si="15">HYPERLINK("#'山海经原文总库'!A3","↩ 返回目录")</x:f>
        <x:v>HYPERLINK is not implemented. linkLocation=#'山海经原文总库'!A3, friendlyName=↩ 返回目录</x:v>
      </x:c>
      <x:c r="I1287" s="75" t="str">
        <x:v>是</x:v>
      </x:c>
      <x:c r="J1287" s="75" t="str">
        <x:v>总表第59行｜X=-1050里，Y=+1150里（-10.5，+11.5格）｜三青鸟昆仑北任务点；与三危居所同群候选</x:v>
      </x:c>
      <x:c r="K1287" s="75" t="str">
        <x:v>已检索｜已建档</x:v>
      </x:c>
    </x:row>
    <x:row r="1288" ht="34.5" customHeight="1">
      <x:c r="A1288" s="74"/>
      <x:c r="B1288" s="74"/>
      <x:c r="C1288" s="75"/>
      <x:c r="D1288" s="74" t="str">
        <x:v>崑崙虛</x:v>
      </x:c>
      <x:c r="E1288" s="74" t="str">
        <x:v>山岳／區域</x:v>
      </x:c>
      <x:c r="F1288" s="76" t="e">
        <x:f>HYPERLINK("#'都广核心区总表'!B44","→ 查看条目")</x:f>
        <x:v>HYPERLINK is not implemented. linkLocation=#'都广核心区总表'!B44, friendlyName=→ 查看条目</x:v>
      </x:c>
      <x:c r="G1288" s="75"/>
      <x:c r="H1288" s="75" t="e">
        <x:f t="shared" si="15">HYPERLINK("#'山海经原文总库'!A3","↩ 返回目录")</x:f>
        <x:v>HYPERLINK is not implemented. linkLocation=#'山海经原文总库'!A3, friendlyName=↩ 返回目录</x:v>
      </x:c>
      <x:c r="I1288" s="75" t="str">
        <x:v>是</x:v>
      </x:c>
      <x:c r="J1288" s="75" t="str">
        <x:v>总表第44行｜X=-1050里，Y=+650里（-10.5，+6.5格）｜内部结构锁定；相对都广的绝对距离未锁</x:v>
      </x:c>
      <x:c r="K1288" s="75" t="str">
        <x:v>已检索｜已建档</x:v>
      </x:c>
    </x:row>
    <x:row r="1289" ht="34.5" customHeight="1">
      <x:c r="A1289" s="74" t="str">
        <x:v>SHJ-12-001-4</x:v>
      </x:c>
      <x:c r="B1289" s="74" t="str">
        <x:v>卷十二 《海內北經》</x:v>
      </x:c>
      <x:c r="C1289" s="75" t="str">
        <x:v>有人曰大行伯，把戈。其東有犬封國。貳負之屍在大行伯東。</x:v>
      </x:c>
      <x:c r="D1289" s="74" t="str">
        <x:v>大行伯</x:v>
      </x:c>
      <x:c r="E1289" s="74" t="str">
        <x:v>人物／地標</x:v>
      </x:c>
      <x:c r="F1289" s="74"/>
      <x:c r="G1289" s="75" t="str">
        <x:v>标点与分段参考《山海经校注》；正文对读：https://ctext.org/shan-hai-jing/hai-nei-bei-jing/zh</x:v>
      </x:c>
      <x:c r="H1289" s="75" t="e">
        <x:f t="shared" si="15">HYPERLINK("#'山海经原文总库'!A3","↩ 返回目录")</x:f>
        <x:v>HYPERLINK is not implemented. linkLocation=#'山海经原文总库'!A3, friendlyName=↩ 返回目录</x:v>
      </x:c>
      <x:c r="I1289" s="75"/>
      <x:c r="J1289" s="75"/>
      <x:c r="K1289" s="75" t="str">
        <x:v>待同名检索｜待建档</x:v>
      </x:c>
    </x:row>
    <x:row r="1290" ht="34.5" customHeight="1">
      <x:c r="A1290" s="74"/>
      <x:c r="B1290" s="74"/>
      <x:c r="C1290" s="75"/>
      <x:c r="D1290" s="74" t="str">
        <x:v>犬封國</x:v>
      </x:c>
      <x:c r="E1290" s="74" t="str">
        <x:v>國家</x:v>
      </x:c>
      <x:c r="F1290" s="74"/>
      <x:c r="G1290" s="75"/>
      <x:c r="H1290" s="75" t="e">
        <x:f t="shared" si="15">HYPERLINK("#'山海经原文总库'!A3","↩ 返回目录")</x:f>
        <x:v>HYPERLINK is not implemented. linkLocation=#'山海经原文总库'!A3, friendlyName=↩ 返回目录</x:v>
      </x:c>
      <x:c r="I1290" s="75"/>
      <x:c r="J1290" s="75"/>
      <x:c r="K1290" s="75" t="str">
        <x:v>待同名检索｜待建档</x:v>
      </x:c>
    </x:row>
    <x:row r="1291" ht="34.5" customHeight="1">
      <x:c r="A1291" s="74"/>
      <x:c r="B1291" s="74"/>
      <x:c r="C1291" s="75"/>
      <x:c r="D1291" s="74" t="str">
        <x:v>貳負之屍</x:v>
      </x:c>
      <x:c r="E1291" s="74" t="str">
        <x:v>屍體／地標</x:v>
      </x:c>
      <x:c r="F1291" s="74"/>
      <x:c r="G1291" s="75"/>
      <x:c r="H1291" s="75" t="e">
        <x:f t="shared" si="15">HYPERLINK("#'山海经原文总库'!A3","↩ 返回目录")</x:f>
        <x:v>HYPERLINK is not implemented. linkLocation=#'山海经原文总库'!A3, friendlyName=↩ 返回目录</x:v>
      </x:c>
      <x:c r="I1291" s="75"/>
      <x:c r="J1291" s="75"/>
      <x:c r="K1291" s="75" t="str">
        <x:v>待同名检索｜待建档</x:v>
      </x:c>
    </x:row>
    <x:row r="1292" ht="34.5" customHeight="1">
      <x:c r="A1292" s="74" t="str">
        <x:v>SHJ-12-002</x:v>
      </x:c>
      <x:c r="B1292" s="74" t="str">
        <x:v>卷十二 《海內北經》</x:v>
      </x:c>
      <x:c r="C1292" s="75" t="str">
        <x:v>犬封國曰犬戎國，狀如犬。有一女子，方跪進柸食。有文馬，縞身朱鬣，目若黃金，名曰吉量，乘之壽千歲。</x:v>
      </x:c>
      <x:c r="D1292" s="74" t="str">
        <x:v>犬封國</x:v>
      </x:c>
      <x:c r="E1292" s="74" t="str">
        <x:v>國家</x:v>
      </x:c>
      <x:c r="F1292" s="74"/>
      <x:c r="G1292" s="75" t="str">
        <x:v>标点与分段参考《山海经校注》；正文对读：https://ctext.org/shan-hai-jing/hai-nei-bei-jing/zh</x:v>
      </x:c>
      <x:c r="H1292" s="75" t="e">
        <x:f t="shared" si="15">HYPERLINK("#'山海经原文总库'!A3","↩ 返回目录")</x:f>
        <x:v>HYPERLINK is not implemented. linkLocation=#'山海经原文总库'!A3, friendlyName=↩ 返回目录</x:v>
      </x:c>
      <x:c r="I1292" s="75"/>
      <x:c r="J1292" s="75"/>
      <x:c r="K1292" s="75" t="str">
        <x:v>待同名检索｜待建档</x:v>
      </x:c>
    </x:row>
    <x:row r="1293" ht="34.5" customHeight="1">
      <x:c r="A1293" s="74"/>
      <x:c r="B1293" s="74"/>
      <x:c r="C1293" s="75"/>
      <x:c r="D1293" s="74" t="str">
        <x:v>犬戎國</x:v>
      </x:c>
      <x:c r="E1293" s="74" t="str">
        <x:v>國家</x:v>
      </x:c>
      <x:c r="F1293" s="74"/>
      <x:c r="G1293" s="75"/>
      <x:c r="H1293" s="75" t="e">
        <x:f t="shared" si="15">HYPERLINK("#'山海经原文总库'!A3","↩ 返回目录")</x:f>
        <x:v>HYPERLINK is not implemented. linkLocation=#'山海经原文总库'!A3, friendlyName=↩ 返回目录</x:v>
      </x:c>
      <x:c r="I1293" s="75"/>
      <x:c r="J1293" s="75"/>
      <x:c r="K1293" s="75" t="str">
        <x:v>待同名检索｜待建档</x:v>
      </x:c>
    </x:row>
    <x:row r="1294" ht="34.5" customHeight="1">
      <x:c r="A1294" s="74" t="str">
        <x:v>SHJ-12-003-1</x:v>
      </x:c>
      <x:c r="B1294" s="74" t="str">
        <x:v>卷十二 《海內北經》</x:v>
      </x:c>
      <x:c r="C1294" s="75" t="str">
        <x:v>鬼國在貳負之屍北，為物人面而一目。一曰貳負神在其東，為物人面蛇身。</x:v>
      </x:c>
      <x:c r="D1294" s="74" t="str">
        <x:v>鬼國</x:v>
      </x:c>
      <x:c r="E1294" s="74" t="str">
        <x:v>國家</x:v>
      </x:c>
      <x:c r="F1294" s="74"/>
      <x:c r="G1294" s="75" t="str">
        <x:v>标点与分段参考《山海经校注》；正文对读：https://ctext.org/shan-hai-jing/hai-nei-bei-jing/zh</x:v>
      </x:c>
      <x:c r="H1294" s="75" t="e">
        <x:f t="shared" si="15">HYPERLINK("#'山海经原文总库'!A3","↩ 返回目录")</x:f>
        <x:v>HYPERLINK is not implemented. linkLocation=#'山海经原文总库'!A3, friendlyName=↩ 返回目录</x:v>
      </x:c>
      <x:c r="I1294" s="75"/>
      <x:c r="J1294" s="75"/>
      <x:c r="K1294" s="75" t="str">
        <x:v>待同名检索｜待建档</x:v>
      </x:c>
    </x:row>
    <x:row r="1295" ht="34.5" customHeight="1">
      <x:c r="A1295" s="74"/>
      <x:c r="B1295" s="74"/>
      <x:c r="C1295" s="75"/>
      <x:c r="D1295" s="74" t="str">
        <x:v>貳負之屍</x:v>
      </x:c>
      <x:c r="E1295" s="74" t="str">
        <x:v>屍體／地標</x:v>
      </x:c>
      <x:c r="F1295" s="74"/>
      <x:c r="G1295" s="75"/>
      <x:c r="H1295" s="75" t="e">
        <x:f t="shared" si="15">HYPERLINK("#'山海经原文总库'!A3","↩ 返回目录")</x:f>
        <x:v>HYPERLINK is not implemented. linkLocation=#'山海经原文总库'!A3, friendlyName=↩ 返回目录</x:v>
      </x:c>
      <x:c r="I1295" s="75"/>
      <x:c r="J1295" s="75"/>
      <x:c r="K1295" s="75" t="str">
        <x:v>待同名检索｜待建档</x:v>
      </x:c>
    </x:row>
    <x:row r="1296" ht="34.5" customHeight="1">
      <x:c r="A1296" s="74" t="str">
        <x:v>SHJ-12-003-2</x:v>
      </x:c>
      <x:c r="B1296" s="74" t="str">
        <x:v>卷十二 《海內北經》</x:v>
      </x:c>
      <x:c r="C1296" s="75" t="str">
        <x:v>蜪犬如犬，青，食人從首始。</x:v>
      </x:c>
      <x:c r="D1296" s="74"/>
      <x:c r="E1296" s="74"/>
      <x:c r="F1296" s="74"/>
      <x:c r="G1296" s="75" t="str">
        <x:v>标点与分段参考《山海经校注》；正文对读：https://ctext.org/shan-hai-jing/hai-nei-bei-jing/zh</x:v>
      </x:c>
      <x:c r="H1296" s="75" t="e">
        <x:f>HYPERLINK("#'山海经原文总库'!A3","↩ 返回目录")</x:f>
        <x:v>HYPERLINK is not implemented. linkLocation=#'山海经原文总库'!A3, friendlyName=↩ 返回目录</x:v>
      </x:c>
      <x:c r="I1296" s="75"/>
      <x:c r="J1296" s="75"/>
      <x:c r="K1296" s="75" t="str">
        <x:v>经文已收录｜非地点行</x:v>
      </x:c>
    </x:row>
    <x:row r="1297" ht="34.5" customHeight="1">
      <x:c r="A1297" s="74" t="str">
        <x:v>SHJ-12-003-3</x:v>
      </x:c>
      <x:c r="B1297" s="74" t="str">
        <x:v>卷十二 《海內北經》</x:v>
      </x:c>
      <x:c r="C1297" s="75" t="str">
        <x:v>窮奇狀如虎，有翼，食人從首始，所食被發，在蜪犬北。一曰從足。</x:v>
      </x:c>
      <x:c r="D1297" s="74" t="str">
        <x:v>窮奇</x:v>
      </x:c>
      <x:c r="E1297" s="74" t="str">
        <x:v>異獸／地標</x:v>
      </x:c>
      <x:c r="F1297" s="74"/>
      <x:c r="G1297" s="75" t="str">
        <x:v>标点与分段参考《山海经校注》；正文对读：https://ctext.org/shan-hai-jing/hai-nei-bei-jing/zh</x:v>
      </x:c>
      <x:c r="H1297" s="75" t="e">
        <x:f>HYPERLINK("#'山海经原文总库'!A3","↩ 返回目录")</x:f>
        <x:v>HYPERLINK is not implemented. linkLocation=#'山海经原文总库'!A3, friendlyName=↩ 返回目录</x:v>
      </x:c>
      <x:c r="I1297" s="75"/>
      <x:c r="J1297" s="75"/>
      <x:c r="K1297" s="75" t="str">
        <x:v>待同名检索｜待建档</x:v>
      </x:c>
    </x:row>
    <x:row r="1298" ht="34.5" customHeight="1">
      <x:c r="A1298" s="74"/>
      <x:c r="B1298" s="74"/>
      <x:c r="C1298" s="75"/>
      <x:c r="D1298" s="74" t="str">
        <x:v>蜪犬</x:v>
      </x:c>
      <x:c r="E1298" s="74" t="str">
        <x:v>異獸／地標</x:v>
      </x:c>
      <x:c r="F1298" s="74"/>
      <x:c r="G1298" s="75"/>
      <x:c r="H1298" s="75" t="e">
        <x:f>HYPERLINK("#'山海经原文总库'!A3","↩ 返回目录")</x:f>
        <x:v>HYPERLINK is not implemented. linkLocation=#'山海经原文总库'!A3, friendlyName=↩ 返回目录</x:v>
      </x:c>
      <x:c r="I1298" s="75"/>
      <x:c r="J1298" s="75"/>
      <x:c r="K1298" s="75" t="str">
        <x:v>待同名检索｜待建档</x:v>
      </x:c>
    </x:row>
    <x:row r="1299" ht="34.5" customHeight="1">
      <x:c r="A1299" s="74" t="str">
        <x:v>SHJ-12-003-4</x:v>
      </x:c>
      <x:c r="B1299" s="74" t="str">
        <x:v>卷十二 《海內北經》</x:v>
      </x:c>
      <x:c r="C1299" s="75" t="str">
        <x:v>帝堯台、帝嚳台、帝丹朱台、帝舜台，各二台，台四方，在崑崙東北。</x:v>
      </x:c>
      <x:c r="D1299" s="74" t="str">
        <x:v>四帝台（整體）</x:v>
      </x:c>
      <x:c r="E1299" s="74" t="str">
        <x:v>台群／區域</x:v>
      </x:c>
      <x:c r="F1299" s="74" t="e">
        <x:f>HYPERLINK("#'都广核心区总表'!B60","→ 查看条目")</x:f>
        <x:v>HYPERLINK is not implemented. linkLocation=#'都广核心区总表'!B60, friendlyName=→ 查看条目</x:v>
      </x:c>
      <x:c r="G1299" s="75" t="str">
        <x:v>标点与分段参考《山海经校注》；正文对读：https://ctext.org/shan-hai-jing/hai-nei-bei-jing/zh</x:v>
      </x:c>
      <x:c r="H1299" s="75" t="e">
        <x:f t="shared" ref="H1299:H1308" si="16">HYPERLINK("#'山海经原文总库'!A3","↩ 返回目录")</x:f>
        <x:v>HYPERLINK is not implemented. linkLocation=#'山海经原文总库'!A3, friendlyName=↩ 返回目录</x:v>
      </x:c>
      <x:c r="I1299" s="75" t="str">
        <x:v>是</x:v>
      </x:c>
      <x:c r="J1299" s="75" t="str">
        <x:v>总表第60行｜X=-450里，Y=+1250里（-4.5，+12.5格）｜昆仑东北关系锁定；台群内部排列推定</x:v>
      </x:c>
      <x:c r="K1299" s="75" t="str">
        <x:v>已检索｜已建档</x:v>
      </x:c>
    </x:row>
    <x:row r="1300" ht="34.5" customHeight="1">
      <x:c r="A1300" s="74"/>
      <x:c r="B1300" s="74"/>
      <x:c r="C1300" s="75"/>
      <x:c r="D1300" s="74" t="str">
        <x:v>帝堯台</x:v>
      </x:c>
      <x:c r="E1300" s="74" t="str">
        <x:v>台</x:v>
      </x:c>
      <x:c r="F1300" s="74" t="e">
        <x:f>HYPERLINK("#'都广核心区总表'!B61","→ 查看条目")</x:f>
        <x:v>HYPERLINK is not implemented. linkLocation=#'都广核心区总表'!B61, friendlyName=→ 查看条目</x:v>
      </x:c>
      <x:c r="G1300" s="75"/>
      <x:c r="H1300" s="75" t="e">
        <x:f t="shared" si="16">HYPERLINK("#'山海经原文总库'!A3","↩ 返回目录")</x:f>
        <x:v>HYPERLINK is not implemented. linkLocation=#'山海经原文总库'!A3, friendlyName=↩ 返回目录</x:v>
      </x:c>
      <x:c r="I1300" s="75" t="str">
        <x:v>是</x:v>
      </x:c>
      <x:c r="J1300" s="75" t="str">
        <x:v>总表第61行｜X=-500里，Y=+1300里（-5，+13格）｜数量与整体方向锁定；内部排列推定</x:v>
      </x:c>
      <x:c r="K1300" s="75" t="str">
        <x:v>已检索｜已建档</x:v>
      </x:c>
    </x:row>
    <x:row r="1301" ht="34.5" customHeight="1">
      <x:c r="A1301" s="74"/>
      <x:c r="B1301" s="74"/>
      <x:c r="C1301" s="75"/>
      <x:c r="D1301" s="74" t="str">
        <x:v>帝嚳台</x:v>
      </x:c>
      <x:c r="E1301" s="74" t="str">
        <x:v>台</x:v>
      </x:c>
      <x:c r="F1301" s="74" t="e">
        <x:f>HYPERLINK("#'都广核心区总表'!B62","→ 查看条目")</x:f>
        <x:v>HYPERLINK is not implemented. linkLocation=#'都广核心区总表'!B62, friendlyName=→ 查看条目</x:v>
      </x:c>
      <x:c r="G1301" s="75"/>
      <x:c r="H1301" s="75" t="e">
        <x:f t="shared" si="16">HYPERLINK("#'山海经原文总库'!A3","↩ 返回目录")</x:f>
        <x:v>HYPERLINK is not implemented. linkLocation=#'山海经原文总库'!A3, friendlyName=↩ 返回目录</x:v>
      </x:c>
      <x:c r="I1301" s="75" t="str">
        <x:v>是</x:v>
      </x:c>
      <x:c r="J1301" s="75" t="str">
        <x:v>总表第62行｜X=-400里，Y=+1300里（-4，+13格）｜数量与整体方向锁定；内部排列推定</x:v>
      </x:c>
      <x:c r="K1301" s="75" t="str">
        <x:v>已检索｜已建档</x:v>
      </x:c>
    </x:row>
    <x:row r="1302" ht="34.5" customHeight="1">
      <x:c r="A1302" s="74"/>
      <x:c r="B1302" s="74"/>
      <x:c r="C1302" s="75"/>
      <x:c r="D1302" s="74" t="str">
        <x:v>帝丹朱台</x:v>
      </x:c>
      <x:c r="E1302" s="74" t="str">
        <x:v>台</x:v>
      </x:c>
      <x:c r="F1302" s="74" t="e">
        <x:f>HYPERLINK("#'都广核心区总表'!B63","→ 查看条目")</x:f>
        <x:v>HYPERLINK is not implemented. linkLocation=#'都广核心区总表'!B63, friendlyName=→ 查看条目</x:v>
      </x:c>
      <x:c r="G1302" s="75"/>
      <x:c r="H1302" s="75" t="e">
        <x:f t="shared" si="16">HYPERLINK("#'山海经原文总库'!A3","↩ 返回目录")</x:f>
        <x:v>HYPERLINK is not implemented. linkLocation=#'山海经原文总库'!A3, friendlyName=↩ 返回目录</x:v>
      </x:c>
      <x:c r="I1302" s="75" t="str">
        <x:v>是</x:v>
      </x:c>
      <x:c r="J1302" s="75" t="str">
        <x:v>总表第63行｜X=-500里，Y=+1200里（-5，+12格）｜数量与整体方向锁定；内部排列推定</x:v>
      </x:c>
      <x:c r="K1302" s="75" t="str">
        <x:v>已检索｜已建档</x:v>
      </x:c>
    </x:row>
    <x:row r="1303" ht="34.5" customHeight="1">
      <x:c r="A1303" s="74"/>
      <x:c r="B1303" s="74"/>
      <x:c r="C1303" s="75"/>
      <x:c r="D1303" s="74" t="str">
        <x:v>帝舜台</x:v>
      </x:c>
      <x:c r="E1303" s="74" t="str">
        <x:v>台</x:v>
      </x:c>
      <x:c r="F1303" s="74" t="e">
        <x:f>HYPERLINK("#'都广核心区总表'!B64","→ 查看条目")</x:f>
        <x:v>HYPERLINK is not implemented. linkLocation=#'都广核心区总表'!B64, friendlyName=→ 查看条目</x:v>
      </x:c>
      <x:c r="G1303" s="75"/>
      <x:c r="H1303" s="75" t="e">
        <x:f t="shared" si="16">HYPERLINK("#'山海经原文总库'!A3","↩ 返回目录")</x:f>
        <x:v>HYPERLINK is not implemented. linkLocation=#'山海经原文总库'!A3, friendlyName=↩ 返回目录</x:v>
      </x:c>
      <x:c r="I1303" s="75" t="str">
        <x:v>是</x:v>
      </x:c>
      <x:c r="J1303" s="75" t="str">
        <x:v>总表第64行｜X=-400里，Y=+1200里（-4，+12格）｜数量与整体方向锁定；内部排列推定</x:v>
      </x:c>
      <x:c r="K1303" s="75" t="str">
        <x:v>已检索｜已建档</x:v>
      </x:c>
    </x:row>
    <x:row r="1304" ht="34.5" customHeight="1">
      <x:c r="A1304" s="74" t="str">
        <x:v>SHJ-12-004-1</x:v>
      </x:c>
      <x:c r="B1304" s="74" t="str">
        <x:v>卷十二 《海內北經》</x:v>
      </x:c>
      <x:c r="C1304" s="75" t="str">
        <x:v>據比之屍，其為人折頸被發，無一手。</x:v>
      </x:c>
      <x:c r="D1304" s="74" t="str">
        <x:v>據比之屍</x:v>
      </x:c>
      <x:c r="E1304" s="74" t="str">
        <x:v>屍體／地標</x:v>
      </x:c>
      <x:c r="F1304" s="74"/>
      <x:c r="G1304" s="75" t="str">
        <x:v>标点与分段参考《山海经校注》；正文对读：https://ctext.org/shan-hai-jing/hai-nei-bei-jing/zh</x:v>
      </x:c>
      <x:c r="H1304" s="75" t="e">
        <x:f t="shared" si="16">HYPERLINK("#'山海经原文总库'!A3","↩ 返回目录")</x:f>
        <x:v>HYPERLINK is not implemented. linkLocation=#'山海经原文总库'!A3, friendlyName=↩ 返回目录</x:v>
      </x:c>
      <x:c r="I1304" s="75"/>
      <x:c r="J1304" s="75"/>
      <x:c r="K1304" s="75" t="str">
        <x:v>待同名检索｜待建档</x:v>
      </x:c>
    </x:row>
    <x:row r="1305" ht="34.5" customHeight="1">
      <x:c r="A1305" s="74" t="str">
        <x:v>SHJ-12-004-2</x:v>
      </x:c>
      <x:c r="B1305" s="74" t="str">
        <x:v>卷十二 《海內北經》</x:v>
      </x:c>
      <x:c r="C1305" s="75" t="str">
        <x:v>環狗，其為人獸首人身。一曰蝟狀如狗，黃色。</x:v>
      </x:c>
      <x:c r="D1305" s="74"/>
      <x:c r="E1305" s="74"/>
      <x:c r="F1305" s="74"/>
      <x:c r="G1305" s="75" t="str">
        <x:v>标点与分段参考《山海经校注》；正文对读：https://ctext.org/shan-hai-jing/hai-nei-bei-jing/zh</x:v>
      </x:c>
      <x:c r="H1305" s="75" t="e">
        <x:f t="shared" si="16">HYPERLINK("#'山海经原文总库'!A3","↩ 返回目录")</x:f>
        <x:v>HYPERLINK is not implemented. linkLocation=#'山海经原文总库'!A3, friendlyName=↩ 返回目录</x:v>
      </x:c>
      <x:c r="I1305" s="75"/>
      <x:c r="J1305" s="75"/>
      <x:c r="K1305" s="75" t="str">
        <x:v>经文已收录｜非地点行</x:v>
      </x:c>
    </x:row>
    <x:row r="1306" ht="34.5" customHeight="1">
      <x:c r="A1306" s="74" t="str">
        <x:v>SHJ-12-004-3</x:v>
      </x:c>
      <x:c r="B1306" s="74" t="str">
        <x:v>卷十二 《海內北經》</x:v>
      </x:c>
      <x:c r="C1306" s="75" t="str">
        <x:v>祙，其為物人身黑首從目。</x:v>
      </x:c>
      <x:c r="D1306" s="74"/>
      <x:c r="E1306" s="74"/>
      <x:c r="F1306" s="74"/>
      <x:c r="G1306" s="75" t="str">
        <x:v>标点与分段参考《山海经校注》；正文对读：https://ctext.org/shan-hai-jing/hai-nei-bei-jing/zh</x:v>
      </x:c>
      <x:c r="H1306" s="75" t="e">
        <x:f t="shared" si="16">HYPERLINK("#'山海经原文总库'!A3","↩ 返回目录")</x:f>
        <x:v>HYPERLINK is not implemented. linkLocation=#'山海经原文总库'!A3, friendlyName=↩ 返回目录</x:v>
      </x:c>
      <x:c r="I1306" s="75"/>
      <x:c r="J1306" s="75"/>
      <x:c r="K1306" s="75" t="str">
        <x:v>经文已收录｜非地点行</x:v>
      </x:c>
    </x:row>
    <x:row r="1307" ht="34.5" customHeight="1">
      <x:c r="A1307" s="74" t="str">
        <x:v>SHJ-12-004-4</x:v>
      </x:c>
      <x:c r="B1307" s="74" t="str">
        <x:v>卷十二 《海內北經》</x:v>
      </x:c>
      <x:c r="C1307" s="75" t="str">
        <x:v>戎，其為人人首三角。</x:v>
      </x:c>
      <x:c r="D1307" s="74"/>
      <x:c r="E1307" s="74"/>
      <x:c r="F1307" s="74"/>
      <x:c r="G1307" s="75" t="str">
        <x:v>标点与分段参考《山海经校注》；正文对读：https://ctext.org/shan-hai-jing/hai-nei-bei-jing/zh</x:v>
      </x:c>
      <x:c r="H1307" s="75" t="e">
        <x:f t="shared" si="16">HYPERLINK("#'山海经原文总库'!A3","↩ 返回目录")</x:f>
        <x:v>HYPERLINK is not implemented. linkLocation=#'山海经原文总库'!A3, friendlyName=↩ 返回目录</x:v>
      </x:c>
      <x:c r="I1307" s="75"/>
      <x:c r="J1307" s="75"/>
      <x:c r="K1307" s="75" t="str">
        <x:v>经文已收录｜非地点行</x:v>
      </x:c>
    </x:row>
    <x:row r="1308" ht="34.5" customHeight="1">
      <x:c r="A1308" s="74" t="str">
        <x:v>SHJ-12-005</x:v>
      </x:c>
      <x:c r="B1308" s="74" t="str">
        <x:v>卷十二 《海內北經》</x:v>
      </x:c>
      <x:c r="C1308" s="75" t="str">
        <x:v>林氏國有珍獸，大若虎，五採畢具，尾長於身，名曰騶吾，乘之日行千里。</x:v>
      </x:c>
      <x:c r="D1308" s="74" t="str">
        <x:v>林氏國</x:v>
      </x:c>
      <x:c r="E1308" s="74" t="str">
        <x:v>國家</x:v>
      </x:c>
      <x:c r="F1308" s="74"/>
      <x:c r="G1308" s="75" t="str">
        <x:v>标点与分段参考《山海经校注》；正文对读：https://ctext.org/shan-hai-jing/hai-nei-bei-jing/zh</x:v>
      </x:c>
      <x:c r="H1308" s="75" t="e">
        <x:f t="shared" si="16">HYPERLINK("#'山海经原文总库'!A3","↩ 返回目录")</x:f>
        <x:v>HYPERLINK is not implemented. linkLocation=#'山海经原文总库'!A3, friendlyName=↩ 返回目录</x:v>
      </x:c>
      <x:c r="I1308" s="75"/>
      <x:c r="J1308" s="75"/>
      <x:c r="K1308" s="75" t="str">
        <x:v>待同名检索｜待建档</x:v>
      </x:c>
    </x:row>
    <x:row r="1309" ht="34.5" customHeight="1">
      <x:c r="A1309" s="74" t="str">
        <x:v>SHJ-12-006-0</x:v>
      </x:c>
      <x:c r="B1309" s="74" t="str">
        <x:v>卷十二 《海內北經》</x:v>
      </x:c>
      <x:c r="C1309" s="75" t="str">
        <x:v>崑崙虛南所，有氾林方三百里。</x:v>
      </x:c>
      <x:c r="D1309" s="74" t="str">
        <x:v>崑崙虛</x:v>
      </x:c>
      <x:c r="E1309" s="74" t="str">
        <x:v>山岳／區域</x:v>
      </x:c>
      <x:c r="F1309" s="74" t="e">
        <x:f>HYPERLINK("#'都广核心区总表'!B44","→ 查看条目")</x:f>
        <x:v>HYPERLINK is not implemented. linkLocation=#'都广核心区总表'!B44, friendlyName=→ 查看条目</x:v>
      </x:c>
      <x:c r="G1309" s="75" t="str">
        <x:v>标点与分段参考《山海经校注》；正文对读：https://ctext.org/shan-hai-jing/hai-nei-bei-jing/zh</x:v>
      </x:c>
      <x:c r="H1309" s="75" t="e">
        <x:f>HYPERLINK("#'山海经原文总库'!A3","↩ 返回目录")</x:f>
        <x:v>HYPERLINK is not implemented. linkLocation=#'山海经原文总库'!A3, friendlyName=↩ 返回目录</x:v>
      </x:c>
      <x:c r="I1309" s="75" t="str">
        <x:v>是</x:v>
      </x:c>
      <x:c r="J1309" s="75" t="str">
        <x:v>总表第44行｜X=-1050里，Y=+650里（-10.5，+6.5格）｜内部结构锁定；相对都广的绝对距离未锁</x:v>
      </x:c>
      <x:c r="K1309" s="75" t="str">
        <x:v>已检索｜已建档</x:v>
      </x:c>
    </x:row>
    <x:row r="1310" ht="34.5" customHeight="1">
      <x:c r="A1310" s="74"/>
      <x:c r="B1310" s="74"/>
      <x:c r="C1310" s="75"/>
      <x:c r="D1310" s="74" t="str">
        <x:v>氾林</x:v>
      </x:c>
      <x:c r="E1310" s="74" t="str">
        <x:v>林地／區域</x:v>
      </x:c>
      <x:c r="F1310" s="74" t="e">
        <x:f>HYPERLINK("#'都广核心区总表'!B37","→ 查看条目")</x:f>
        <x:v>HYPERLINK is not implemented. linkLocation=#'都广核心区总表'!B37, friendlyName=→ 查看条目</x:v>
      </x:c>
      <x:c r="G1310" s="75"/>
      <x:c r="H1310" s="75" t="e">
        <x:f>HYPERLINK("#'山海经原文总库'!A3","↩ 返回目录")</x:f>
        <x:v>HYPERLINK is not implemented. linkLocation=#'山海经原文总库'!A3, friendlyName=↩ 返回目录</x:v>
      </x:c>
      <x:c r="I1310" s="75" t="str">
        <x:v>是</x:v>
      </x:c>
      <x:c r="J1310" s="75" t="str">
        <x:v>总表第37行｜X=+400里，Y=0里（+4，0格）｜同名同面积高强度同地候选；现坐标保留</x:v>
      </x:c>
      <x:c r="K1310" s="75" t="str">
        <x:v>已检索｜已建档</x:v>
      </x:c>
    </x:row>
    <x:row r="1311" ht="34.5" customHeight="1">
      <x:c r="A1311" s="74" t="str">
        <x:v>SHJ-12-006-1</x:v>
      </x:c>
      <x:c r="B1311" s="74" t="str">
        <x:v>卷十二 《海內北經》</x:v>
      </x:c>
      <x:c r="C1311" s="75" t="str">
        <x:v>從極之淵深三百仞，維冰夷恆都焉。冰夷人面，乘兩龍。一曰忠極之淵。</x:v>
      </x:c>
      <x:c r="D1311" s="74" t="str">
        <x:v>從極之淵／忠極之淵</x:v>
      </x:c>
      <x:c r="E1311" s="74" t="str">
        <x:v>淵</x:v>
      </x:c>
      <x:c r="F1311" s="74" t="e">
        <x:f>HYPERLINK("#'都广核心区总表'!B65","→ 查看条目")</x:f>
        <x:v>HYPERLINK is not implemented. linkLocation=#'都广核心区总表'!B65, friendlyName=→ 查看条目</x:v>
      </x:c>
      <x:c r="G1311" s="75" t="str">
        <x:v>标点与分段参考《山海经校注》；正文对读：https://ctext.org/shan-hai-jing/hai-nei-bei-jing/zh</x:v>
      </x:c>
      <x:c r="H1311" s="75" t="e">
        <x:f>HYPERLINK("#'山海经原文总库'!A3","↩ 返回目录")</x:f>
        <x:v>HYPERLINK is not implemented. linkLocation=#'山海经原文总库'!A3, friendlyName=↩ 返回目录</x:v>
      </x:c>
      <x:c r="I1311" s="75" t="str">
        <x:v>是</x:v>
      </x:c>
      <x:c r="J1311" s="75" t="str">
        <x:v>总表第65、138行｜从极之渊主体与冰夷居者分别建档｜X=-1050里，Y=+250里</x:v>
      </x:c>
      <x:c r="K1311" s="75" t="str">
        <x:v>已检索｜已建档</x:v>
      </x:c>
    </x:row>
    <x:row r="1312" ht="52" hidden="0" customHeight="1">
      <x:c r="A1312" s="383" t="str">
        <x:v>SHJ-12-006-2</x:v>
      </x:c>
      <x:c r="B1312" s="383" t="str">
        <x:v>卷十二 《海內北經》</x:v>
      </x:c>
      <x:c r="C1312" s="384" t="str">
        <x:v>陽污之山，河出其中；凌門之山，河出其中。</x:v>
      </x:c>
      <x:c r="D1312" s="383" t="str">
        <x:v>陽污之山</x:v>
      </x:c>
      <x:c r="E1312" s="383" t="str">
        <x:v>山</x:v>
      </x:c>
      <x:c r="F1312" s="385"/>
      <x:c r="G1312" s="384" t="str">
        <x:v>标点与分段参考《山海经校注》；正文对读：https://ctext.org/shan-hai-jing/hai-nei-bei-jing/zh</x:v>
      </x:c>
      <x:c r="H1312" s="386" t="e">
        <x:f>HYPERLINK("#'山海经原文总库'!A3","↩ 返回目录")</x:f>
        <x:v>HYPERLINK is not implemented. linkLocation=#'山海经原文总库'!A3, friendlyName=↩ 返回目录</x:v>
      </x:c>
      <x:c r="I1312" s="384" t="str">
        <x:v>是</x:v>
      </x:c>
      <x:c r="J1312" s="384" t="str">
        <x:v>总表第130行｜X=-1090里，Y=+230里｜河水出其中关系锁定；与凌门山距离未锁</x:v>
      </x:c>
      <x:c r="K1312" s="384" t="str">
        <x:v>已检索｜已建档</x:v>
      </x:c>
    </x:row>
    <x:row r="1313" ht="52" hidden="0" customHeight="1">
      <x:c r="A1313" s="383"/>
      <x:c r="B1313" s="383"/>
      <x:c r="C1313" s="384"/>
      <x:c r="D1313" s="383" t="str">
        <x:v>凌門之山</x:v>
      </x:c>
      <x:c r="E1313" s="383" t="str">
        <x:v>山</x:v>
      </x:c>
      <x:c r="F1313" s="385"/>
      <x:c r="G1313" s="384"/>
      <x:c r="H1313" s="386" t="e">
        <x:f>HYPERLINK("#'山海经原文总库'!A3","↩ 返回目录")</x:f>
        <x:v>HYPERLINK is not implemented. linkLocation=#'山海经原文总库'!A3, friendlyName=↩ 返回目录</x:v>
      </x:c>
      <x:c r="I1313" s="384" t="str">
        <x:v>是</x:v>
      </x:c>
      <x:c r="J1313" s="384" t="str">
        <x:v>总表第132行｜X=-1070里，Y=+230里｜河水出其中关系锁定；与阳污山距离未锁</x:v>
      </x:c>
      <x:c r="K1313" s="384" t="str">
        <x:v>已检索｜已建档</x:v>
      </x:c>
    </x:row>
    <x:row r="1314" ht="52" hidden="0" customHeight="1">
      <x:c r="A1314" s="383"/>
      <x:c r="B1314" s="383"/>
      <x:c r="C1314" s="384"/>
      <x:c r="D1314" s="383" t="str">
        <x:v>河水</x:v>
      </x:c>
      <x:c r="E1314" s="383" t="str">
        <x:v>水系</x:v>
      </x:c>
      <x:c r="F1314" s="385"/>
      <x:c r="G1314" s="384"/>
      <x:c r="H1314" s="386" t="e">
        <x:f>HYPERLINK("#'山海经原文总库'!A3","↩ 返回目录")</x:f>
        <x:v>HYPERLINK is not implemented. linkLocation=#'山海经原文总库'!A3, friendlyName=↩ 返回目录</x:v>
      </x:c>
      <x:c r="I1314" s="384" t="str">
        <x:v>是</x:v>
      </x:c>
      <x:c r="J1314" s="384" t="str">
        <x:v>总表第131、133行｜阳污山源段与凌门山源段分别建档；是否同一河未锁</x:v>
      </x:c>
      <x:c r="K1314" s="384" t="str">
        <x:v>已检索｜已建档</x:v>
      </x:c>
    </x:row>
    <x:row r="1315" ht="52" hidden="0" customHeight="1">
      <x:c r="A1315" s="383" t="str">
        <x:v>SHJ-12-006-3</x:v>
      </x:c>
      <x:c r="B1315" s="383" t="str">
        <x:v>卷十二 《海內北經》</x:v>
      </x:c>
      <x:c r="C1315" s="384" t="str">
        <x:v>王子夜之屍，兩手、兩股、胸、首、齒，皆斷異處。</x:v>
      </x:c>
      <x:c r="D1315" s="383" t="str">
        <x:v>王子夜之屍</x:v>
      </x:c>
      <x:c r="E1315" s="383" t="str">
        <x:v>屍體／地標</x:v>
      </x:c>
      <x:c r="F1315" s="385"/>
      <x:c r="G1315" s="384" t="str">
        <x:v>标点与分段参考《山海经校注》；正文对读：https://ctext.org/shan-hai-jing/hai-nei-bei-jing/zh</x:v>
      </x:c>
      <x:c r="H1315" s="386" t="e">
        <x:f>HYPERLINK("#'山海经原文总库'!A3","↩ 返回目录")</x:f>
        <x:v>HYPERLINK is not implemented. linkLocation=#'山海经原文总库'!A3, friendlyName=↩ 返回目录</x:v>
      </x:c>
      <x:c r="I1315" s="384" t="str">
        <x:v>是</x:v>
      </x:c>
      <x:c r="J1315" s="384" t="str">
        <x:v>总表第134行｜X=-1080里，Y=+210里｜尸体形态锁定；空间关系未锁</x:v>
      </x:c>
      <x:c r="K1315" s="384" t="str">
        <x:v>已检索｜已建档</x:v>
      </x:c>
    </x:row>
    <x:row r="1316" ht="52" hidden="0" customHeight="1">
      <x:c r="A1316" s="383" t="str">
        <x:v>SHJ-12-006-4</x:v>
      </x:c>
      <x:c r="B1316" s="383" t="str">
        <x:v>卷十二 《海內北經》</x:v>
      </x:c>
      <x:c r="C1316" s="384" t="str">
        <x:v>舜妻登比氏生宵明、燭光，處河大澤，二女之靈能照此所方百里。一曰登北氏。</x:v>
      </x:c>
      <x:c r="D1316" s="383" t="str">
        <x:v>河大澤</x:v>
      </x:c>
      <x:c r="E1316" s="383" t="str">
        <x:v>澤／區域</x:v>
      </x:c>
      <x:c r="F1316" s="385"/>
      <x:c r="G1316" s="384" t="str">
        <x:v>标点与分段参考《山海经校注》；正文对读：https://ctext.org/shan-hai-jing/hai-nei-bei-jing/zh</x:v>
      </x:c>
      <x:c r="H1316" s="386" t="e">
        <x:f>HYPERLINK("#'山海经原文总库'!A3","↩ 返回目录")</x:f>
        <x:v>HYPERLINK is not implemented. linkLocation=#'山海经原文总库'!A3, friendlyName=↩ 返回目录</x:v>
      </x:c>
      <x:c r="I1316" s="384" t="str">
        <x:v>是</x:v>
      </x:c>
      <x:c r="J1316" s="384" t="str">
        <x:v>总表第135—139行｜河大泽、宵明、烛光与方百里照明域分别建档</x:v>
      </x:c>
      <x:c r="K1316" s="384" t="str">
        <x:v>已检索｜已建档</x:v>
      </x:c>
    </x:row>
    <x:row r="1317" ht="52" hidden="0" customHeight="1">
      <x:c r="A1317" s="383" t="str">
        <x:v>SHJ-12-007-1</x:v>
      </x:c>
      <x:c r="B1317" s="383" t="str">
        <x:v>卷十二 《海內北經》</x:v>
      </x:c>
      <x:c r="C1317" s="384" t="str">
        <x:v>蓋國在鉅燕南，倭北。倭屬燕。</x:v>
      </x:c>
      <x:c r="D1317" s="383" t="str">
        <x:v>蓋國</x:v>
      </x:c>
      <x:c r="E1317" s="383" t="str">
        <x:v>國家</x:v>
      </x:c>
      <x:c r="F1317" s="385"/>
      <x:c r="G1317" s="384" t="str">
        <x:v>标点与分段参考《山海经校注》；正文对读：https://ctext.org/shan-hai-jing/hai-nei-bei-jing/zh</x:v>
      </x:c>
      <x:c r="H1317" s="386" t="e">
        <x:f>HYPERLINK("#'山海经原文总库'!A3","↩ 返回目录")</x:f>
        <x:v>HYPERLINK is not implemented. linkLocation=#'山海经原文总库'!A3, friendlyName=↩ 返回目录</x:v>
      </x:c>
      <x:c r="I1317" s="384"/>
      <x:c r="J1317" s="384"/>
      <x:c r="K1317" s="384" t="str">
        <x:v>待同名检索｜待建档</x:v>
      </x:c>
    </x:row>
    <x:row r="1318" ht="52" hidden="0" customHeight="1">
      <x:c r="A1318" s="383"/>
      <x:c r="B1318" s="383"/>
      <x:c r="C1318" s="384"/>
      <x:c r="D1318" s="383" t="str">
        <x:v>鉅燕</x:v>
      </x:c>
      <x:c r="E1318" s="383" t="str">
        <x:v>國家／區域</x:v>
      </x:c>
      <x:c r="F1318" s="385"/>
      <x:c r="G1318" s="384"/>
      <x:c r="H1318" s="386" t="e">
        <x:f>HYPERLINK("#'山海经原文总库'!A3","↩ 返回目录")</x:f>
        <x:v>HYPERLINK is not implemented. linkLocation=#'山海经原文总库'!A3, friendlyName=↩ 返回目录</x:v>
      </x:c>
      <x:c r="I1318" s="384"/>
      <x:c r="J1318" s="384"/>
      <x:c r="K1318" s="384" t="str">
        <x:v>待同名检索｜待建档</x:v>
      </x:c>
    </x:row>
    <x:row r="1319" ht="52" hidden="0" customHeight="1">
      <x:c r="A1319" s="383"/>
      <x:c r="B1319" s="383"/>
      <x:c r="C1319" s="384"/>
      <x:c r="D1319" s="383" t="str">
        <x:v>倭</x:v>
      </x:c>
      <x:c r="E1319" s="383" t="str">
        <x:v>國家／區域</x:v>
      </x:c>
      <x:c r="F1319" s="385"/>
      <x:c r="G1319" s="384"/>
      <x:c r="H1319" s="386" t="e">
        <x:f>HYPERLINK("#'山海经原文总库'!A3","↩ 返回目录")</x:f>
        <x:v>HYPERLINK is not implemented. linkLocation=#'山海经原文总库'!A3, friendlyName=↩ 返回目录</x:v>
      </x:c>
      <x:c r="I1319" s="384"/>
      <x:c r="J1319" s="384"/>
      <x:c r="K1319" s="384" t="str">
        <x:v>待同名检索｜待建档</x:v>
      </x:c>
    </x:row>
    <x:row r="1320" ht="52" hidden="0" customHeight="1">
      <x:c r="A1320" s="383" t="str">
        <x:v>SHJ-12-007-2</x:v>
      </x:c>
      <x:c r="B1320" s="383" t="str">
        <x:v>卷十二 《海內北經》</x:v>
      </x:c>
      <x:c r="C1320" s="384" t="str">
        <x:v>朝鮮在列陽東，海北山南。列陽屬燕。</x:v>
      </x:c>
      <x:c r="D1320" s="383" t="str">
        <x:v>朝鮮</x:v>
      </x:c>
      <x:c r="E1320" s="383" t="str">
        <x:v>國家／區域</x:v>
      </x:c>
      <x:c r="F1320" s="385"/>
      <x:c r="G1320" s="384" t="str">
        <x:v>标点与分段参考《山海经校注》；正文对读：https://ctext.org/shan-hai-jing/hai-nei-bei-jing/zh</x:v>
      </x:c>
      <x:c r="H1320" s="386" t="e">
        <x:f>HYPERLINK("#'山海经原文总库'!A3","↩ 返回目录")</x:f>
        <x:v>HYPERLINK is not implemented. linkLocation=#'山海经原文总库'!A3, friendlyName=↩ 返回目录</x:v>
      </x:c>
      <x:c r="I1320" s="384"/>
      <x:c r="J1320" s="384"/>
      <x:c r="K1320" s="384" t="str">
        <x:v>待同名检索｜待建档</x:v>
      </x:c>
    </x:row>
    <x:row r="1321" ht="52" hidden="0" customHeight="1">
      <x:c r="A1321" s="383"/>
      <x:c r="B1321" s="383"/>
      <x:c r="C1321" s="384"/>
      <x:c r="D1321" s="383" t="str">
        <x:v>列陽</x:v>
      </x:c>
      <x:c r="E1321" s="383" t="str">
        <x:v>區域</x:v>
      </x:c>
      <x:c r="F1321" s="385"/>
      <x:c r="G1321" s="384"/>
      <x:c r="H1321" s="386" t="e">
        <x:f>HYPERLINK("#'山海经原文总库'!A3","↩ 返回目录")</x:f>
        <x:v>HYPERLINK is not implemented. linkLocation=#'山海经原文总库'!A3, friendlyName=↩ 返回目录</x:v>
      </x:c>
      <x:c r="I1321" s="384"/>
      <x:c r="J1321" s="384"/>
      <x:c r="K1321" s="384" t="str">
        <x:v>待同名检索｜待建档</x:v>
      </x:c>
    </x:row>
    <x:row r="1322" ht="52" hidden="0" customHeight="1">
      <x:c r="A1322" s="383"/>
      <x:c r="B1322" s="383"/>
      <x:c r="C1322" s="384"/>
      <x:c r="D1322" s="383" t="str">
        <x:v>海北</x:v>
      </x:c>
      <x:c r="E1322" s="383" t="str">
        <x:v>區域</x:v>
      </x:c>
      <x:c r="F1322" s="385"/>
      <x:c r="G1322" s="384"/>
      <x:c r="H1322" s="386" t="e">
        <x:f>HYPERLINK("#'山海经原文总库'!A3","↩ 返回目录")</x:f>
        <x:v>HYPERLINK is not implemented. linkLocation=#'山海经原文总库'!A3, friendlyName=↩ 返回目录</x:v>
      </x:c>
      <x:c r="I1322" s="384"/>
      <x:c r="J1322" s="384"/>
      <x:c r="K1322" s="384" t="str">
        <x:v>待同名检索｜待建档</x:v>
      </x:c>
    </x:row>
    <x:row r="1323" ht="52" hidden="0" customHeight="1">
      <x:c r="A1323" s="383" t="str">
        <x:v>SHJ-12-007-3</x:v>
      </x:c>
      <x:c r="B1323" s="383" t="str">
        <x:v>卷十二 《海內北經》</x:v>
      </x:c>
      <x:c r="C1323" s="384" t="str">
        <x:v>列姑射在海河州中。</x:v>
      </x:c>
      <x:c r="D1323" s="383" t="str">
        <x:v>列姑射</x:v>
      </x:c>
      <x:c r="E1323" s="383" t="str">
        <x:v>山／區域</x:v>
      </x:c>
      <x:c r="F1323" s="385"/>
      <x:c r="G1323" s="384" t="str">
        <x:v>标点与分段参考《山海经校注》；正文对读：https://ctext.org/shan-hai-jing/hai-nei-bei-jing/zh</x:v>
      </x:c>
      <x:c r="H1323" s="386" t="e">
        <x:f>HYPERLINK("#'山海经原文总库'!A3","↩ 返回目录")</x:f>
        <x:v>HYPERLINK is not implemented. linkLocation=#'山海经原文总库'!A3, friendlyName=↩ 返回目录</x:v>
      </x:c>
      <x:c r="I1323" s="384"/>
      <x:c r="J1323" s="384"/>
      <x:c r="K1323" s="384" t="str">
        <x:v>待同名检索｜待建档</x:v>
      </x:c>
    </x:row>
    <x:row r="1324" ht="52" hidden="0" customHeight="1">
      <x:c r="A1324" s="383"/>
      <x:c r="B1324" s="383"/>
      <x:c r="C1324" s="384"/>
      <x:c r="D1324" s="383" t="str">
        <x:v>海河州</x:v>
      </x:c>
      <x:c r="E1324" s="383" t="str">
        <x:v>洲／區域</x:v>
      </x:c>
      <x:c r="F1324" s="385"/>
      <x:c r="G1324" s="384"/>
      <x:c r="H1324" s="386" t="e">
        <x:f>HYPERLINK("#'山海经原文总库'!A3","↩ 返回目录")</x:f>
        <x:v>HYPERLINK is not implemented. linkLocation=#'山海经原文总库'!A3, friendlyName=↩ 返回目录</x:v>
      </x:c>
      <x:c r="I1324" s="384"/>
      <x:c r="J1324" s="384"/>
      <x:c r="K1324" s="384" t="str">
        <x:v>待同名检索｜待建档</x:v>
      </x:c>
    </x:row>
    <x:row r="1325" ht="52" hidden="0" customHeight="1">
      <x:c r="A1325" s="383" t="str">
        <x:v>SHJ-12-008-1</x:v>
      </x:c>
      <x:c r="B1325" s="383" t="str">
        <x:v>卷十二 《海內北經》</x:v>
      </x:c>
      <x:c r="C1325" s="384" t="str">
        <x:v>姑射國在海中，屬列姑射，西南，山環之。</x:v>
      </x:c>
      <x:c r="D1325" s="383" t="str">
        <x:v>姑射國</x:v>
      </x:c>
      <x:c r="E1325" s="383" t="str">
        <x:v>國家</x:v>
      </x:c>
      <x:c r="F1325" s="385"/>
      <x:c r="G1325" s="384" t="str">
        <x:v>标点与分段参考《山海经校注》；正文对读：https://ctext.org/shan-hai-jing/hai-nei-bei-jing/zh</x:v>
      </x:c>
      <x:c r="H1325" s="386" t="e">
        <x:f>HYPERLINK("#'山海经原文总库'!A3","↩ 返回目录")</x:f>
        <x:v>HYPERLINK is not implemented. linkLocation=#'山海经原文总库'!A3, friendlyName=↩ 返回目录</x:v>
      </x:c>
      <x:c r="I1325" s="384"/>
      <x:c r="J1325" s="384"/>
      <x:c r="K1325" s="384" t="str">
        <x:v>待同名检索｜待建档</x:v>
      </x:c>
    </x:row>
    <x:row r="1326" ht="52" hidden="0" customHeight="1">
      <x:c r="A1326" s="383"/>
      <x:c r="B1326" s="383"/>
      <x:c r="C1326" s="384"/>
      <x:c r="D1326" s="383" t="str">
        <x:v>海中</x:v>
      </x:c>
      <x:c r="E1326" s="383" t="str">
        <x:v>海域</x:v>
      </x:c>
      <x:c r="F1326" s="385"/>
      <x:c r="G1326" s="384"/>
      <x:c r="H1326" s="386" t="e">
        <x:f>HYPERLINK("#'山海经原文总库'!A3","↩ 返回目录")</x:f>
        <x:v>HYPERLINK is not implemented. linkLocation=#'山海经原文总库'!A3, friendlyName=↩ 返回目录</x:v>
      </x:c>
      <x:c r="I1326" s="384"/>
      <x:c r="J1326" s="384"/>
      <x:c r="K1326" s="384" t="str">
        <x:v>待同名检索｜待建档</x:v>
      </x:c>
    </x:row>
    <x:row r="1327" ht="52" hidden="0" customHeight="1">
      <x:c r="A1327" s="383"/>
      <x:c r="B1327" s="383"/>
      <x:c r="C1327" s="384"/>
      <x:c r="D1327" s="383" t="str">
        <x:v>列姑射</x:v>
      </x:c>
      <x:c r="E1327" s="383" t="str">
        <x:v>山／區域</x:v>
      </x:c>
      <x:c r="F1327" s="385"/>
      <x:c r="G1327" s="384"/>
      <x:c r="H1327" s="386" t="e">
        <x:f>HYPERLINK("#'山海经原文总库'!A3","↩ 返回目录")</x:f>
        <x:v>HYPERLINK is not implemented. linkLocation=#'山海经原文总库'!A3, friendlyName=↩ 返回目录</x:v>
      </x:c>
      <x:c r="I1327" s="384"/>
      <x:c r="J1327" s="384"/>
      <x:c r="K1327" s="384" t="str">
        <x:v>待同名检索｜待建档</x:v>
      </x:c>
    </x:row>
    <x:row r="1328" ht="52" hidden="0" customHeight="1">
      <x:c r="A1328" s="383" t="str">
        <x:v>SHJ-12-008-2</x:v>
      </x:c>
      <x:c r="B1328" s="383" t="str">
        <x:v>卷十二 《海內北經》</x:v>
      </x:c>
      <x:c r="C1328" s="384" t="str">
        <x:v>大蟹在海中。</x:v>
      </x:c>
      <x:c r="D1328" s="383" t="str">
        <x:v>海中</x:v>
      </x:c>
      <x:c r="E1328" s="383" t="str">
        <x:v>海域</x:v>
      </x:c>
      <x:c r="F1328" s="385"/>
      <x:c r="G1328" s="384" t="str">
        <x:v>标点与分段参考《山海经校注》；正文对读：https://ctext.org/shan-hai-jing/hai-nei-bei-jing/zh</x:v>
      </x:c>
      <x:c r="H1328" s="386" t="e">
        <x:f>HYPERLINK("#'山海经原文总库'!A3","↩ 返回目录")</x:f>
        <x:v>HYPERLINK is not implemented. linkLocation=#'山海经原文总库'!A3, friendlyName=↩ 返回目录</x:v>
      </x:c>
      <x:c r="I1328" s="384"/>
      <x:c r="J1328" s="384"/>
      <x:c r="K1328" s="384" t="str">
        <x:v>待同名检索｜待建档</x:v>
      </x:c>
    </x:row>
    <x:row r="1329" ht="52" hidden="0" customHeight="1">
      <x:c r="A1329" s="383" t="str">
        <x:v>SHJ-12-008-3</x:v>
      </x:c>
      <x:c r="B1329" s="383" t="str">
        <x:v>卷十二 《海內北經》</x:v>
      </x:c>
      <x:c r="C1329" s="384" t="str">
        <x:v>陵魚人面，手足，魚身，在海中。</x:v>
      </x:c>
      <x:c r="D1329" s="383" t="str">
        <x:v>海中</x:v>
      </x:c>
      <x:c r="E1329" s="383" t="str">
        <x:v>海域</x:v>
      </x:c>
      <x:c r="F1329" s="385"/>
      <x:c r="G1329" s="384" t="str">
        <x:v>标点与分段参考《山海经校注》；正文对读：https://ctext.org/shan-hai-jing/hai-nei-bei-jing/zh</x:v>
      </x:c>
      <x:c r="H1329" s="386" t="e">
        <x:f>HYPERLINK("#'山海经原文总库'!A3","↩ 返回目录")</x:f>
        <x:v>HYPERLINK is not implemented. linkLocation=#'山海经原文总库'!A3, friendlyName=↩ 返回目录</x:v>
      </x:c>
      <x:c r="I1329" s="384"/>
      <x:c r="J1329" s="384"/>
      <x:c r="K1329" s="384" t="str">
        <x:v>待同名检索｜待建档</x:v>
      </x:c>
    </x:row>
    <x:row r="1330" ht="52" hidden="0" customHeight="1">
      <x:c r="A1330" s="383" t="str">
        <x:v>SHJ-12-008-4</x:v>
      </x:c>
      <x:c r="B1330" s="383" t="str">
        <x:v>卷十二 《海內北經》</x:v>
      </x:c>
      <x:c r="C1330" s="384" t="str">
        <x:v>大鯾居海中。</x:v>
      </x:c>
      <x:c r="D1330" s="383" t="str">
        <x:v>海中</x:v>
      </x:c>
      <x:c r="E1330" s="383" t="str">
        <x:v>海域</x:v>
      </x:c>
      <x:c r="F1330" s="385"/>
      <x:c r="G1330" s="384" t="str">
        <x:v>标点与分段参考《山海经校注》；正文对读：https://ctext.org/shan-hai-jing/hai-nei-bei-jing/zh</x:v>
      </x:c>
      <x:c r="H1330" s="386" t="e">
        <x:f>HYPERLINK("#'山海经原文总库'!A3","↩ 返回目录")</x:f>
        <x:v>HYPERLINK is not implemented. linkLocation=#'山海经原文总库'!A3, friendlyName=↩ 返回目录</x:v>
      </x:c>
      <x:c r="I1330" s="384"/>
      <x:c r="J1330" s="384"/>
      <x:c r="K1330" s="384" t="str">
        <x:v>待同名检索｜待建档</x:v>
      </x:c>
    </x:row>
    <x:row r="1331" ht="52" hidden="0" customHeight="1">
      <x:c r="A1331" s="383" t="str">
        <x:v>SHJ-12-009-1</x:v>
      </x:c>
      <x:c r="B1331" s="383" t="str">
        <x:v>卷十二 《海內北經》</x:v>
      </x:c>
      <x:c r="C1331" s="384" t="str">
        <x:v>蓬萊山在海中。</x:v>
      </x:c>
      <x:c r="D1331" s="383" t="str">
        <x:v>蓬萊山</x:v>
      </x:c>
      <x:c r="E1331" s="383" t="str">
        <x:v>山</x:v>
      </x:c>
      <x:c r="F1331" s="385"/>
      <x:c r="G1331" s="384" t="str">
        <x:v>标点与分段参考《山海经校注》；正文对读：https://ctext.org/shan-hai-jing/hai-nei-bei-jing/zh</x:v>
      </x:c>
      <x:c r="H1331" s="386" t="e">
        <x:f>HYPERLINK("#'山海经原文总库'!A3","↩ 返回目录")</x:f>
        <x:v>HYPERLINK is not implemented. linkLocation=#'山海经原文总库'!A3, friendlyName=↩ 返回目录</x:v>
      </x:c>
      <x:c r="I1331" s="384"/>
      <x:c r="J1331" s="384"/>
      <x:c r="K1331" s="384" t="str">
        <x:v>待同名检索｜待建档</x:v>
      </x:c>
    </x:row>
    <x:row r="1332" ht="52" hidden="0" customHeight="1">
      <x:c r="A1332" s="383"/>
      <x:c r="B1332" s="383"/>
      <x:c r="C1332" s="384"/>
      <x:c r="D1332" s="383" t="str">
        <x:v>海中</x:v>
      </x:c>
      <x:c r="E1332" s="383" t="str">
        <x:v>海域</x:v>
      </x:c>
      <x:c r="F1332" s="385"/>
      <x:c r="G1332" s="384"/>
      <x:c r="H1332" s="386" t="e">
        <x:f>HYPERLINK("#'山海经原文总库'!A3","↩ 返回目录")</x:f>
        <x:v>HYPERLINK is not implemented. linkLocation=#'山海经原文总库'!A3, friendlyName=↩ 返回目录</x:v>
      </x:c>
      <x:c r="I1332" s="384"/>
      <x:c r="J1332" s="384"/>
      <x:c r="K1332" s="384" t="str">
        <x:v>待同名检索｜待建档</x:v>
      </x:c>
    </x:row>
    <x:row r="1333" ht="52" hidden="0" customHeight="1">
      <x:c r="A1333" s="383" t="str">
        <x:v>SHJ-12-009-2</x:v>
      </x:c>
      <x:c r="B1333" s="383" t="str">
        <x:v>卷十二 《海內北經》</x:v>
      </x:c>
      <x:c r="C1333" s="384" t="str">
        <x:v>大人之市在海中。</x:v>
      </x:c>
      <x:c r="D1333" s="383" t="str">
        <x:v>大人之市</x:v>
      </x:c>
      <x:c r="E1333" s="383" t="str">
        <x:v>聚落／區域</x:v>
      </x:c>
      <x:c r="F1333" s="385"/>
      <x:c r="G1333" s="384" t="str">
        <x:v>标点与分段参考《山海经校注》；正文对读：https://ctext.org/shan-hai-jing/hai-nei-bei-jing/zh</x:v>
      </x:c>
      <x:c r="H1333" s="386" t="e">
        <x:f>HYPERLINK("#'山海经原文总库'!A3","↩ 返回目录")</x:f>
        <x:v>HYPERLINK is not implemented. linkLocation=#'山海经原文总库'!A3, friendlyName=↩ 返回目录</x:v>
      </x:c>
      <x:c r="I1333" s="384"/>
      <x:c r="J1333" s="384"/>
      <x:c r="K1333" s="384" t="str">
        <x:v>待同名检索｜待建档</x:v>
      </x:c>
    </x:row>
    <x:row r="1334" ht="52" hidden="0" customHeight="1">
      <x:c r="A1334" s="383"/>
      <x:c r="B1334" s="383"/>
      <x:c r="C1334" s="384"/>
      <x:c r="D1334" s="383" t="str">
        <x:v>海中</x:v>
      </x:c>
      <x:c r="E1334" s="383" t="str">
        <x:v>海域</x:v>
      </x:c>
      <x:c r="F1334" s="385"/>
      <x:c r="G1334" s="384"/>
      <x:c r="H1334" s="386" t="e">
        <x:f>HYPERLINK("#'山海经原文总库'!A3","↩ 返回目录")</x:f>
        <x:v>HYPERLINK is not implemented. linkLocation=#'山海经原文总库'!A3, friendlyName=↩ 返回目录</x:v>
      </x:c>
      <x:c r="I1334" s="384"/>
      <x:c r="J1334" s="384"/>
      <x:c r="K1334" s="384" t="str">
        <x:v>待同名检索｜待建档</x:v>
      </x:c>
    </x:row>
    <x:row r="1335" ht="52" hidden="0" customHeight="1">
      <x:c r="A1335" s="383" t="str">
        <x:v>SHJ-13-001-1</x:v>
      </x:c>
      <x:c r="B1335" s="383" t="str">
        <x:v>卷十三 《海內東經》</x:v>
      </x:c>
      <x:c r="C1335" s="384" t="str">
        <x:v>海內東北陬以南者。</x:v>
      </x:c>
      <x:c r="D1335" s="383" t="str">
        <x:v>海內東北陬</x:v>
      </x:c>
      <x:c r="E1335" s="383" t="str">
        <x:v>區域</x:v>
      </x:c>
      <x:c r="F1335" s="385"/>
      <x:c r="G1335" s="384" t="str">
        <x:v>标点与分段参考《山海经校注》；正文对读：https://ctext.org/shan-hai-jing/hai-nei-dong-jing/zh</x:v>
      </x:c>
      <x:c r="H1335" s="386" t="e">
        <x:f>HYPERLINK("#'山海经原文总库'!A3","↩ 返回目录")</x:f>
        <x:v>HYPERLINK is not implemented. linkLocation=#'山海经原文总库'!A3, friendlyName=↩ 返回目录</x:v>
      </x:c>
      <x:c r="I1335" s="384"/>
      <x:c r="J1335" s="384"/>
      <x:c r="K1335" s="384" t="str">
        <x:v>待同名检索｜待建档</x:v>
      </x:c>
    </x:row>
    <x:row r="1336" ht="52" hidden="0" customHeight="1">
      <x:c r="A1336" s="383" t="str">
        <x:v>SHJ-13-002-1</x:v>
      </x:c>
      <x:c r="B1336" s="383" t="str">
        <x:v>卷十三 《海內東經》</x:v>
      </x:c>
      <x:c r="C1336" s="384" t="str">
        <x:v>鉅燕在東北陬。</x:v>
      </x:c>
      <x:c r="D1336" s="383" t="str">
        <x:v>鉅燕</x:v>
      </x:c>
      <x:c r="E1336" s="383" t="str">
        <x:v>地理名稱</x:v>
      </x:c>
      <x:c r="F1336" s="385"/>
      <x:c r="G1336" s="384" t="str">
        <x:v>标点与分段参考《山海经校注》；正文对读：https://ctext.org/shan-hai-jing/hai-nei-dong-jing/zh</x:v>
      </x:c>
      <x:c r="H1336" s="386" t="e">
        <x:f t="shared" ref="H1336:H1342" si="17">HYPERLINK("#'山海经原文总库'!A3","↩ 返回目录")</x:f>
        <x:v>HYPERLINK is not implemented. linkLocation=#'山海经原文总库'!A3, friendlyName=↩ 返回目录</x:v>
      </x:c>
      <x:c r="I1336" s="384"/>
      <x:c r="J1336" s="384"/>
      <x:c r="K1336" s="384" t="str">
        <x:v>待同名检索｜待建档</x:v>
      </x:c>
    </x:row>
    <x:row r="1337" ht="52" hidden="0" customHeight="1">
      <x:c r="A1337" s="383" t="str">
        <x:v>SHJ-13-003-1</x:v>
      </x:c>
      <x:c r="B1337" s="383" t="str">
        <x:v>卷十三 《海內東經》</x:v>
      </x:c>
      <x:c r="C1337" s="384" t="str">
        <x:v>國在流沙中者埻端、璽㬇，在崑崙墟東南。一曰海內之郡，不爲郡縣，在流沙中。</x:v>
      </x:c>
      <x:c r="D1337" s="383" t="str">
        <x:v>流沙</x:v>
      </x:c>
      <x:c r="E1337" s="383" t="str">
        <x:v>區域</x:v>
      </x:c>
      <x:c r="F1337" s="385"/>
      <x:c r="G1337" s="384" t="str">
        <x:v>标点与分段参考《山海经校注》；正文对读：https://ctext.org/shan-hai-jing/hai-nei-dong-jing/zh</x:v>
      </x:c>
      <x:c r="H1337" s="386" t="e">
        <x:f t="shared" si="17">HYPERLINK("#'山海经原文总库'!A3","↩ 返回目录")</x:f>
        <x:v>HYPERLINK is not implemented. linkLocation=#'山海经原文总库'!A3, friendlyName=↩ 返回目录</x:v>
      </x:c>
      <x:c r="I1337" s="384"/>
      <x:c r="J1337" s="384"/>
      <x:c r="K1337" s="384" t="str">
        <x:v>待同名检索｜待建档</x:v>
      </x:c>
    </x:row>
    <x:row r="1338" ht="52" hidden="0" customHeight="1">
      <x:c r="A1338" s="383" t="str">
        <x:v>SHJ-13-003-2</x:v>
      </x:c>
      <x:c r="B1338" s="383" t="str">
        <x:v>卷十三 《海內東經》</x:v>
      </x:c>
      <x:c r="C1338" s="384"/>
      <x:c r="D1338" s="383" t="str">
        <x:v>埻端國</x:v>
      </x:c>
      <x:c r="E1338" s="383" t="str">
        <x:v>國家／族群</x:v>
      </x:c>
      <x:c r="F1338" s="385"/>
      <x:c r="G1338" s="384" t="str">
        <x:v>标点与分段参考《山海经校注》；正文对读：https://ctext.org/shan-hai-jing/hai-nei-dong-jing/zh</x:v>
      </x:c>
      <x:c r="H1338" s="386" t="e">
        <x:f t="shared" si="17">HYPERLINK("#'山海经原文总库'!A3","↩ 返回目录")</x:f>
        <x:v>HYPERLINK is not implemented. linkLocation=#'山海经原文总库'!A3, friendlyName=↩ 返回目录</x:v>
      </x:c>
      <x:c r="I1338" s="384"/>
      <x:c r="J1338" s="384"/>
      <x:c r="K1338" s="384" t="str">
        <x:v>待同名检索｜待建档</x:v>
      </x:c>
    </x:row>
    <x:row r="1339" ht="52" hidden="0" customHeight="1">
      <x:c r="A1339" s="383" t="str">
        <x:v>SHJ-13-003-3</x:v>
      </x:c>
      <x:c r="B1339" s="383" t="str">
        <x:v>卷十三 《海內東經》</x:v>
      </x:c>
      <x:c r="C1339" s="384"/>
      <x:c r="D1339" s="383" t="str">
        <x:v>璽㬇國</x:v>
      </x:c>
      <x:c r="E1339" s="383" t="str">
        <x:v>國家／族群</x:v>
      </x:c>
      <x:c r="F1339" s="385"/>
      <x:c r="G1339" s="384" t="str">
        <x:v>标点与分段参考《山海经校注》；正文对读：https://ctext.org/shan-hai-jing/hai-nei-dong-jing/zh</x:v>
      </x:c>
      <x:c r="H1339" s="386" t="e">
        <x:f t="shared" si="17">HYPERLINK("#'山海经原文总库'!A3","↩ 返回目录")</x:f>
        <x:v>HYPERLINK is not implemented. linkLocation=#'山海经原文总库'!A3, friendlyName=↩ 返回目录</x:v>
      </x:c>
      <x:c r="I1339" s="384"/>
      <x:c r="J1339" s="384"/>
      <x:c r="K1339" s="384" t="str">
        <x:v>待同名检索｜待建档</x:v>
      </x:c>
    </x:row>
    <x:row r="1340" ht="52" hidden="0" customHeight="1">
      <x:c r="A1340" s="383" t="str">
        <x:v>SHJ-13-003-4</x:v>
      </x:c>
      <x:c r="B1340" s="383" t="str">
        <x:v>卷十三 《海內東經》</x:v>
      </x:c>
      <x:c r="C1340" s="384"/>
      <x:c r="D1340" s="383" t="str">
        <x:v>崑崙虛</x:v>
      </x:c>
      <x:c r="E1340" s="383" t="str">
        <x:v>山／丘</x:v>
      </x:c>
      <x:c r="F1340" s="385" t="e">
        <x:f>HYPERLINK("#'都广核心区总表'!B44","→ 查看条目")</x:f>
        <x:v>HYPERLINK is not implemented. linkLocation=#'都广核心区总表'!B44, friendlyName=→ 查看条目</x:v>
      </x:c>
      <x:c r="G1340" s="384" t="str">
        <x:v>标点与分段参考《山海经校注》；正文对读：https://ctext.org/shan-hai-jing/hai-nei-dong-jing/zh</x:v>
      </x:c>
      <x:c r="H1340" s="386" t="e">
        <x:f t="shared" si="17">HYPERLINK("#'山海经原文总库'!A3","↩ 返回目录")</x:f>
        <x:v>HYPERLINK is not implemented. linkLocation=#'山海经原文总库'!A3, friendlyName=↩ 返回目录</x:v>
      </x:c>
      <x:c r="I1340" s="384" t="str">
        <x:v>是</x:v>
      </x:c>
      <x:c r="J1340" s="384" t="str">
        <x:v>总表第44行｜X=-1050里，Y=+650里（-10.5，+6.5格）｜内部结构锁定；相对都广的绝对距离未锁</x:v>
      </x:c>
      <x:c r="K1340" s="384" t="str">
        <x:v>已检索｜已建档</x:v>
      </x:c>
    </x:row>
    <x:row r="1341" ht="52" hidden="0" customHeight="1">
      <x:c r="A1341" s="383" t="str">
        <x:v>SHJ-13-004-1</x:v>
      </x:c>
      <x:c r="B1341" s="383" t="str">
        <x:v>卷十三 《海內東經》</x:v>
      </x:c>
      <x:c r="C1341" s="384" t="str">
        <x:v>國在流沙外者，大夏、豎沙、居繇、月支之國。</x:v>
      </x:c>
      <x:c r="D1341" s="383" t="str">
        <x:v>流沙</x:v>
      </x:c>
      <x:c r="E1341" s="383" t="str">
        <x:v>區域</x:v>
      </x:c>
      <x:c r="F1341" s="385"/>
      <x:c r="G1341" s="384" t="str">
        <x:v>标点与分段参考《山海经校注》；正文对读：https://ctext.org/shan-hai-jing/hai-nei-dong-jing/zh</x:v>
      </x:c>
      <x:c r="H1341" s="386" t="e">
        <x:f t="shared" si="17">HYPERLINK("#'山海经原文总库'!A3","↩ 返回目录")</x:f>
        <x:v>HYPERLINK is not implemented. linkLocation=#'山海经原文总库'!A3, friendlyName=↩ 返回目录</x:v>
      </x:c>
      <x:c r="I1341" s="384"/>
      <x:c r="J1341" s="384"/>
      <x:c r="K1341" s="384" t="str">
        <x:v>待同名检索｜待建档</x:v>
      </x:c>
    </x:row>
    <x:row r="1342" ht="52" hidden="0" customHeight="1">
      <x:c r="A1342" s="383" t="str">
        <x:v>SHJ-13-004-2</x:v>
      </x:c>
      <x:c r="B1342" s="383" t="str">
        <x:v>卷十三 《海內東經》</x:v>
      </x:c>
      <x:c r="C1342" s="384"/>
      <x:c r="D1342" s="383" t="str">
        <x:v>大夏國</x:v>
      </x:c>
      <x:c r="E1342" s="383" t="str">
        <x:v>國家／族群</x:v>
      </x:c>
      <x:c r="F1342" s="385"/>
      <x:c r="G1342" s="384" t="str">
        <x:v>标点与分段参考《山海经校注》；正文对读：https://ctext.org/shan-hai-jing/hai-nei-dong-jing/zh</x:v>
      </x:c>
      <x:c r="H1342" s="386" t="e">
        <x:f t="shared" si="17">HYPERLINK("#'山海经原文总库'!A3","↩ 返回目录")</x:f>
        <x:v>HYPERLINK is not implemented. linkLocation=#'山海经原文总库'!A3, friendlyName=↩ 返回目录</x:v>
      </x:c>
      <x:c r="I1342" s="384"/>
      <x:c r="J1342" s="384"/>
      <x:c r="K1342" s="384" t="str">
        <x:v>待同名检索｜待建档</x:v>
      </x:c>
    </x:row>
    <x:row r="1343" ht="52" hidden="0" customHeight="1">
      <x:c r="A1343" s="383" t="str">
        <x:v>SHJ-13-004-3</x:v>
      </x:c>
      <x:c r="B1343" s="383" t="str">
        <x:v>卷十三 《海內東經》</x:v>
      </x:c>
      <x:c r="C1343" s="384"/>
      <x:c r="D1343" s="383" t="str">
        <x:v>豎沙國</x:v>
      </x:c>
      <x:c r="E1343" s="383" t="str">
        <x:v>國家／族群</x:v>
      </x:c>
      <x:c r="F1343" s="385"/>
      <x:c r="G1343" s="384" t="str">
        <x:v>标点与分段参考《山海经校注》；正文对读：https://ctext.org/shan-hai-jing/hai-nei-dong-jing/zh</x:v>
      </x:c>
      <x:c r="H1343" s="386" t="e">
        <x:f>HYPERLINK("#'山海经原文总库'!A3","↩ 返回目录")</x:f>
        <x:v>HYPERLINK is not implemented. linkLocation=#'山海经原文总库'!A3, friendlyName=↩ 返回目录</x:v>
      </x:c>
      <x:c r="I1343" s="384"/>
      <x:c r="J1343" s="384"/>
      <x:c r="K1343" s="384" t="str">
        <x:v>待同名检索｜待建档</x:v>
      </x:c>
    </x:row>
    <x:row r="1344" ht="52" hidden="0" customHeight="1">
      <x:c r="A1344" s="383" t="str">
        <x:v>SHJ-13-004-4</x:v>
      </x:c>
      <x:c r="B1344" s="383" t="str">
        <x:v>卷十三 《海內東經》</x:v>
      </x:c>
      <x:c r="C1344" s="384"/>
      <x:c r="D1344" s="383" t="str">
        <x:v>居繇國</x:v>
      </x:c>
      <x:c r="E1344" s="383" t="str">
        <x:v>國家／族群</x:v>
      </x:c>
      <x:c r="F1344" s="385"/>
      <x:c r="G1344" s="384" t="str">
        <x:v>标点与分段参考《山海经校注》；正文对读：https://ctext.org/shan-hai-jing/hai-nei-dong-jing/zh</x:v>
      </x:c>
      <x:c r="H1344" s="386" t="e">
        <x:f>HYPERLINK("#'山海经原文总库'!A3","↩ 返回目录")</x:f>
        <x:v>HYPERLINK is not implemented. linkLocation=#'山海经原文总库'!A3, friendlyName=↩ 返回目录</x:v>
      </x:c>
      <x:c r="I1344" s="384"/>
      <x:c r="J1344" s="384"/>
      <x:c r="K1344" s="384" t="str">
        <x:v>待同名检索｜待建档</x:v>
      </x:c>
    </x:row>
    <x:row r="1345" ht="52" hidden="0" customHeight="1">
      <x:c r="A1345" s="383" t="str">
        <x:v>SHJ-13-004-5</x:v>
      </x:c>
      <x:c r="B1345" s="383" t="str">
        <x:v>卷十三 《海內東經》</x:v>
      </x:c>
      <x:c r="C1345" s="384"/>
      <x:c r="D1345" s="383" t="str">
        <x:v>月支之國</x:v>
      </x:c>
      <x:c r="E1345" s="383" t="str">
        <x:v>國家／族群</x:v>
      </x:c>
      <x:c r="F1345" s="385"/>
      <x:c r="G1345" s="384" t="str">
        <x:v>标点与分段参考《山海经校注》；正文对读：https://ctext.org/shan-hai-jing/hai-nei-dong-jing/zh</x:v>
      </x:c>
      <x:c r="H1345" s="386" t="e">
        <x:f>HYPERLINK("#'山海经原文总库'!A3","↩ 返回目录")</x:f>
        <x:v>HYPERLINK is not implemented. linkLocation=#'山海经原文总库'!A3, friendlyName=↩ 返回目录</x:v>
      </x:c>
      <x:c r="I1345" s="384"/>
      <x:c r="J1345" s="384"/>
      <x:c r="K1345" s="384" t="str">
        <x:v>待同名检索｜待建档</x:v>
      </x:c>
    </x:row>
    <x:row r="1346" ht="52" hidden="0" customHeight="1">
      <x:c r="A1346" s="383" t="str">
        <x:v>SHJ-13-005-1</x:v>
      </x:c>
      <x:c r="B1346" s="383" t="str">
        <x:v>卷十三 《海內東經》</x:v>
      </x:c>
      <x:c r="C1346" s="384" t="str">
        <x:v>西胡白玉山在大夏東，蒼梧在白玉山西南，皆在流沙西，崑崙虛東南。崑崙山在西胡西，皆在西北。</x:v>
      </x:c>
      <x:c r="D1346" s="383" t="str">
        <x:v>西胡</x:v>
      </x:c>
      <x:c r="E1346" s="383" t="str">
        <x:v>地理名稱</x:v>
      </x:c>
      <x:c r="F1346" s="385"/>
      <x:c r="G1346" s="384" t="str">
        <x:v>标点与分段参考《山海经校注》；正文对读：https://ctext.org/shan-hai-jing/hai-nei-dong-jing/zh</x:v>
      </x:c>
      <x:c r="H1346" s="386" t="e">
        <x:f>HYPERLINK("#'山海经原文总库'!A3","↩ 返回目录")</x:f>
        <x:v>HYPERLINK is not implemented. linkLocation=#'山海经原文总库'!A3, friendlyName=↩ 返回目录</x:v>
      </x:c>
      <x:c r="I1346" s="384"/>
      <x:c r="J1346" s="384"/>
      <x:c r="K1346" s="384" t="str">
        <x:v>待同名检索｜待建档</x:v>
      </x:c>
    </x:row>
    <x:row r="1347" ht="52" hidden="0" customHeight="1">
      <x:c r="A1347" s="383" t="str">
        <x:v>SHJ-13-005-2</x:v>
      </x:c>
      <x:c r="B1347" s="383" t="str">
        <x:v>卷十三 《海內東經》</x:v>
      </x:c>
      <x:c r="C1347" s="384"/>
      <x:c r="D1347" s="383" t="str">
        <x:v>白玉山</x:v>
      </x:c>
      <x:c r="E1347" s="383" t="str">
        <x:v>山／丘</x:v>
      </x:c>
      <x:c r="F1347" s="385"/>
      <x:c r="G1347" s="384" t="str">
        <x:v>标点与分段参考《山海经校注》；正文对读：https://ctext.org/shan-hai-jing/hai-nei-dong-jing/zh</x:v>
      </x:c>
      <x:c r="H1347" s="386" t="e">
        <x:f>HYPERLINK("#'山海经原文总库'!A3","↩ 返回目录")</x:f>
        <x:v>HYPERLINK is not implemented. linkLocation=#'山海经原文总库'!A3, friendlyName=↩ 返回目录</x:v>
      </x:c>
      <x:c r="I1347" s="384"/>
      <x:c r="J1347" s="384"/>
      <x:c r="K1347" s="384" t="str">
        <x:v>待同名检索｜待建档</x:v>
      </x:c>
    </x:row>
    <x:row r="1348" ht="52" hidden="0" customHeight="1">
      <x:c r="A1348" s="383" t="str">
        <x:v>SHJ-13-005-3</x:v>
      </x:c>
      <x:c r="B1348" s="383" t="str">
        <x:v>卷十三 《海內東經》</x:v>
      </x:c>
      <x:c r="C1348" s="384"/>
      <x:c r="D1348" s="383" t="str">
        <x:v>大夏國</x:v>
      </x:c>
      <x:c r="E1348" s="383" t="str">
        <x:v>國家／族群</x:v>
      </x:c>
      <x:c r="F1348" s="385"/>
      <x:c r="G1348" s="384" t="str">
        <x:v>标点与分段参考《山海经校注》；正文对读：https://ctext.org/shan-hai-jing/hai-nei-dong-jing/zh</x:v>
      </x:c>
      <x:c r="H1348" s="386" t="e">
        <x:f>HYPERLINK("#'山海经原文总库'!A3","↩ 返回目录")</x:f>
        <x:v>HYPERLINK is not implemented. linkLocation=#'山海经原文总库'!A3, friendlyName=↩ 返回目录</x:v>
      </x:c>
      <x:c r="I1348" s="384"/>
      <x:c r="J1348" s="384"/>
      <x:c r="K1348" s="384" t="str">
        <x:v>待同名检索｜待建档</x:v>
      </x:c>
    </x:row>
    <x:row r="1349" ht="52" hidden="0" customHeight="1">
      <x:c r="A1349" s="383" t="str">
        <x:v>SHJ-13-005-4</x:v>
      </x:c>
      <x:c r="B1349" s="383" t="str">
        <x:v>卷十三 《海內東經》</x:v>
      </x:c>
      <x:c r="C1349" s="384"/>
      <x:c r="D1349" s="383" t="str">
        <x:v>蒼梧</x:v>
      </x:c>
      <x:c r="E1349" s="383" t="str">
        <x:v>地理名稱</x:v>
      </x:c>
      <x:c r="F1349" s="385"/>
      <x:c r="G1349" s="384" t="str">
        <x:v>标点与分段参考《山海经校注》；正文对读：https://ctext.org/shan-hai-jing/hai-nei-dong-jing/zh</x:v>
      </x:c>
      <x:c r="H1349" s="386" t="e">
        <x:f>HYPERLINK("#'山海经原文总库'!A3","↩ 返回目录")</x:f>
        <x:v>HYPERLINK is not implemented. linkLocation=#'山海经原文总库'!A3, friendlyName=↩ 返回目录</x:v>
      </x:c>
      <x:c r="I1349" s="384"/>
      <x:c r="J1349" s="384"/>
      <x:c r="K1349" s="384" t="str">
        <x:v>待同名检索｜待建档</x:v>
      </x:c>
    </x:row>
    <x:row r="1350" ht="52" hidden="0" customHeight="1">
      <x:c r="A1350" s="383" t="str">
        <x:v>SHJ-13-005-5</x:v>
      </x:c>
      <x:c r="B1350" s="383" t="str">
        <x:v>卷十三 《海內東經》</x:v>
      </x:c>
      <x:c r="C1350" s="384"/>
      <x:c r="D1350" s="383" t="str">
        <x:v>流沙</x:v>
      </x:c>
      <x:c r="E1350" s="383" t="str">
        <x:v>區域</x:v>
      </x:c>
      <x:c r="F1350" s="385"/>
      <x:c r="G1350" s="384" t="str">
        <x:v>标点与分段参考《山海经校注》；正文对读：https://ctext.org/shan-hai-jing/hai-nei-dong-jing/zh</x:v>
      </x:c>
      <x:c r="H1350" s="386" t="e">
        <x:f>HYPERLINK("#'山海经原文总库'!A3","↩ 返回目录")</x:f>
        <x:v>HYPERLINK is not implemented. linkLocation=#'山海经原文总库'!A3, friendlyName=↩ 返回目录</x:v>
      </x:c>
      <x:c r="I1350" s="384"/>
      <x:c r="J1350" s="384"/>
      <x:c r="K1350" s="384" t="str">
        <x:v>待同名检索｜待建档</x:v>
      </x:c>
    </x:row>
    <x:row r="1351" ht="52" hidden="0" customHeight="1">
      <x:c r="A1351" s="383" t="str">
        <x:v>SHJ-13-005-6</x:v>
      </x:c>
      <x:c r="B1351" s="383" t="str">
        <x:v>卷十三 《海內東經》</x:v>
      </x:c>
      <x:c r="C1351" s="384"/>
      <x:c r="D1351" s="383" t="str">
        <x:v>崑崙虛</x:v>
      </x:c>
      <x:c r="E1351" s="383" t="str">
        <x:v>山／丘</x:v>
      </x:c>
      <x:c r="F1351" s="385" t="e">
        <x:f>HYPERLINK("#'都广核心区总表'!B44","→ 查看条目")</x:f>
        <x:v>HYPERLINK is not implemented. linkLocation=#'都广核心区总表'!B44, friendlyName=→ 查看条目</x:v>
      </x:c>
      <x:c r="G1351" s="384" t="str">
        <x:v>标点与分段参考《山海经校注》；正文对读：https://ctext.org/shan-hai-jing/hai-nei-dong-jing/zh</x:v>
      </x:c>
      <x:c r="H1351" s="386" t="e">
        <x:f>HYPERLINK("#'山海经原文总库'!A3","↩ 返回目录")</x:f>
        <x:v>HYPERLINK is not implemented. linkLocation=#'山海经原文总库'!A3, friendlyName=↩ 返回目录</x:v>
      </x:c>
      <x:c r="I1351" s="384" t="str">
        <x:v>是</x:v>
      </x:c>
      <x:c r="J1351" s="384" t="str">
        <x:v>总表第44行｜X=-1050里，Y=+650里（-10.5，+6.5格）｜内部结构锁定；相对都广的绝对距离未锁</x:v>
      </x:c>
      <x:c r="K1351" s="384" t="str">
        <x:v>已检索｜已建档</x:v>
      </x:c>
    </x:row>
    <x:row r="1352" ht="52" hidden="0" customHeight="1">
      <x:c r="A1352" s="383" t="str">
        <x:v>SHJ-13-005-7</x:v>
      </x:c>
      <x:c r="B1352" s="383" t="str">
        <x:v>卷十三 《海內東經》</x:v>
      </x:c>
      <x:c r="C1352" s="384"/>
      <x:c r="D1352" s="383" t="str">
        <x:v>崑崙山</x:v>
      </x:c>
      <x:c r="E1352" s="383" t="str">
        <x:v>山／丘</x:v>
      </x:c>
      <x:c r="F1352" s="385"/>
      <x:c r="G1352" s="384" t="str">
        <x:v>标点与分段参考《山海经校注》；正文对读：https://ctext.org/shan-hai-jing/hai-nei-dong-jing/zh</x:v>
      </x:c>
      <x:c r="H1352" s="386" t="e">
        <x:f>HYPERLINK("#'山海经原文总库'!A3","↩ 返回目录")</x:f>
        <x:v>HYPERLINK is not implemented. linkLocation=#'山海经原文总库'!A3, friendlyName=↩ 返回目录</x:v>
      </x:c>
      <x:c r="I1352" s="384"/>
      <x:c r="J1352" s="384"/>
      <x:c r="K1352" s="384" t="str">
        <x:v>待同名检索｜待建档</x:v>
      </x:c>
    </x:row>
    <x:row r="1353" ht="52" hidden="0" customHeight="1">
      <x:c r="A1353" s="383" t="str">
        <x:v>SHJ-13-006-1</x:v>
      </x:c>
      <x:c r="B1353" s="383" t="str">
        <x:v>卷十三 《海內東經》</x:v>
      </x:c>
      <x:c r="C1353" s="384" t="str">
        <x:v>雷澤中有雷神，龍身而人頭，鼓其腹。在吳西。</x:v>
      </x:c>
      <x:c r="D1353" s="383" t="str">
        <x:v>雷澤</x:v>
      </x:c>
      <x:c r="E1353" s="383" t="str">
        <x:v>水系／水域</x:v>
      </x:c>
      <x:c r="F1353" s="385"/>
      <x:c r="G1353" s="384" t="str">
        <x:v>标点与分段参考《山海经校注》；正文对读：https://ctext.org/shan-hai-jing/hai-nei-dong-jing/zh</x:v>
      </x:c>
      <x:c r="H1353" s="386" t="e">
        <x:f>HYPERLINK("#'山海经原文总库'!A3","↩ 返回目录")</x:f>
        <x:v>HYPERLINK is not implemented. linkLocation=#'山海经原文总库'!A3, friendlyName=↩ 返回目录</x:v>
      </x:c>
      <x:c r="I1353" s="384"/>
      <x:c r="J1353" s="384"/>
      <x:c r="K1353" s="384" t="str">
        <x:v>待同名检索｜待建档</x:v>
      </x:c>
    </x:row>
    <x:row r="1354" ht="52" hidden="0" customHeight="1">
      <x:c r="A1354" s="383" t="str">
        <x:v>SHJ-13-006-2</x:v>
      </x:c>
      <x:c r="B1354" s="383" t="str">
        <x:v>卷十三 《海內東經》</x:v>
      </x:c>
      <x:c r="C1354" s="384"/>
      <x:c r="D1354" s="383" t="str">
        <x:v>吳</x:v>
      </x:c>
      <x:c r="E1354" s="383" t="str">
        <x:v>地理名稱</x:v>
      </x:c>
      <x:c r="F1354" s="385"/>
      <x:c r="G1354" s="384" t="str">
        <x:v>标点与分段参考《山海经校注》；正文对读：https://ctext.org/shan-hai-jing/hai-nei-dong-jing/zh</x:v>
      </x:c>
      <x:c r="H1354" s="386" t="e">
        <x:f>HYPERLINK("#'山海经原文总库'!A3","↩ 返回目录")</x:f>
        <x:v>HYPERLINK is not implemented. linkLocation=#'山海经原文总库'!A3, friendlyName=↩ 返回目录</x:v>
      </x:c>
      <x:c r="I1354" s="384"/>
      <x:c r="J1354" s="384"/>
      <x:c r="K1354" s="384" t="str">
        <x:v>待同名检索｜待建档</x:v>
      </x:c>
    </x:row>
    <x:row r="1355" ht="52" hidden="0" customHeight="1">
      <x:c r="A1355" s="383" t="str">
        <x:v>SHJ-13-007-1</x:v>
      </x:c>
      <x:c r="B1355" s="383" t="str">
        <x:v>卷十三 《海內東經》</x:v>
      </x:c>
      <x:c r="C1355" s="384" t="str">
        <x:v>都州在海中。一曰鬱州。</x:v>
      </x:c>
      <x:c r="D1355" s="383" t="str">
        <x:v>都州</x:v>
      </x:c>
      <x:c r="E1355" s="383" t="str">
        <x:v>城邑／區域</x:v>
      </x:c>
      <x:c r="F1355" s="385"/>
      <x:c r="G1355" s="384" t="str">
        <x:v>标点与分段参考《山海经校注》；正文对读：https://ctext.org/shan-hai-jing/hai-nei-dong-jing/zh</x:v>
      </x:c>
      <x:c r="H1355" s="386" t="e">
        <x:f>HYPERLINK("#'山海经原文总库'!A3","↩ 返回目录")</x:f>
        <x:v>HYPERLINK is not implemented. linkLocation=#'山海经原文总库'!A3, friendlyName=↩ 返回目录</x:v>
      </x:c>
      <x:c r="I1355" s="384"/>
      <x:c r="J1355" s="384"/>
      <x:c r="K1355" s="384" t="str">
        <x:v>待同名检索｜待建档</x:v>
      </x:c>
    </x:row>
    <x:row r="1356" ht="52" hidden="0" customHeight="1">
      <x:c r="A1356" s="383" t="str">
        <x:v>SHJ-13-007-2</x:v>
      </x:c>
      <x:c r="B1356" s="383" t="str">
        <x:v>卷十三 《海內東經》</x:v>
      </x:c>
      <x:c r="C1356" s="384"/>
      <x:c r="D1356" s="383" t="str">
        <x:v>鬱州</x:v>
      </x:c>
      <x:c r="E1356" s="383" t="str">
        <x:v>城邑／區域</x:v>
      </x:c>
      <x:c r="F1356" s="385"/>
      <x:c r="G1356" s="384" t="str">
        <x:v>标点与分段参考《山海经校注》；正文对读：https://ctext.org/shan-hai-jing/hai-nei-dong-jing/zh</x:v>
      </x:c>
      <x:c r="H1356" s="386" t="e">
        <x:f>HYPERLINK("#'山海经原文总库'!A3","↩ 返回目录")</x:f>
        <x:v>HYPERLINK is not implemented. linkLocation=#'山海经原文总库'!A3, friendlyName=↩ 返回目录</x:v>
      </x:c>
      <x:c r="I1356" s="384"/>
      <x:c r="J1356" s="384"/>
      <x:c r="K1356" s="384" t="str">
        <x:v>待同名检索｜待建档</x:v>
      </x:c>
    </x:row>
    <x:row r="1357" ht="52" hidden="0" customHeight="1">
      <x:c r="A1357" s="383" t="str">
        <x:v>SHJ-13-007-3</x:v>
      </x:c>
      <x:c r="B1357" s="383" t="str">
        <x:v>卷十三 《海內東經》</x:v>
      </x:c>
      <x:c r="C1357" s="384"/>
      <x:c r="D1357" s="383" t="str">
        <x:v>海中</x:v>
      </x:c>
      <x:c r="E1357" s="383" t="str">
        <x:v>區域</x:v>
      </x:c>
      <x:c r="F1357" s="385"/>
      <x:c r="G1357" s="384" t="str">
        <x:v>标点与分段参考《山海经校注》；正文对读：https://ctext.org/shan-hai-jing/hai-nei-dong-jing/zh</x:v>
      </x:c>
      <x:c r="H1357" s="386" t="e">
        <x:f>HYPERLINK("#'山海经原文总库'!A3","↩ 返回目录")</x:f>
        <x:v>HYPERLINK is not implemented. linkLocation=#'山海经原文总库'!A3, friendlyName=↩ 返回目录</x:v>
      </x:c>
      <x:c r="I1357" s="384"/>
      <x:c r="J1357" s="384"/>
      <x:c r="K1357" s="384" t="str">
        <x:v>待同名检索｜待建档</x:v>
      </x:c>
    </x:row>
    <x:row r="1358" ht="52" hidden="0" customHeight="1">
      <x:c r="A1358" s="383" t="str">
        <x:v>SHJ-13-008-1</x:v>
      </x:c>
      <x:c r="B1358" s="383" t="str">
        <x:v>卷十三 《海內東經》</x:v>
      </x:c>
      <x:c r="C1358" s="384" t="str">
        <x:v>琅邪臺在渤海間，琅邪之東。其北有山。一曰在海間。</x:v>
      </x:c>
      <x:c r="D1358" s="383" t="str">
        <x:v>琅邪臺</x:v>
      </x:c>
      <x:c r="E1358" s="383" t="str">
        <x:v>臺／壇</x:v>
      </x:c>
      <x:c r="F1358" s="385"/>
      <x:c r="G1358" s="384" t="str">
        <x:v>标点与分段参考《山海经校注》；正文对读：https://ctext.org/shan-hai-jing/hai-nei-dong-jing/zh</x:v>
      </x:c>
      <x:c r="H1358" s="386" t="e">
        <x:f>HYPERLINK("#'山海经原文总库'!A3","↩ 返回目录")</x:f>
        <x:v>HYPERLINK is not implemented. linkLocation=#'山海经原文总库'!A3, friendlyName=↩ 返回目录</x:v>
      </x:c>
      <x:c r="I1358" s="384"/>
      <x:c r="J1358" s="384"/>
      <x:c r="K1358" s="384" t="str">
        <x:v>待同名检索｜待建档</x:v>
      </x:c>
    </x:row>
    <x:row r="1359" ht="52" hidden="0" customHeight="1">
      <x:c r="A1359" s="383" t="str">
        <x:v>SHJ-13-008-2</x:v>
      </x:c>
      <x:c r="B1359" s="383" t="str">
        <x:v>卷十三 《海內東經》</x:v>
      </x:c>
      <x:c r="C1359" s="384"/>
      <x:c r="D1359" s="383" t="str">
        <x:v>渤海</x:v>
      </x:c>
      <x:c r="E1359" s="383" t="str">
        <x:v>水系／水域</x:v>
      </x:c>
      <x:c r="F1359" s="385"/>
      <x:c r="G1359" s="384" t="str">
        <x:v>标点与分段参考《山海经校注》；正文对读：https://ctext.org/shan-hai-jing/hai-nei-dong-jing/zh</x:v>
      </x:c>
      <x:c r="H1359" s="386" t="e">
        <x:f>HYPERLINK("#'山海经原文总库'!A3","↩ 返回目录")</x:f>
        <x:v>HYPERLINK is not implemented. linkLocation=#'山海经原文总库'!A3, friendlyName=↩ 返回目录</x:v>
      </x:c>
      <x:c r="I1359" s="384"/>
      <x:c r="J1359" s="384"/>
      <x:c r="K1359" s="384" t="str">
        <x:v>待同名检索｜待建档</x:v>
      </x:c>
    </x:row>
    <x:row r="1360" ht="52" hidden="0" customHeight="1">
      <x:c r="A1360" s="383" t="str">
        <x:v>SHJ-13-008-3</x:v>
      </x:c>
      <x:c r="B1360" s="383" t="str">
        <x:v>卷十三 《海內東經》</x:v>
      </x:c>
      <x:c r="C1360" s="384"/>
      <x:c r="D1360" s="383" t="str">
        <x:v>琅邪</x:v>
      </x:c>
      <x:c r="E1360" s="383" t="str">
        <x:v>地理名稱</x:v>
      </x:c>
      <x:c r="F1360" s="385"/>
      <x:c r="G1360" s="384" t="str">
        <x:v>标点与分段参考《山海经校注》；正文对读：https://ctext.org/shan-hai-jing/hai-nei-dong-jing/zh</x:v>
      </x:c>
      <x:c r="H1360" s="386" t="e">
        <x:f>HYPERLINK("#'山海经原文总库'!A3","↩ 返回目录")</x:f>
        <x:v>HYPERLINK is not implemented. linkLocation=#'山海经原文总库'!A3, friendlyName=↩ 返回目录</x:v>
      </x:c>
      <x:c r="I1360" s="384"/>
      <x:c r="J1360" s="384"/>
      <x:c r="K1360" s="384" t="str">
        <x:v>待同名检索｜待建档</x:v>
      </x:c>
    </x:row>
    <x:row r="1361" ht="52" hidden="0" customHeight="1">
      <x:c r="A1361" s="383" t="str">
        <x:v>SHJ-13-008-4</x:v>
      </x:c>
      <x:c r="B1361" s="383" t="str">
        <x:v>卷十三 《海內東經》</x:v>
      </x:c>
      <x:c r="C1361" s="384"/>
      <x:c r="D1361" s="383" t="str">
        <x:v>海間</x:v>
      </x:c>
      <x:c r="E1361" s="383" t="str">
        <x:v>區域</x:v>
      </x:c>
      <x:c r="F1361" s="385"/>
      <x:c r="G1361" s="384" t="str">
        <x:v>标点与分段参考《山海经校注》；正文对读：https://ctext.org/shan-hai-jing/hai-nei-dong-jing/zh</x:v>
      </x:c>
      <x:c r="H1361" s="386" t="e">
        <x:f>HYPERLINK("#'山海经原文总库'!A3","↩ 返回目录")</x:f>
        <x:v>HYPERLINK is not implemented. linkLocation=#'山海经原文总库'!A3, friendlyName=↩ 返回目录</x:v>
      </x:c>
      <x:c r="I1361" s="384"/>
      <x:c r="J1361" s="384"/>
      <x:c r="K1361" s="384" t="str">
        <x:v>待同名检索｜待建档</x:v>
      </x:c>
    </x:row>
    <x:row r="1362" ht="52" hidden="0" customHeight="1">
      <x:c r="A1362" s="383" t="str">
        <x:v>SHJ-13-009-1</x:v>
      </x:c>
      <x:c r="B1362" s="383" t="str">
        <x:v>卷十三 《海內東經》</x:v>
      </x:c>
      <x:c r="C1362" s="384" t="str">
        <x:v>韓鴈在海中，都州南。</x:v>
      </x:c>
      <x:c r="D1362" s="383" t="str">
        <x:v>韓鴈</x:v>
      </x:c>
      <x:c r="E1362" s="383" t="str">
        <x:v>地理名稱</x:v>
      </x:c>
      <x:c r="F1362" s="385"/>
      <x:c r="G1362" s="384" t="str">
        <x:v>标点与分段参考《山海经校注》；正文对读：https://ctext.org/shan-hai-jing/hai-nei-dong-jing/zh</x:v>
      </x:c>
      <x:c r="H1362" s="386" t="e">
        <x:f>HYPERLINK("#'山海经原文总库'!A3","↩ 返回目录")</x:f>
        <x:v>HYPERLINK is not implemented. linkLocation=#'山海经原文总库'!A3, friendlyName=↩ 返回目录</x:v>
      </x:c>
      <x:c r="I1362" s="384"/>
      <x:c r="J1362" s="384"/>
      <x:c r="K1362" s="384" t="str">
        <x:v>待同名检索｜待建档</x:v>
      </x:c>
    </x:row>
    <x:row r="1363" ht="52" hidden="0" customHeight="1">
      <x:c r="A1363" s="383" t="str">
        <x:v>SHJ-13-009-2</x:v>
      </x:c>
      <x:c r="B1363" s="383" t="str">
        <x:v>卷十三 《海內東經》</x:v>
      </x:c>
      <x:c r="C1363" s="384"/>
      <x:c r="D1363" s="383" t="str">
        <x:v>海中</x:v>
      </x:c>
      <x:c r="E1363" s="383" t="str">
        <x:v>區域</x:v>
      </x:c>
      <x:c r="F1363" s="385"/>
      <x:c r="G1363" s="384" t="str">
        <x:v>标点与分段参考《山海经校注》；正文对读：https://ctext.org/shan-hai-jing/hai-nei-dong-jing/zh</x:v>
      </x:c>
      <x:c r="H1363" s="386" t="e">
        <x:f>HYPERLINK("#'山海经原文总库'!A3","↩ 返回目录")</x:f>
        <x:v>HYPERLINK is not implemented. linkLocation=#'山海经原文总库'!A3, friendlyName=↩ 返回目录</x:v>
      </x:c>
      <x:c r="I1363" s="384"/>
      <x:c r="J1363" s="384"/>
      <x:c r="K1363" s="384" t="str">
        <x:v>待同名检索｜待建档</x:v>
      </x:c>
    </x:row>
    <x:row r="1364" ht="52" hidden="0" customHeight="1">
      <x:c r="A1364" s="383" t="str">
        <x:v>SHJ-13-009-3</x:v>
      </x:c>
      <x:c r="B1364" s="383" t="str">
        <x:v>卷十三 《海內東經》</x:v>
      </x:c>
      <x:c r="C1364" s="384"/>
      <x:c r="D1364" s="383" t="str">
        <x:v>都州</x:v>
      </x:c>
      <x:c r="E1364" s="383" t="str">
        <x:v>城邑／區域</x:v>
      </x:c>
      <x:c r="F1364" s="385"/>
      <x:c r="G1364" s="384" t="str">
        <x:v>标点与分段参考《山海经校注》；正文对读：https://ctext.org/shan-hai-jing/hai-nei-dong-jing/zh</x:v>
      </x:c>
      <x:c r="H1364" s="386" t="e">
        <x:f>HYPERLINK("#'山海经原文总库'!A3","↩ 返回目录")</x:f>
        <x:v>HYPERLINK is not implemented. linkLocation=#'山海经原文总库'!A3, friendlyName=↩ 返回目录</x:v>
      </x:c>
      <x:c r="I1364" s="384"/>
      <x:c r="J1364" s="384"/>
      <x:c r="K1364" s="384" t="str">
        <x:v>待同名检索｜待建档</x:v>
      </x:c>
    </x:row>
    <x:row r="1365" ht="52" hidden="0" customHeight="1">
      <x:c r="A1365" s="383" t="str">
        <x:v>SHJ-13-010-1</x:v>
      </x:c>
      <x:c r="B1365" s="383" t="str">
        <x:v>卷十三 《海內東經》</x:v>
      </x:c>
      <x:c r="C1365" s="384" t="str">
        <x:v>始鳩在海中，轅厲南。</x:v>
      </x:c>
      <x:c r="D1365" s="383" t="str">
        <x:v>始鳩</x:v>
      </x:c>
      <x:c r="E1365" s="383" t="str">
        <x:v>地理名稱</x:v>
      </x:c>
      <x:c r="F1365" s="385"/>
      <x:c r="G1365" s="384" t="str">
        <x:v>标点与分段参考《山海经校注》；正文对读：https://ctext.org/shan-hai-jing/hai-nei-dong-jing/zh</x:v>
      </x:c>
      <x:c r="H1365" s="386" t="e">
        <x:f>HYPERLINK("#'山海经原文总库'!A3","↩ 返回目录")</x:f>
        <x:v>HYPERLINK is not implemented. linkLocation=#'山海经原文总库'!A3, friendlyName=↩ 返回目录</x:v>
      </x:c>
      <x:c r="I1365" s="384"/>
      <x:c r="J1365" s="384"/>
      <x:c r="K1365" s="384" t="str">
        <x:v>待同名检索｜待建档</x:v>
      </x:c>
    </x:row>
    <x:row r="1366" ht="52" hidden="0" customHeight="1">
      <x:c r="A1366" s="383" t="str">
        <x:v>SHJ-13-010-2</x:v>
      </x:c>
      <x:c r="B1366" s="383" t="str">
        <x:v>卷十三 《海內東經》</x:v>
      </x:c>
      <x:c r="C1366" s="384"/>
      <x:c r="D1366" s="383" t="str">
        <x:v>海中</x:v>
      </x:c>
      <x:c r="E1366" s="383" t="str">
        <x:v>區域</x:v>
      </x:c>
      <x:c r="F1366" s="385"/>
      <x:c r="G1366" s="384" t="str">
        <x:v>标点与分段参考《山海经校注》；正文对读：https://ctext.org/shan-hai-jing/hai-nei-dong-jing/zh</x:v>
      </x:c>
      <x:c r="H1366" s="386" t="e">
        <x:f>HYPERLINK("#'山海经原文总库'!A3","↩ 返回目录")</x:f>
        <x:v>HYPERLINK is not implemented. linkLocation=#'山海经原文总库'!A3, friendlyName=↩ 返回目录</x:v>
      </x:c>
      <x:c r="I1366" s="384"/>
      <x:c r="J1366" s="384"/>
      <x:c r="K1366" s="384" t="str">
        <x:v>待同名检索｜待建档</x:v>
      </x:c>
    </x:row>
    <x:row r="1367" ht="52" hidden="0" customHeight="1">
      <x:c r="A1367" s="383" t="str">
        <x:v>SHJ-13-010-3</x:v>
      </x:c>
      <x:c r="B1367" s="383" t="str">
        <x:v>卷十三 《海內東經》</x:v>
      </x:c>
      <x:c r="C1367" s="384"/>
      <x:c r="D1367" s="383" t="str">
        <x:v>轅厲</x:v>
      </x:c>
      <x:c r="E1367" s="383" t="str">
        <x:v>地理名稱</x:v>
      </x:c>
      <x:c r="F1367" s="385"/>
      <x:c r="G1367" s="384" t="str">
        <x:v>标点与分段参考《山海经校注》；正文对读：https://ctext.org/shan-hai-jing/hai-nei-dong-jing/zh</x:v>
      </x:c>
      <x:c r="H1367" s="386" t="e">
        <x:f>HYPERLINK("#'山海经原文总库'!A3","↩ 返回目录")</x:f>
        <x:v>HYPERLINK is not implemented. linkLocation=#'山海经原文总库'!A3, friendlyName=↩ 返回目录</x:v>
      </x:c>
      <x:c r="I1367" s="384"/>
      <x:c r="J1367" s="384"/>
      <x:c r="K1367" s="384" t="str">
        <x:v>待同名检索｜待建档</x:v>
      </x:c>
    </x:row>
    <x:row r="1368" ht="52" hidden="0" customHeight="1">
      <x:c r="A1368" s="383" t="str">
        <x:v>SHJ-13-011-1</x:v>
      </x:c>
      <x:c r="B1368" s="383" t="str">
        <x:v>卷十三 《海內東經》</x:v>
      </x:c>
      <x:c r="C1368" s="384" t="str">
        <x:v>會稽山在大楚南。</x:v>
      </x:c>
      <x:c r="D1368" s="383" t="str">
        <x:v>會稽山</x:v>
      </x:c>
      <x:c r="E1368" s="383" t="str">
        <x:v>山／丘</x:v>
      </x:c>
      <x:c r="F1368" s="385"/>
      <x:c r="G1368" s="384" t="str">
        <x:v>标点与分段参考《山海经校注》；正文对读：https://ctext.org/shan-hai-jing/hai-nei-dong-jing/zh</x:v>
      </x:c>
      <x:c r="H1368" s="386" t="e">
        <x:f>HYPERLINK("#'山海经原文总库'!A3","↩ 返回目录")</x:f>
        <x:v>HYPERLINK is not implemented. linkLocation=#'山海经原文总库'!A3, friendlyName=↩ 返回目录</x:v>
      </x:c>
      <x:c r="I1368" s="384"/>
      <x:c r="J1368" s="384"/>
      <x:c r="K1368" s="384" t="str">
        <x:v>待同名检索｜待建档</x:v>
      </x:c>
    </x:row>
    <x:row r="1369" ht="52" hidden="0" customHeight="1">
      <x:c r="A1369" s="383" t="str">
        <x:v>SHJ-13-011-2</x:v>
      </x:c>
      <x:c r="B1369" s="383" t="str">
        <x:v>卷十三 《海內東經》</x:v>
      </x:c>
      <x:c r="C1369" s="384"/>
      <x:c r="D1369" s="383" t="str">
        <x:v>大楚</x:v>
      </x:c>
      <x:c r="E1369" s="383" t="str">
        <x:v>地理名稱</x:v>
      </x:c>
      <x:c r="F1369" s="385"/>
      <x:c r="G1369" s="384" t="str">
        <x:v>标点与分段参考《山海经校注》；正文对读：https://ctext.org/shan-hai-jing/hai-nei-dong-jing/zh</x:v>
      </x:c>
      <x:c r="H1369" s="386" t="e">
        <x:f>HYPERLINK("#'山海经原文总库'!A3","↩ 返回目录")</x:f>
        <x:v>HYPERLINK is not implemented. linkLocation=#'山海经原文总库'!A3, friendlyName=↩ 返回目录</x:v>
      </x:c>
      <x:c r="I1369" s="384"/>
      <x:c r="J1369" s="384"/>
      <x:c r="K1369" s="384" t="str">
        <x:v>待同名检索｜待建档</x:v>
      </x:c>
    </x:row>
    <x:row r="1370" ht="52" hidden="0" customHeight="1">
      <x:c r="A1370" s="383" t="str">
        <x:v>SHJ-13-012-1</x:v>
      </x:c>
      <x:c r="B1370" s="383" t="str">
        <x:v>卷十三 《海內東經》</x:v>
      </x:c>
      <x:c r="C1370" s="384" t="str">
        <x:v>岷三江：首大江出汶山，北江出曼山，南江出高山。高山在城成都西。入海，在長州南。</x:v>
      </x:c>
      <x:c r="D1370" s="383" t="str">
        <x:v>岷三江</x:v>
      </x:c>
      <x:c r="E1370" s="383" t="str">
        <x:v>水系／水域</x:v>
      </x:c>
      <x:c r="F1370" s="385"/>
      <x:c r="G1370" s="384" t="str">
        <x:v>标点与分段参考《山海经校注》；正文对读：https://ctext.org/shan-hai-jing/hai-nei-dong-jing/zh</x:v>
      </x:c>
      <x:c r="H1370" s="386" t="e">
        <x:f>HYPERLINK("#'山海经原文总库'!A3","↩ 返回目录")</x:f>
        <x:v>HYPERLINK is not implemented. linkLocation=#'山海经原文总库'!A3, friendlyName=↩ 返回目录</x:v>
      </x:c>
      <x:c r="I1370" s="384"/>
      <x:c r="J1370" s="384"/>
      <x:c r="K1370" s="384" t="str">
        <x:v>待同名检索｜待建档</x:v>
      </x:c>
    </x:row>
    <x:row r="1371" ht="52" hidden="0" customHeight="1">
      <x:c r="A1371" s="383" t="str">
        <x:v>SHJ-13-012-2</x:v>
      </x:c>
      <x:c r="B1371" s="383" t="str">
        <x:v>卷十三 《海內東經》</x:v>
      </x:c>
      <x:c r="C1371" s="384"/>
      <x:c r="D1371" s="383" t="str">
        <x:v>大江</x:v>
      </x:c>
      <x:c r="E1371" s="383" t="str">
        <x:v>水系／水域</x:v>
      </x:c>
      <x:c r="F1371" s="385"/>
      <x:c r="G1371" s="384" t="str">
        <x:v>标点与分段参考《山海经校注》；正文对读：https://ctext.org/shan-hai-jing/hai-nei-dong-jing/zh</x:v>
      </x:c>
      <x:c r="H1371" s="386" t="e">
        <x:f>HYPERLINK("#'山海经原文总库'!A3","↩ 返回目录")</x:f>
        <x:v>HYPERLINK is not implemented. linkLocation=#'山海经原文总库'!A3, friendlyName=↩ 返回目录</x:v>
      </x:c>
      <x:c r="I1371" s="384"/>
      <x:c r="J1371" s="384"/>
      <x:c r="K1371" s="384" t="str">
        <x:v>待同名检索｜待建档</x:v>
      </x:c>
    </x:row>
    <x:row r="1372" ht="52" hidden="0" customHeight="1">
      <x:c r="A1372" s="383" t="str">
        <x:v>SHJ-13-012-3</x:v>
      </x:c>
      <x:c r="B1372" s="383" t="str">
        <x:v>卷十三 《海內東經》</x:v>
      </x:c>
      <x:c r="C1372" s="384"/>
      <x:c r="D1372" s="383" t="str">
        <x:v>汶山</x:v>
      </x:c>
      <x:c r="E1372" s="383" t="str">
        <x:v>山／丘</x:v>
      </x:c>
      <x:c r="F1372" s="385"/>
      <x:c r="G1372" s="384" t="str">
        <x:v>标点与分段参考《山海经校注》；正文对读：https://ctext.org/shan-hai-jing/hai-nei-dong-jing/zh</x:v>
      </x:c>
      <x:c r="H1372" s="386" t="e">
        <x:f>HYPERLINK("#'山海经原文总库'!A3","↩ 返回目录")</x:f>
        <x:v>HYPERLINK is not implemented. linkLocation=#'山海经原文总库'!A3, friendlyName=↩ 返回目录</x:v>
      </x:c>
      <x:c r="I1372" s="384"/>
      <x:c r="J1372" s="384"/>
      <x:c r="K1372" s="384" t="str">
        <x:v>待同名检索｜待建档</x:v>
      </x:c>
    </x:row>
    <x:row r="1373" ht="52" hidden="0" customHeight="1">
      <x:c r="A1373" s="383" t="str">
        <x:v>SHJ-13-012-4</x:v>
      </x:c>
      <x:c r="B1373" s="383" t="str">
        <x:v>卷十三 《海內東經》</x:v>
      </x:c>
      <x:c r="C1373" s="384"/>
      <x:c r="D1373" s="383" t="str">
        <x:v>北江</x:v>
      </x:c>
      <x:c r="E1373" s="383" t="str">
        <x:v>水系／水域</x:v>
      </x:c>
      <x:c r="F1373" s="385"/>
      <x:c r="G1373" s="384" t="str">
        <x:v>标点与分段参考《山海经校注》；正文对读：https://ctext.org/shan-hai-jing/hai-nei-dong-jing/zh</x:v>
      </x:c>
      <x:c r="H1373" s="386" t="e">
        <x:f>HYPERLINK("#'山海经原文总库'!A3","↩ 返回目录")</x:f>
        <x:v>HYPERLINK is not implemented. linkLocation=#'山海经原文总库'!A3, friendlyName=↩ 返回目录</x:v>
      </x:c>
      <x:c r="I1373" s="384"/>
      <x:c r="J1373" s="384"/>
      <x:c r="K1373" s="384" t="str">
        <x:v>待同名检索｜待建档</x:v>
      </x:c>
    </x:row>
    <x:row r="1374" ht="52" hidden="0" customHeight="1">
      <x:c r="A1374" s="383" t="str">
        <x:v>SHJ-13-012-5</x:v>
      </x:c>
      <x:c r="B1374" s="383" t="str">
        <x:v>卷十三 《海內東經》</x:v>
      </x:c>
      <x:c r="C1374" s="384"/>
      <x:c r="D1374" s="383" t="str">
        <x:v>曼山</x:v>
      </x:c>
      <x:c r="E1374" s="383" t="str">
        <x:v>山／丘</x:v>
      </x:c>
      <x:c r="F1374" s="385"/>
      <x:c r="G1374" s="384" t="str">
        <x:v>标点与分段参考《山海经校注》；正文对读：https://ctext.org/shan-hai-jing/hai-nei-dong-jing/zh</x:v>
      </x:c>
      <x:c r="H1374" s="386" t="e">
        <x:f>HYPERLINK("#'山海经原文总库'!A3","↩ 返回目录")</x:f>
        <x:v>HYPERLINK is not implemented. linkLocation=#'山海经原文总库'!A3, friendlyName=↩ 返回目录</x:v>
      </x:c>
      <x:c r="I1374" s="384"/>
      <x:c r="J1374" s="384"/>
      <x:c r="K1374" s="384" t="str">
        <x:v>待同名检索｜待建档</x:v>
      </x:c>
    </x:row>
    <x:row r="1375" ht="52" hidden="0" customHeight="1">
      <x:c r="A1375" s="383" t="str">
        <x:v>SHJ-13-012-6</x:v>
      </x:c>
      <x:c r="B1375" s="383" t="str">
        <x:v>卷十三 《海內東經》</x:v>
      </x:c>
      <x:c r="C1375" s="384"/>
      <x:c r="D1375" s="383" t="str">
        <x:v>南江</x:v>
      </x:c>
      <x:c r="E1375" s="383" t="str">
        <x:v>水系／水域</x:v>
      </x:c>
      <x:c r="F1375" s="385"/>
      <x:c r="G1375" s="384" t="str">
        <x:v>标点与分段参考《山海经校注》；正文对读：https://ctext.org/shan-hai-jing/hai-nei-dong-jing/zh</x:v>
      </x:c>
      <x:c r="H1375" s="386" t="e">
        <x:f>HYPERLINK("#'山海经原文总库'!A3","↩ 返回目录")</x:f>
        <x:v>HYPERLINK is not implemented. linkLocation=#'山海经原文总库'!A3, friendlyName=↩ 返回目录</x:v>
      </x:c>
      <x:c r="I1375" s="384"/>
      <x:c r="J1375" s="384"/>
      <x:c r="K1375" s="384" t="str">
        <x:v>待同名检索｜待建档</x:v>
      </x:c>
    </x:row>
    <x:row r="1376" ht="52" hidden="0" customHeight="1">
      <x:c r="A1376" s="383" t="str">
        <x:v>SHJ-13-012-7</x:v>
      </x:c>
      <x:c r="B1376" s="383" t="str">
        <x:v>卷十三 《海內東經》</x:v>
      </x:c>
      <x:c r="C1376" s="384"/>
      <x:c r="D1376" s="383" t="str">
        <x:v>高山</x:v>
      </x:c>
      <x:c r="E1376" s="383" t="str">
        <x:v>山／丘</x:v>
      </x:c>
      <x:c r="F1376" s="385"/>
      <x:c r="G1376" s="384" t="str">
        <x:v>标点与分段参考《山海经校注》；正文对读：https://ctext.org/shan-hai-jing/hai-nei-dong-jing/zh</x:v>
      </x:c>
      <x:c r="H1376" s="386" t="e">
        <x:f>HYPERLINK("#'山海经原文总库'!A3","↩ 返回目录")</x:f>
        <x:v>HYPERLINK is not implemented. linkLocation=#'山海经原文总库'!A3, friendlyName=↩ 返回目录</x:v>
      </x:c>
      <x:c r="I1376" s="384"/>
      <x:c r="J1376" s="384"/>
      <x:c r="K1376" s="384" t="str">
        <x:v>待同名检索｜待建档</x:v>
      </x:c>
    </x:row>
    <x:row r="1377" ht="52" hidden="0" customHeight="1">
      <x:c r="A1377" s="383" t="str">
        <x:v>SHJ-13-012-8</x:v>
      </x:c>
      <x:c r="B1377" s="383" t="str">
        <x:v>卷十三 《海內東經》</x:v>
      </x:c>
      <x:c r="C1377" s="384"/>
      <x:c r="D1377" s="383" t="str">
        <x:v>成都</x:v>
      </x:c>
      <x:c r="E1377" s="383" t="str">
        <x:v>城邑／區域</x:v>
      </x:c>
      <x:c r="F1377" s="385"/>
      <x:c r="G1377" s="384" t="str">
        <x:v>标点与分段参考《山海经校注》；正文对读：https://ctext.org/shan-hai-jing/hai-nei-dong-jing/zh</x:v>
      </x:c>
      <x:c r="H1377" s="386" t="e">
        <x:f>HYPERLINK("#'山海经原文总库'!A3","↩ 返回目录")</x:f>
        <x:v>HYPERLINK is not implemented. linkLocation=#'山海经原文总库'!A3, friendlyName=↩ 返回目录</x:v>
      </x:c>
      <x:c r="I1377" s="384"/>
      <x:c r="J1377" s="384"/>
      <x:c r="K1377" s="384" t="str">
        <x:v>待同名检索｜待建档</x:v>
      </x:c>
    </x:row>
    <x:row r="1378" ht="52" hidden="0" customHeight="1">
      <x:c r="A1378" s="383" t="str">
        <x:v>SHJ-13-012-9</x:v>
      </x:c>
      <x:c r="B1378" s="383" t="str">
        <x:v>卷十三 《海內東經》</x:v>
      </x:c>
      <x:c r="C1378" s="384"/>
      <x:c r="D1378" s="383" t="str">
        <x:v>海</x:v>
      </x:c>
      <x:c r="E1378" s="383" t="str">
        <x:v>水系／水域</x:v>
      </x:c>
      <x:c r="F1378" s="385"/>
      <x:c r="G1378" s="384" t="str">
        <x:v>标点与分段参考《山海经校注》；正文对读：https://ctext.org/shan-hai-jing/hai-nei-dong-jing/zh</x:v>
      </x:c>
      <x:c r="H1378" s="386" t="e">
        <x:f>HYPERLINK("#'山海经原文总库'!A3","↩ 返回目录")</x:f>
        <x:v>HYPERLINK is not implemented. linkLocation=#'山海经原文总库'!A3, friendlyName=↩ 返回目录</x:v>
      </x:c>
      <x:c r="I1378" s="384"/>
      <x:c r="J1378" s="384"/>
      <x:c r="K1378" s="384" t="str">
        <x:v>待同名检索｜待建档</x:v>
      </x:c>
    </x:row>
    <x:row r="1379" ht="52" hidden="0" customHeight="1">
      <x:c r="A1379" s="383" t="str">
        <x:v>SHJ-13-012-10</x:v>
      </x:c>
      <x:c r="B1379" s="383" t="str">
        <x:v>卷十三 《海內東經》</x:v>
      </x:c>
      <x:c r="C1379" s="384"/>
      <x:c r="D1379" s="383" t="str">
        <x:v>長州</x:v>
      </x:c>
      <x:c r="E1379" s="383" t="str">
        <x:v>城邑／區域</x:v>
      </x:c>
      <x:c r="F1379" s="385"/>
      <x:c r="G1379" s="384" t="str">
        <x:v>标点与分段参考《山海经校注》；正文对读：https://ctext.org/shan-hai-jing/hai-nei-dong-jing/zh</x:v>
      </x:c>
      <x:c r="H1379" s="386" t="e">
        <x:f>HYPERLINK("#'山海经原文总库'!A3","↩ 返回目录")</x:f>
        <x:v>HYPERLINK is not implemented. linkLocation=#'山海经原文总库'!A3, friendlyName=↩ 返回目录</x:v>
      </x:c>
      <x:c r="I1379" s="384"/>
      <x:c r="J1379" s="384"/>
      <x:c r="K1379" s="384" t="str">
        <x:v>待同名检索｜待建档</x:v>
      </x:c>
    </x:row>
    <x:row r="1380" ht="52" hidden="0" customHeight="1">
      <x:c r="A1380" s="383" t="str">
        <x:v>SHJ-13-013-1</x:v>
      </x:c>
      <x:c r="B1380" s="383" t="str">
        <x:v>卷十三 《海內東經》</x:v>
      </x:c>
      <x:c r="C1380" s="384" t="str">
        <x:v>浙江出三天子都，在其蠻東。在閩西北，入海，餘暨南。</x:v>
      </x:c>
      <x:c r="D1380" s="383" t="str">
        <x:v>浙江</x:v>
      </x:c>
      <x:c r="E1380" s="383" t="str">
        <x:v>水系／水域</x:v>
      </x:c>
      <x:c r="F1380" s="385"/>
      <x:c r="G1380" s="384" t="str">
        <x:v>标点与分段参考《山海经校注》；正文对读：https://ctext.org/shan-hai-jing/hai-nei-dong-jing/zh</x:v>
      </x:c>
      <x:c r="H1380" s="386" t="e">
        <x:f>HYPERLINK("#'山海经原文总库'!A3","↩ 返回目录")</x:f>
        <x:v>HYPERLINK is not implemented. linkLocation=#'山海经原文总库'!A3, friendlyName=↩ 返回目录</x:v>
      </x:c>
      <x:c r="I1380" s="384"/>
      <x:c r="J1380" s="384"/>
      <x:c r="K1380" s="384" t="str">
        <x:v>待同名检索｜待建档</x:v>
      </x:c>
    </x:row>
    <x:row r="1381" ht="52" hidden="0" customHeight="1">
      <x:c r="A1381" s="383" t="str">
        <x:v>SHJ-13-013-2</x:v>
      </x:c>
      <x:c r="B1381" s="383" t="str">
        <x:v>卷十三 《海內東經》</x:v>
      </x:c>
      <x:c r="C1381" s="384"/>
      <x:c r="D1381" s="383" t="str">
        <x:v>三天子都</x:v>
      </x:c>
      <x:c r="E1381" s="383" t="str">
        <x:v>城邑／區域</x:v>
      </x:c>
      <x:c r="F1381" s="385"/>
      <x:c r="G1381" s="384" t="str">
        <x:v>标点与分段参考《山海经校注》；正文对读：https://ctext.org/shan-hai-jing/hai-nei-dong-jing/zh</x:v>
      </x:c>
      <x:c r="H1381" s="386" t="e">
        <x:f>HYPERLINK("#'山海经原文总库'!A3","↩ 返回目录")</x:f>
        <x:v>HYPERLINK is not implemented. linkLocation=#'山海经原文总库'!A3, friendlyName=↩ 返回目录</x:v>
      </x:c>
      <x:c r="I1381" s="384"/>
      <x:c r="J1381" s="384"/>
      <x:c r="K1381" s="384" t="str">
        <x:v>待同名检索｜待建档</x:v>
      </x:c>
    </x:row>
    <x:row r="1382" ht="52" hidden="0" customHeight="1">
      <x:c r="A1382" s="383" t="str">
        <x:v>SHJ-13-013-3</x:v>
      </x:c>
      <x:c r="B1382" s="383" t="str">
        <x:v>卷十三 《海內東經》</x:v>
      </x:c>
      <x:c r="C1382" s="384"/>
      <x:c r="D1382" s="383" t="str">
        <x:v>閩</x:v>
      </x:c>
      <x:c r="E1382" s="383" t="str">
        <x:v>地理名稱</x:v>
      </x:c>
      <x:c r="F1382" s="385"/>
      <x:c r="G1382" s="384" t="str">
        <x:v>标点与分段参考《山海经校注》；正文对读：https://ctext.org/shan-hai-jing/hai-nei-dong-jing/zh</x:v>
      </x:c>
      <x:c r="H1382" s="386" t="e">
        <x:f>HYPERLINK("#'山海经原文总库'!A3","↩ 返回目录")</x:f>
        <x:v>HYPERLINK is not implemented. linkLocation=#'山海经原文总库'!A3, friendlyName=↩ 返回目录</x:v>
      </x:c>
      <x:c r="I1382" s="384"/>
      <x:c r="J1382" s="384"/>
      <x:c r="K1382" s="384" t="str">
        <x:v>待同名检索｜待建档</x:v>
      </x:c>
    </x:row>
    <x:row r="1383" ht="52" hidden="0" customHeight="1">
      <x:c r="A1383" s="383" t="str">
        <x:v>SHJ-13-013-4</x:v>
      </x:c>
      <x:c r="B1383" s="383" t="str">
        <x:v>卷十三 《海內東經》</x:v>
      </x:c>
      <x:c r="C1383" s="384"/>
      <x:c r="D1383" s="383" t="str">
        <x:v>海</x:v>
      </x:c>
      <x:c r="E1383" s="383" t="str">
        <x:v>水系／水域</x:v>
      </x:c>
      <x:c r="F1383" s="385"/>
      <x:c r="G1383" s="384" t="str">
        <x:v>标点与分段参考《山海经校注》；正文对读：https://ctext.org/shan-hai-jing/hai-nei-dong-jing/zh</x:v>
      </x:c>
      <x:c r="H1383" s="386" t="e">
        <x:f>HYPERLINK("#'山海经原文总库'!A3","↩ 返回目录")</x:f>
        <x:v>HYPERLINK is not implemented. linkLocation=#'山海经原文总库'!A3, friendlyName=↩ 返回目录</x:v>
      </x:c>
      <x:c r="I1383" s="384"/>
      <x:c r="J1383" s="384"/>
      <x:c r="K1383" s="384" t="str">
        <x:v>待同名检索｜待建档</x:v>
      </x:c>
    </x:row>
    <x:row r="1384" ht="52" hidden="0" customHeight="1">
      <x:c r="A1384" s="383" t="str">
        <x:v>SHJ-13-013-5</x:v>
      </x:c>
      <x:c r="B1384" s="383" t="str">
        <x:v>卷十三 《海內東經》</x:v>
      </x:c>
      <x:c r="C1384" s="384"/>
      <x:c r="D1384" s="383" t="str">
        <x:v>餘暨</x:v>
      </x:c>
      <x:c r="E1384" s="383" t="str">
        <x:v>地理名稱</x:v>
      </x:c>
      <x:c r="F1384" s="385"/>
      <x:c r="G1384" s="384" t="str">
        <x:v>标点与分段参考《山海经校注》；正文对读：https://ctext.org/shan-hai-jing/hai-nei-dong-jing/zh</x:v>
      </x:c>
      <x:c r="H1384" s="386" t="e">
        <x:f>HYPERLINK("#'山海经原文总库'!A3","↩ 返回目录")</x:f>
        <x:v>HYPERLINK is not implemented. linkLocation=#'山海经原文总库'!A3, friendlyName=↩ 返回目录</x:v>
      </x:c>
      <x:c r="I1384" s="384"/>
      <x:c r="J1384" s="384"/>
      <x:c r="K1384" s="384" t="str">
        <x:v>待同名检索｜待建档</x:v>
      </x:c>
    </x:row>
    <x:row r="1385" ht="52" hidden="0" customHeight="1">
      <x:c r="A1385" s="383" t="str">
        <x:v>SHJ-13-014-1</x:v>
      </x:c>
      <x:c r="B1385" s="383" t="str">
        <x:v>卷十三 《海內東經》</x:v>
      </x:c>
      <x:c r="C1385" s="384" t="str">
        <x:v>廬江出三天子都，入江，彭澤西。一曰天子鄣。</x:v>
      </x:c>
      <x:c r="D1385" s="383" t="str">
        <x:v>廬江</x:v>
      </x:c>
      <x:c r="E1385" s="383" t="str">
        <x:v>水系／水域</x:v>
      </x:c>
      <x:c r="F1385" s="385"/>
      <x:c r="G1385" s="384" t="str">
        <x:v>标点与分段参考《山海经校注》；正文对读：https://ctext.org/shan-hai-jing/hai-nei-dong-jing/zh</x:v>
      </x:c>
      <x:c r="H1385" s="386" t="e">
        <x:f>HYPERLINK("#'山海经原文总库'!A3","↩ 返回目录")</x:f>
        <x:v>HYPERLINK is not implemented. linkLocation=#'山海经原文总库'!A3, friendlyName=↩ 返回目录</x:v>
      </x:c>
      <x:c r="I1385" s="384"/>
      <x:c r="J1385" s="384"/>
      <x:c r="K1385" s="384" t="str">
        <x:v>待同名检索｜待建档</x:v>
      </x:c>
    </x:row>
    <x:row r="1386" ht="52" hidden="0" customHeight="1">
      <x:c r="A1386" s="383" t="str">
        <x:v>SHJ-13-014-2</x:v>
      </x:c>
      <x:c r="B1386" s="383" t="str">
        <x:v>卷十三 《海內東經》</x:v>
      </x:c>
      <x:c r="C1386" s="384"/>
      <x:c r="D1386" s="383" t="str">
        <x:v>三天子都</x:v>
      </x:c>
      <x:c r="E1386" s="383" t="str">
        <x:v>城邑／區域</x:v>
      </x:c>
      <x:c r="F1386" s="385"/>
      <x:c r="G1386" s="384" t="str">
        <x:v>标点与分段参考《山海经校注》；正文对读：https://ctext.org/shan-hai-jing/hai-nei-dong-jing/zh</x:v>
      </x:c>
      <x:c r="H1386" s="386" t="e">
        <x:f>HYPERLINK("#'山海经原文总库'!A3","↩ 返回目录")</x:f>
        <x:v>HYPERLINK is not implemented. linkLocation=#'山海经原文总库'!A3, friendlyName=↩ 返回目录</x:v>
      </x:c>
      <x:c r="I1386" s="384"/>
      <x:c r="J1386" s="384"/>
      <x:c r="K1386" s="384" t="str">
        <x:v>待同名检索｜待建档</x:v>
      </x:c>
    </x:row>
    <x:row r="1387" ht="52" hidden="0" customHeight="1">
      <x:c r="A1387" s="383" t="str">
        <x:v>SHJ-13-014-3</x:v>
      </x:c>
      <x:c r="B1387" s="383" t="str">
        <x:v>卷十三 《海內東經》</x:v>
      </x:c>
      <x:c r="C1387" s="384"/>
      <x:c r="D1387" s="383" t="str">
        <x:v>江</x:v>
      </x:c>
      <x:c r="E1387" s="383" t="str">
        <x:v>水系／水域</x:v>
      </x:c>
      <x:c r="F1387" s="385"/>
      <x:c r="G1387" s="384" t="str">
        <x:v>标点与分段参考《山海经校注》；正文对读：https://ctext.org/shan-hai-jing/hai-nei-dong-jing/zh</x:v>
      </x:c>
      <x:c r="H1387" s="386" t="e">
        <x:f>HYPERLINK("#'山海经原文总库'!A3","↩ 返回目录")</x:f>
        <x:v>HYPERLINK is not implemented. linkLocation=#'山海经原文总库'!A3, friendlyName=↩ 返回目录</x:v>
      </x:c>
      <x:c r="I1387" s="384"/>
      <x:c r="J1387" s="384"/>
      <x:c r="K1387" s="384" t="str">
        <x:v>待同名检索｜待建档</x:v>
      </x:c>
    </x:row>
    <x:row r="1388" ht="52" hidden="0" customHeight="1">
      <x:c r="A1388" s="383" t="str">
        <x:v>SHJ-13-014-4</x:v>
      </x:c>
      <x:c r="B1388" s="383" t="str">
        <x:v>卷十三 《海內東經》</x:v>
      </x:c>
      <x:c r="C1388" s="384"/>
      <x:c r="D1388" s="383" t="str">
        <x:v>彭澤</x:v>
      </x:c>
      <x:c r="E1388" s="383" t="str">
        <x:v>水系／水域</x:v>
      </x:c>
      <x:c r="F1388" s="385"/>
      <x:c r="G1388" s="384" t="str">
        <x:v>标点与分段参考《山海经校注》；正文对读：https://ctext.org/shan-hai-jing/hai-nei-dong-jing/zh</x:v>
      </x:c>
      <x:c r="H1388" s="386" t="e">
        <x:f>HYPERLINK("#'山海经原文总库'!A3","↩ 返回目录")</x:f>
        <x:v>HYPERLINK is not implemented. linkLocation=#'山海经原文总库'!A3, friendlyName=↩ 返回目录</x:v>
      </x:c>
      <x:c r="I1388" s="384"/>
      <x:c r="J1388" s="384"/>
      <x:c r="K1388" s="384" t="str">
        <x:v>待同名检索｜待建档</x:v>
      </x:c>
    </x:row>
    <x:row r="1389" ht="52" hidden="0" customHeight="1">
      <x:c r="A1389" s="383" t="str">
        <x:v>SHJ-13-014-5</x:v>
      </x:c>
      <x:c r="B1389" s="383" t="str">
        <x:v>卷十三 《海內東經》</x:v>
      </x:c>
      <x:c r="C1389" s="384"/>
      <x:c r="D1389" s="383" t="str">
        <x:v>天子鄣</x:v>
      </x:c>
      <x:c r="E1389" s="383" t="str">
        <x:v>地理名稱</x:v>
      </x:c>
      <x:c r="F1389" s="385"/>
      <x:c r="G1389" s="384" t="str">
        <x:v>标点与分段参考《山海经校注》；正文对读：https://ctext.org/shan-hai-jing/hai-nei-dong-jing/zh</x:v>
      </x:c>
      <x:c r="H1389" s="386" t="e">
        <x:f>HYPERLINK("#'山海经原文总库'!A3","↩ 返回目录")</x:f>
        <x:v>HYPERLINK is not implemented. linkLocation=#'山海经原文总库'!A3, friendlyName=↩ 返回目录</x:v>
      </x:c>
      <x:c r="I1389" s="384"/>
      <x:c r="J1389" s="384"/>
      <x:c r="K1389" s="384" t="str">
        <x:v>待同名检索｜待建档</x:v>
      </x:c>
    </x:row>
    <x:row r="1390" ht="52" hidden="0" customHeight="1">
      <x:c r="A1390" s="383" t="str">
        <x:v>SHJ-13-015-1</x:v>
      </x:c>
      <x:c r="B1390" s="383" t="str">
        <x:v>卷十三 《海內東經》</x:v>
      </x:c>
      <x:c r="C1390" s="384" t="str">
        <x:v>淮水出餘山，餘山在朝陽東，義鄉西，入海，淮浦北。</x:v>
      </x:c>
      <x:c r="D1390" s="383" t="str">
        <x:v>淮水</x:v>
      </x:c>
      <x:c r="E1390" s="383" t="str">
        <x:v>水系／水域</x:v>
      </x:c>
      <x:c r="F1390" s="385"/>
      <x:c r="G1390" s="384" t="str">
        <x:v>标点与分段参考《山海经校注》；正文对读：https://ctext.org/shan-hai-jing/hai-nei-dong-jing/zh</x:v>
      </x:c>
      <x:c r="H1390" s="386" t="e">
        <x:f>HYPERLINK("#'山海经原文总库'!A3","↩ 返回目录")</x:f>
        <x:v>HYPERLINK is not implemented. linkLocation=#'山海经原文总库'!A3, friendlyName=↩ 返回目录</x:v>
      </x:c>
      <x:c r="I1390" s="384"/>
      <x:c r="J1390" s="384"/>
      <x:c r="K1390" s="384" t="str">
        <x:v>待同名检索｜待建档</x:v>
      </x:c>
    </x:row>
    <x:row r="1391" ht="52" hidden="0" customHeight="1">
      <x:c r="A1391" s="383" t="str">
        <x:v>SHJ-13-015-2</x:v>
      </x:c>
      <x:c r="B1391" s="383" t="str">
        <x:v>卷十三 《海內東經》</x:v>
      </x:c>
      <x:c r="C1391" s="384"/>
      <x:c r="D1391" s="383" t="str">
        <x:v>餘山</x:v>
      </x:c>
      <x:c r="E1391" s="383" t="str">
        <x:v>山／丘</x:v>
      </x:c>
      <x:c r="F1391" s="385"/>
      <x:c r="G1391" s="384" t="str">
        <x:v>标点与分段参考《山海经校注》；正文对读：https://ctext.org/shan-hai-jing/hai-nei-dong-jing/zh</x:v>
      </x:c>
      <x:c r="H1391" s="386" t="e">
        <x:f>HYPERLINK("#'山海经原文总库'!A3","↩ 返回目录")</x:f>
        <x:v>HYPERLINK is not implemented. linkLocation=#'山海经原文总库'!A3, friendlyName=↩ 返回目录</x:v>
      </x:c>
      <x:c r="I1391" s="384"/>
      <x:c r="J1391" s="384"/>
      <x:c r="K1391" s="384" t="str">
        <x:v>待同名检索｜待建档</x:v>
      </x:c>
    </x:row>
    <x:row r="1392" ht="52" hidden="0" customHeight="1">
      <x:c r="A1392" s="383" t="str">
        <x:v>SHJ-13-015-3</x:v>
      </x:c>
      <x:c r="B1392" s="383" t="str">
        <x:v>卷十三 《海內東經》</x:v>
      </x:c>
      <x:c r="C1392" s="384"/>
      <x:c r="D1392" s="383" t="str">
        <x:v>朝陽</x:v>
      </x:c>
      <x:c r="E1392" s="383" t="str">
        <x:v>地理名稱</x:v>
      </x:c>
      <x:c r="F1392" s="385"/>
      <x:c r="G1392" s="384" t="str">
        <x:v>标点与分段参考《山海经校注》；正文对读：https://ctext.org/shan-hai-jing/hai-nei-dong-jing/zh</x:v>
      </x:c>
      <x:c r="H1392" s="386" t="e">
        <x:f>HYPERLINK("#'山海经原文总库'!A3","↩ 返回目录")</x:f>
        <x:v>HYPERLINK is not implemented. linkLocation=#'山海经原文总库'!A3, friendlyName=↩ 返回目录</x:v>
      </x:c>
      <x:c r="I1392" s="384"/>
      <x:c r="J1392" s="384"/>
      <x:c r="K1392" s="384" t="str">
        <x:v>待同名检索｜待建档</x:v>
      </x:c>
    </x:row>
    <x:row r="1393" ht="52" hidden="0" customHeight="1">
      <x:c r="A1393" s="383" t="str">
        <x:v>SHJ-13-015-4</x:v>
      </x:c>
      <x:c r="B1393" s="383" t="str">
        <x:v>卷十三 《海內東經》</x:v>
      </x:c>
      <x:c r="C1393" s="384"/>
      <x:c r="D1393" s="383" t="str">
        <x:v>義鄉</x:v>
      </x:c>
      <x:c r="E1393" s="383" t="str">
        <x:v>城邑／區域</x:v>
      </x:c>
      <x:c r="F1393" s="385"/>
      <x:c r="G1393" s="384" t="str">
        <x:v>标点与分段参考《山海经校注》；正文对读：https://ctext.org/shan-hai-jing/hai-nei-dong-jing/zh</x:v>
      </x:c>
      <x:c r="H1393" s="386" t="e">
        <x:f>HYPERLINK("#'山海经原文总库'!A3","↩ 返回目录")</x:f>
        <x:v>HYPERLINK is not implemented. linkLocation=#'山海经原文总库'!A3, friendlyName=↩ 返回目录</x:v>
      </x:c>
      <x:c r="I1393" s="384"/>
      <x:c r="J1393" s="384"/>
      <x:c r="K1393" s="384" t="str">
        <x:v>待同名检索｜待建档</x:v>
      </x:c>
    </x:row>
    <x:row r="1394" ht="52" hidden="0" customHeight="1">
      <x:c r="A1394" s="383" t="str">
        <x:v>SHJ-13-015-5</x:v>
      </x:c>
      <x:c r="B1394" s="383" t="str">
        <x:v>卷十三 《海內東經》</x:v>
      </x:c>
      <x:c r="C1394" s="384"/>
      <x:c r="D1394" s="383" t="str">
        <x:v>海</x:v>
      </x:c>
      <x:c r="E1394" s="383" t="str">
        <x:v>水系／水域</x:v>
      </x:c>
      <x:c r="F1394" s="385"/>
      <x:c r="G1394" s="384" t="str">
        <x:v>标点与分段参考《山海经校注》；正文对读：https://ctext.org/shan-hai-jing/hai-nei-dong-jing/zh</x:v>
      </x:c>
      <x:c r="H1394" s="386" t="e">
        <x:f>HYPERLINK("#'山海经原文总库'!A3","↩ 返回目录")</x:f>
        <x:v>HYPERLINK is not implemented. linkLocation=#'山海经原文总库'!A3, friendlyName=↩ 返回目录</x:v>
      </x:c>
      <x:c r="I1394" s="384"/>
      <x:c r="J1394" s="384"/>
      <x:c r="K1394" s="384" t="str">
        <x:v>待同名检索｜待建档</x:v>
      </x:c>
    </x:row>
    <x:row r="1395" ht="52" hidden="0" customHeight="1">
      <x:c r="A1395" s="383" t="str">
        <x:v>SHJ-13-015-6</x:v>
      </x:c>
      <x:c r="B1395" s="383" t="str">
        <x:v>卷十三 《海內東經》</x:v>
      </x:c>
      <x:c r="C1395" s="384"/>
      <x:c r="D1395" s="383" t="str">
        <x:v>淮浦</x:v>
      </x:c>
      <x:c r="E1395" s="383" t="str">
        <x:v>城邑／區域</x:v>
      </x:c>
      <x:c r="F1395" s="385"/>
      <x:c r="G1395" s="384" t="str">
        <x:v>标点与分段参考《山海经校注》；正文对读：https://ctext.org/shan-hai-jing/hai-nei-dong-jing/zh</x:v>
      </x:c>
      <x:c r="H1395" s="386" t="e">
        <x:f>HYPERLINK("#'山海经原文总库'!A3","↩ 返回目录")</x:f>
        <x:v>HYPERLINK is not implemented. linkLocation=#'山海经原文总库'!A3, friendlyName=↩ 返回目录</x:v>
      </x:c>
      <x:c r="I1395" s="384"/>
      <x:c r="J1395" s="384"/>
      <x:c r="K1395" s="384" t="str">
        <x:v>待同名检索｜待建档</x:v>
      </x:c>
    </x:row>
    <x:row r="1396" ht="52" hidden="0" customHeight="1">
      <x:c r="A1396" s="383" t="str">
        <x:v>SHJ-13-016-1</x:v>
      </x:c>
      <x:c r="B1396" s="383" t="str">
        <x:v>卷十三 《海內東經》</x:v>
      </x:c>
      <x:c r="C1396" s="384" t="str">
        <x:v>湘水出舜葬東南陬，西環之。入洞庭下。一曰東南西澤。</x:v>
      </x:c>
      <x:c r="D1396" s="383" t="str">
        <x:v>湘水</x:v>
      </x:c>
      <x:c r="E1396" s="383" t="str">
        <x:v>水系／水域</x:v>
      </x:c>
      <x:c r="F1396" s="385" t="e">
        <x:f>HYPERLINK("#'都广核心区总表'!B39","→ 查看条目")</x:f>
        <x:v>HYPERLINK is not implemented. linkLocation=#'都广核心区总表'!B39, friendlyName=→ 查看条目</x:v>
      </x:c>
      <x:c r="G1396" s="384" t="str">
        <x:v>标点与分段参考《山海经校注》；正文对读：https://ctext.org/shan-hai-jing/hai-nei-dong-jing/zh</x:v>
      </x:c>
      <x:c r="H1396" s="386" t="e">
        <x:f>HYPERLINK("#'山海经原文总库'!A3","↩ 返回目录")</x:f>
        <x:v>HYPERLINK is not implemented. linkLocation=#'山海经原文总库'!A3, friendlyName=↩ 返回目录</x:v>
      </x:c>
      <x:c r="I1396" s="384" t="str">
        <x:v>是</x:v>
      </x:c>
      <x:c r="J1396" s="384" t="str">
        <x:v>总表第39行｜X=+400里，Y=+100里（+4，+1格）｜源向、环流、兕南北关系与入洞庭关系锁定；河道长度未锁</x:v>
      </x:c>
      <x:c r="K1396" s="384" t="str">
        <x:v>已检索｜已建档</x:v>
      </x:c>
    </x:row>
    <x:row r="1397" ht="52" hidden="0" customHeight="1">
      <x:c r="A1397" s="383" t="str">
        <x:v>SHJ-13-016-2</x:v>
      </x:c>
      <x:c r="B1397" s="383" t="str">
        <x:v>卷十三 《海內東經》</x:v>
      </x:c>
      <x:c r="C1397" s="384"/>
      <x:c r="D1397" s="383" t="str">
        <x:v>舜葬</x:v>
      </x:c>
      <x:c r="E1397" s="383" t="str">
        <x:v>墓葬</x:v>
      </x:c>
      <x:c r="F1397" s="385" t="e">
        <x:f>HYPERLINK("#'都广核心区总表'!B32","→ 查看条目")</x:f>
        <x:v>HYPERLINK is not implemented. linkLocation=#'都广核心区总表'!B32, friendlyName=→ 查看条目</x:v>
      </x:c>
      <x:c r="G1397" s="384" t="str">
        <x:v>标点与分段参考《山海经校注》；正文对读：https://ctext.org/shan-hai-jing/hai-nei-dong-jing/zh</x:v>
      </x:c>
      <x:c r="H1397" s="386" t="e">
        <x:f>HYPERLINK("#'山海经原文总库'!A3","↩ 返回目录")</x:f>
        <x:v>HYPERLINK is not implemented. linkLocation=#'山海经原文总库'!A3, friendlyName=↩ 返回目录</x:v>
      </x:c>
      <x:c r="I1397" s="384" t="str">
        <x:v>是</x:v>
      </x:c>
      <x:c r="J1397" s="384" t="str">
        <x:v>总表第32行｜X=+300里，Y=0里（+3，0格）｜方向关系锁定；距离推定</x:v>
      </x:c>
      <x:c r="K1397" s="384" t="str">
        <x:v>已检索｜已建档</x:v>
      </x:c>
    </x:row>
    <x:row r="1398" ht="52" hidden="0" customHeight="1">
      <x:c r="A1398" s="383" t="str">
        <x:v>SHJ-13-016-3</x:v>
      </x:c>
      <x:c r="B1398" s="383" t="str">
        <x:v>卷十三 《海內東經》</x:v>
      </x:c>
      <x:c r="C1398" s="384"/>
      <x:c r="D1398" s="383" t="str">
        <x:v>洞庭</x:v>
      </x:c>
      <x:c r="E1398" s="383" t="str">
        <x:v>水系／水域</x:v>
      </x:c>
      <x:c r="F1398" s="385" t="e">
        <x:f>HYPERLINK("#'都广核心区总表'!B77","→ 查看条目")</x:f>
        <x:v>HYPERLINK is not implemented. linkLocation=#'都广核心区总表'!B77, friendlyName=→ 查看条目</x:v>
      </x:c>
      <x:c r="G1398" s="384" t="str">
        <x:v>标点与分段参考《山海经校注》；正文对读：https://ctext.org/shan-hai-jing/hai-nei-dong-jing/zh</x:v>
      </x:c>
      <x:c r="H1398" s="386" t="e">
        <x:f>HYPERLINK("#'山海经原文总库'!A3","↩ 返回目录")</x:f>
        <x:v>HYPERLINK is not implemented. linkLocation=#'山海经原文总库'!A3, friendlyName=↩ 返回目录</x:v>
      </x:c>
      <x:c r="I1398" s="384" t="str">
        <x:v>是</x:v>
      </x:c>
      <x:c r="J1398" s="384" t="str">
        <x:v>总表第77行｜X=+400里，Y=+100里（+4，+1格）｜水系汇入关系锁定；洞庭范围与绝对方位未锁</x:v>
      </x:c>
      <x:c r="K1398" s="384" t="str">
        <x:v>已检索｜已建档</x:v>
      </x:c>
    </x:row>
    <x:row r="1399" ht="52" hidden="0" customHeight="1">
      <x:c r="A1399" s="383" t="str">
        <x:v>SHJ-13-016-4</x:v>
      </x:c>
      <x:c r="B1399" s="383" t="str">
        <x:v>卷十三 《海內東經》</x:v>
      </x:c>
      <x:c r="C1399" s="384"/>
      <x:c r="D1399" s="383" t="str">
        <x:v>東南西澤</x:v>
      </x:c>
      <x:c r="E1399" s="383" t="str">
        <x:v>水系／水域</x:v>
      </x:c>
      <x:c r="F1399" s="385" t="e">
        <x:f>HYPERLINK("#'都广核心区总表'!B78","→ 查看条目")</x:f>
        <x:v>HYPERLINK is not implemented. linkLocation=#'都广核心区总表'!B78, friendlyName=→ 查看条目</x:v>
      </x:c>
      <x:c r="G1399" s="384" t="str">
        <x:v>标点与分段参考《山海经校注》；正文对读：https://ctext.org/shan-hai-jing/hai-nei-dong-jing/zh</x:v>
      </x:c>
      <x:c r="H1399" s="386" t="e">
        <x:f>HYPERLINK("#'山海经原文总库'!A3","↩ 返回目录")</x:f>
        <x:v>HYPERLINK is not implemented. linkLocation=#'山海经原文总库'!A3, friendlyName=↩ 返回目录</x:v>
      </x:c>
      <x:c r="I1399" s="384" t="str">
        <x:v>是</x:v>
      </x:c>
      <x:c r="J1399" s="384" t="str">
        <x:v>总表第78行｜X=+400里，Y=+100里（+4，+1格）｜异文名称锁定；是否独立水域未锁</x:v>
      </x:c>
      <x:c r="K1399" s="384" t="str">
        <x:v>已检索｜已建档</x:v>
      </x:c>
    </x:row>
    <x:row r="1400" ht="52" hidden="0" customHeight="1">
      <x:c r="A1400" s="383" t="str">
        <x:v>SHJ-13-017-1</x:v>
      </x:c>
      <x:c r="B1400" s="383" t="str">
        <x:v>卷十三 《海內東經》</x:v>
      </x:c>
      <x:c r="C1400" s="384" t="str">
        <x:v>漢水出鮒魚之山，帝顓頊葬於陽，九嬪葬於陰，四蛇衛之。</x:v>
      </x:c>
      <x:c r="D1400" s="383" t="str">
        <x:v>漢水</x:v>
      </x:c>
      <x:c r="E1400" s="383" t="str">
        <x:v>水系／水域</x:v>
      </x:c>
      <x:c r="F1400" s="385"/>
      <x:c r="G1400" s="384" t="str">
        <x:v>标点与分段参考《山海经校注》；正文对读：https://ctext.org/shan-hai-jing/hai-nei-dong-jing/zh</x:v>
      </x:c>
      <x:c r="H1400" s="386" t="e">
        <x:f>HYPERLINK("#'山海经原文总库'!A3","↩ 返回目录")</x:f>
        <x:v>HYPERLINK is not implemented. linkLocation=#'山海经原文总库'!A3, friendlyName=↩ 返回目录</x:v>
      </x:c>
      <x:c r="I1400" s="384"/>
      <x:c r="J1400" s="384"/>
      <x:c r="K1400" s="384" t="str">
        <x:v>待同名检索｜待建档</x:v>
      </x:c>
    </x:row>
    <x:row r="1401" ht="52" hidden="0" customHeight="1">
      <x:c r="A1401" s="383" t="str">
        <x:v>SHJ-13-017-2</x:v>
      </x:c>
      <x:c r="B1401" s="383" t="str">
        <x:v>卷十三 《海內東經》</x:v>
      </x:c>
      <x:c r="C1401" s="384"/>
      <x:c r="D1401" s="383" t="str">
        <x:v>鮒魚之山</x:v>
      </x:c>
      <x:c r="E1401" s="383" t="str">
        <x:v>山／丘</x:v>
      </x:c>
      <x:c r="F1401" s="385"/>
      <x:c r="G1401" s="384" t="str">
        <x:v>标点与分段参考《山海经校注》；正文对读：https://ctext.org/shan-hai-jing/hai-nei-dong-jing/zh</x:v>
      </x:c>
      <x:c r="H1401" s="386" t="e">
        <x:f>HYPERLINK("#'山海经原文总库'!A3","↩ 返回目录")</x:f>
        <x:v>HYPERLINK is not implemented. linkLocation=#'山海经原文总库'!A3, friendlyName=↩ 返回目录</x:v>
      </x:c>
      <x:c r="I1401" s="384"/>
      <x:c r="J1401" s="384"/>
      <x:c r="K1401" s="384" t="str">
        <x:v>待同名检索｜待建档</x:v>
      </x:c>
    </x:row>
    <x:row r="1402" ht="52" hidden="0" customHeight="1">
      <x:c r="A1402" s="383" t="str">
        <x:v>SHJ-13-017-3</x:v>
      </x:c>
      <x:c r="B1402" s="383" t="str">
        <x:v>卷十三 《海內東經》</x:v>
      </x:c>
      <x:c r="C1402" s="384"/>
      <x:c r="D1402" s="383" t="str">
        <x:v>帝顓頊葬地</x:v>
      </x:c>
      <x:c r="E1402" s="383" t="str">
        <x:v>墓葬</x:v>
      </x:c>
      <x:c r="F1402" s="385"/>
      <x:c r="G1402" s="384" t="str">
        <x:v>标点与分段参考《山海经校注》；正文对读：https://ctext.org/shan-hai-jing/hai-nei-dong-jing/zh</x:v>
      </x:c>
      <x:c r="H1402" s="386" t="e">
        <x:f>HYPERLINK("#'山海经原文总库'!A3","↩ 返回目录")</x:f>
        <x:v>HYPERLINK is not implemented. linkLocation=#'山海经原文总库'!A3, friendlyName=↩ 返回目录</x:v>
      </x:c>
      <x:c r="I1402" s="384"/>
      <x:c r="J1402" s="384"/>
      <x:c r="K1402" s="384" t="str">
        <x:v>待同名检索｜待建档</x:v>
      </x:c>
    </x:row>
    <x:row r="1403" ht="52" hidden="0" customHeight="1">
      <x:c r="A1403" s="383" t="str">
        <x:v>SHJ-13-017-4</x:v>
      </x:c>
      <x:c r="B1403" s="383" t="str">
        <x:v>卷十三 《海內東經》</x:v>
      </x:c>
      <x:c r="C1403" s="384"/>
      <x:c r="D1403" s="383" t="str">
        <x:v>九嬪葬地</x:v>
      </x:c>
      <x:c r="E1403" s="383" t="str">
        <x:v>墓葬</x:v>
      </x:c>
      <x:c r="F1403" s="385"/>
      <x:c r="G1403" s="384" t="str">
        <x:v>标点与分段参考《山海经校注》；正文对读：https://ctext.org/shan-hai-jing/hai-nei-dong-jing/zh</x:v>
      </x:c>
      <x:c r="H1403" s="386" t="e">
        <x:f>HYPERLINK("#'山海经原文总库'!A3","↩ 返回目录")</x:f>
        <x:v>HYPERLINK is not implemented. linkLocation=#'山海经原文总库'!A3, friendlyName=↩ 返回目录</x:v>
      </x:c>
      <x:c r="I1403" s="384"/>
      <x:c r="J1403" s="384"/>
      <x:c r="K1403" s="384" t="str">
        <x:v>待同名检索｜待建档</x:v>
      </x:c>
    </x:row>
    <x:row r="1404" ht="52" hidden="0" customHeight="1">
      <x:c r="A1404" s="383" t="str">
        <x:v>SHJ-13-018-1</x:v>
      </x:c>
      <x:c r="B1404" s="383" t="str">
        <x:v>卷十三 《海內東經》</x:v>
      </x:c>
      <x:c r="C1404" s="384" t="str">
        <x:v>蒙水出漢陽西，入江，聶陽西。溫水出崆峒，崆峒山在臨汾南，入河，華陽北。</x:v>
      </x:c>
      <x:c r="D1404" s="383" t="str">
        <x:v>蒙水</x:v>
      </x:c>
      <x:c r="E1404" s="383" t="str">
        <x:v>水系／水域</x:v>
      </x:c>
      <x:c r="F1404" s="385"/>
      <x:c r="G1404" s="384" t="str">
        <x:v>标点与分段参考《山海经校注》；正文对读：https://ctext.org/shan-hai-jing/hai-nei-dong-jing/zh</x:v>
      </x:c>
      <x:c r="H1404" s="386" t="e">
        <x:f>HYPERLINK("#'山海经原文总库'!A3","↩ 返回目录")</x:f>
        <x:v>HYPERLINK is not implemented. linkLocation=#'山海经原文总库'!A3, friendlyName=↩ 返回目录</x:v>
      </x:c>
      <x:c r="I1404" s="384"/>
      <x:c r="J1404" s="384"/>
      <x:c r="K1404" s="384" t="str">
        <x:v>待同名检索｜待建档</x:v>
      </x:c>
    </x:row>
    <x:row r="1405" ht="52" hidden="0" customHeight="1">
      <x:c r="A1405" s="383" t="str">
        <x:v>SHJ-13-018-2</x:v>
      </x:c>
      <x:c r="B1405" s="383" t="str">
        <x:v>卷十三 《海內東經》</x:v>
      </x:c>
      <x:c r="C1405" s="384"/>
      <x:c r="D1405" s="383" t="str">
        <x:v>漢陽</x:v>
      </x:c>
      <x:c r="E1405" s="383" t="str">
        <x:v>地理名稱</x:v>
      </x:c>
      <x:c r="F1405" s="385"/>
      <x:c r="G1405" s="384" t="str">
        <x:v>标点与分段参考《山海经校注》；正文对读：https://ctext.org/shan-hai-jing/hai-nei-dong-jing/zh</x:v>
      </x:c>
      <x:c r="H1405" s="386" t="e">
        <x:f>HYPERLINK("#'山海经原文总库'!A3","↩ 返回目录")</x:f>
        <x:v>HYPERLINK is not implemented. linkLocation=#'山海经原文总库'!A3, friendlyName=↩ 返回目录</x:v>
      </x:c>
      <x:c r="I1405" s="384"/>
      <x:c r="J1405" s="384"/>
      <x:c r="K1405" s="384" t="str">
        <x:v>待同名检索｜待建档</x:v>
      </x:c>
    </x:row>
    <x:row r="1406" ht="52" hidden="0" customHeight="1">
      <x:c r="A1406" s="383" t="str">
        <x:v>SHJ-13-018-3</x:v>
      </x:c>
      <x:c r="B1406" s="383" t="str">
        <x:v>卷十三 《海內東經》</x:v>
      </x:c>
      <x:c r="C1406" s="384"/>
      <x:c r="D1406" s="383" t="str">
        <x:v>江</x:v>
      </x:c>
      <x:c r="E1406" s="383" t="str">
        <x:v>水系／水域</x:v>
      </x:c>
      <x:c r="F1406" s="385"/>
      <x:c r="G1406" s="384" t="str">
        <x:v>标点与分段参考《山海经校注》；正文对读：https://ctext.org/shan-hai-jing/hai-nei-dong-jing/zh</x:v>
      </x:c>
      <x:c r="H1406" s="386" t="e">
        <x:f>HYPERLINK("#'山海经原文总库'!A3","↩ 返回目录")</x:f>
        <x:v>HYPERLINK is not implemented. linkLocation=#'山海经原文总库'!A3, friendlyName=↩ 返回目录</x:v>
      </x:c>
      <x:c r="I1406" s="384"/>
      <x:c r="J1406" s="384"/>
      <x:c r="K1406" s="384" t="str">
        <x:v>待同名检索｜待建档</x:v>
      </x:c>
    </x:row>
    <x:row r="1407" ht="52" hidden="0" customHeight="1">
      <x:c r="A1407" s="383" t="str">
        <x:v>SHJ-13-018-4</x:v>
      </x:c>
      <x:c r="B1407" s="383" t="str">
        <x:v>卷十三 《海內東經》</x:v>
      </x:c>
      <x:c r="C1407" s="384"/>
      <x:c r="D1407" s="383" t="str">
        <x:v>聶陽</x:v>
      </x:c>
      <x:c r="E1407" s="383" t="str">
        <x:v>地理名稱</x:v>
      </x:c>
      <x:c r="F1407" s="385"/>
      <x:c r="G1407" s="384" t="str">
        <x:v>标点与分段参考《山海经校注》；正文对读：https://ctext.org/shan-hai-jing/hai-nei-dong-jing/zh</x:v>
      </x:c>
      <x:c r="H1407" s="386" t="e">
        <x:f>HYPERLINK("#'山海经原文总库'!A3","↩ 返回目录")</x:f>
        <x:v>HYPERLINK is not implemented. linkLocation=#'山海经原文总库'!A3, friendlyName=↩ 返回目录</x:v>
      </x:c>
      <x:c r="I1407" s="384"/>
      <x:c r="J1407" s="384"/>
      <x:c r="K1407" s="384" t="str">
        <x:v>待同名检索｜待建档</x:v>
      </x:c>
    </x:row>
    <x:row r="1408" ht="52" hidden="0" customHeight="1">
      <x:c r="A1408" s="383" t="str">
        <x:v>SHJ-13-018-5</x:v>
      </x:c>
      <x:c r="B1408" s="383" t="str">
        <x:v>卷十三 《海內東經》</x:v>
      </x:c>
      <x:c r="C1408" s="384"/>
      <x:c r="D1408" s="383" t="str">
        <x:v>溫水</x:v>
      </x:c>
      <x:c r="E1408" s="383" t="str">
        <x:v>水系／水域</x:v>
      </x:c>
      <x:c r="F1408" s="385"/>
      <x:c r="G1408" s="384" t="str">
        <x:v>标点与分段参考《山海经校注》；正文对读：https://ctext.org/shan-hai-jing/hai-nei-dong-jing/zh</x:v>
      </x:c>
      <x:c r="H1408" s="386" t="e">
        <x:f>HYPERLINK("#'山海经原文总库'!A3","↩ 返回目录")</x:f>
        <x:v>HYPERLINK is not implemented. linkLocation=#'山海经原文总库'!A3, friendlyName=↩ 返回目录</x:v>
      </x:c>
      <x:c r="I1408" s="384"/>
      <x:c r="J1408" s="384"/>
      <x:c r="K1408" s="384" t="str">
        <x:v>待同名检索｜待建档</x:v>
      </x:c>
    </x:row>
    <x:row r="1409" ht="52" hidden="0" customHeight="1">
      <x:c r="A1409" s="383" t="str">
        <x:v>SHJ-13-018-6</x:v>
      </x:c>
      <x:c r="B1409" s="383" t="str">
        <x:v>卷十三 《海內東經》</x:v>
      </x:c>
      <x:c r="C1409" s="384"/>
      <x:c r="D1409" s="383" t="str">
        <x:v>崆峒</x:v>
      </x:c>
      <x:c r="E1409" s="383" t="str">
        <x:v>地理名稱</x:v>
      </x:c>
      <x:c r="F1409" s="385"/>
      <x:c r="G1409" s="384" t="str">
        <x:v>标点与分段参考《山海经校注》；正文对读：https://ctext.org/shan-hai-jing/hai-nei-dong-jing/zh</x:v>
      </x:c>
      <x:c r="H1409" s="386" t="e">
        <x:f>HYPERLINK("#'山海经原文总库'!A3","↩ 返回目录")</x:f>
        <x:v>HYPERLINK is not implemented. linkLocation=#'山海经原文总库'!A3, friendlyName=↩ 返回目录</x:v>
      </x:c>
      <x:c r="I1409" s="384"/>
      <x:c r="J1409" s="384"/>
      <x:c r="K1409" s="384" t="str">
        <x:v>待同名检索｜待建档</x:v>
      </x:c>
    </x:row>
    <x:row r="1410" ht="52" hidden="0" customHeight="1">
      <x:c r="A1410" s="383" t="str">
        <x:v>SHJ-13-018-7</x:v>
      </x:c>
      <x:c r="B1410" s="383" t="str">
        <x:v>卷十三 《海內東經》</x:v>
      </x:c>
      <x:c r="C1410" s="384"/>
      <x:c r="D1410" s="383" t="str">
        <x:v>崆峒山</x:v>
      </x:c>
      <x:c r="E1410" s="383" t="str">
        <x:v>山／丘</x:v>
      </x:c>
      <x:c r="F1410" s="385"/>
      <x:c r="G1410" s="384" t="str">
        <x:v>标点与分段参考《山海经校注》；正文对读：https://ctext.org/shan-hai-jing/hai-nei-dong-jing/zh</x:v>
      </x:c>
      <x:c r="H1410" s="386" t="e">
        <x:f>HYPERLINK("#'山海经原文总库'!A3","↩ 返回目录")</x:f>
        <x:v>HYPERLINK is not implemented. linkLocation=#'山海经原文总库'!A3, friendlyName=↩ 返回目录</x:v>
      </x:c>
      <x:c r="I1410" s="384"/>
      <x:c r="J1410" s="384"/>
      <x:c r="K1410" s="384" t="str">
        <x:v>待同名检索｜待建档</x:v>
      </x:c>
    </x:row>
    <x:row r="1411" ht="52" hidden="0" customHeight="1">
      <x:c r="A1411" s="383" t="str">
        <x:v>SHJ-13-018-8</x:v>
      </x:c>
      <x:c r="B1411" s="383" t="str">
        <x:v>卷十三 《海內東經》</x:v>
      </x:c>
      <x:c r="C1411" s="384"/>
      <x:c r="D1411" s="383" t="str">
        <x:v>臨汾</x:v>
      </x:c>
      <x:c r="E1411" s="383" t="str">
        <x:v>地理名稱</x:v>
      </x:c>
      <x:c r="F1411" s="385"/>
      <x:c r="G1411" s="384" t="str">
        <x:v>标点与分段参考《山海经校注》；正文对读：https://ctext.org/shan-hai-jing/hai-nei-dong-jing/zh</x:v>
      </x:c>
      <x:c r="H1411" s="386" t="e">
        <x:f>HYPERLINK("#'山海经原文总库'!A3","↩ 返回目录")</x:f>
        <x:v>HYPERLINK is not implemented. linkLocation=#'山海经原文总库'!A3, friendlyName=↩ 返回目录</x:v>
      </x:c>
      <x:c r="I1411" s="384"/>
      <x:c r="J1411" s="384"/>
      <x:c r="K1411" s="384" t="str">
        <x:v>待同名检索｜待建档</x:v>
      </x:c>
    </x:row>
    <x:row r="1412" ht="52" hidden="0" customHeight="1">
      <x:c r="A1412" s="383" t="str">
        <x:v>SHJ-13-018-9</x:v>
      </x:c>
      <x:c r="B1412" s="383" t="str">
        <x:v>卷十三 《海內東經》</x:v>
      </x:c>
      <x:c r="C1412" s="384"/>
      <x:c r="D1412" s="383" t="str">
        <x:v>河</x:v>
      </x:c>
      <x:c r="E1412" s="383" t="str">
        <x:v>水系／水域</x:v>
      </x:c>
      <x:c r="F1412" s="385"/>
      <x:c r="G1412" s="384" t="str">
        <x:v>标点与分段参考《山海经校注》；正文对读：https://ctext.org/shan-hai-jing/hai-nei-dong-jing/zh</x:v>
      </x:c>
      <x:c r="H1412" s="386" t="e">
        <x:f>HYPERLINK("#'山海经原文总库'!A3","↩ 返回目录")</x:f>
        <x:v>HYPERLINK is not implemented. linkLocation=#'山海经原文总库'!A3, friendlyName=↩ 返回目录</x:v>
      </x:c>
      <x:c r="I1412" s="384"/>
      <x:c r="J1412" s="384"/>
      <x:c r="K1412" s="384" t="str">
        <x:v>待同名检索｜待建档</x:v>
      </x:c>
    </x:row>
    <x:row r="1413" ht="52" hidden="0" customHeight="1">
      <x:c r="A1413" s="383" t="str">
        <x:v>SHJ-13-018-10</x:v>
      </x:c>
      <x:c r="B1413" s="383" t="str">
        <x:v>卷十三 《海內東經》</x:v>
      </x:c>
      <x:c r="C1413" s="384"/>
      <x:c r="D1413" s="383" t="str">
        <x:v>華陽</x:v>
      </x:c>
      <x:c r="E1413" s="383" t="str">
        <x:v>地理名稱</x:v>
      </x:c>
      <x:c r="F1413" s="385"/>
      <x:c r="G1413" s="384" t="str">
        <x:v>标点与分段参考《山海经校注》；正文对读：https://ctext.org/shan-hai-jing/hai-nei-dong-jing/zh</x:v>
      </x:c>
      <x:c r="H1413" s="386" t="e">
        <x:f>HYPERLINK("#'山海经原文总库'!A3","↩ 返回目录")</x:f>
        <x:v>HYPERLINK is not implemented. linkLocation=#'山海经原文总库'!A3, friendlyName=↩ 返回目录</x:v>
      </x:c>
      <x:c r="I1413" s="384"/>
      <x:c r="J1413" s="384"/>
      <x:c r="K1413" s="384" t="str">
        <x:v>待同名检索｜待建档</x:v>
      </x:c>
    </x:row>
    <x:row r="1414" ht="52" hidden="0" customHeight="1">
      <x:c r="A1414" s="383" t="str">
        <x:v>SHJ-13-019-1</x:v>
      </x:c>
      <x:c r="B1414" s="383" t="str">
        <x:v>卷十三 《海內東經》</x:v>
      </x:c>
      <x:c r="C1414" s="384" t="str">
        <x:v>潁水出少室，少室山在雍氏南，入淮西鄢北。一曰緱氏。</x:v>
      </x:c>
      <x:c r="D1414" s="383" t="str">
        <x:v>潁水</x:v>
      </x:c>
      <x:c r="E1414" s="383" t="str">
        <x:v>水系／水域</x:v>
      </x:c>
      <x:c r="F1414" s="385"/>
      <x:c r="G1414" s="384" t="str">
        <x:v>标点与分段参考《山海经校注》；正文对读：https://ctext.org/shan-hai-jing/hai-nei-dong-jing/zh</x:v>
      </x:c>
      <x:c r="H1414" s="386" t="e">
        <x:f>HYPERLINK("#'山海经原文总库'!A3","↩ 返回目录")</x:f>
        <x:v>HYPERLINK is not implemented. linkLocation=#'山海经原文总库'!A3, friendlyName=↩ 返回目录</x:v>
      </x:c>
      <x:c r="I1414" s="384"/>
      <x:c r="J1414" s="384"/>
      <x:c r="K1414" s="384" t="str">
        <x:v>待同名检索｜待建档</x:v>
      </x:c>
    </x:row>
    <x:row r="1415" ht="52" hidden="0" customHeight="1">
      <x:c r="A1415" s="383" t="str">
        <x:v>SHJ-13-019-2</x:v>
      </x:c>
      <x:c r="B1415" s="383" t="str">
        <x:v>卷十三 《海內東經》</x:v>
      </x:c>
      <x:c r="C1415" s="384"/>
      <x:c r="D1415" s="383" t="str">
        <x:v>少室</x:v>
      </x:c>
      <x:c r="E1415" s="383" t="str">
        <x:v>地理名稱</x:v>
      </x:c>
      <x:c r="F1415" s="385"/>
      <x:c r="G1415" s="384" t="str">
        <x:v>标点与分段参考《山海经校注》；正文对读：https://ctext.org/shan-hai-jing/hai-nei-dong-jing/zh</x:v>
      </x:c>
      <x:c r="H1415" s="386" t="e">
        <x:f>HYPERLINK("#'山海经原文总库'!A3","↩ 返回目录")</x:f>
        <x:v>HYPERLINK is not implemented. linkLocation=#'山海经原文总库'!A3, friendlyName=↩ 返回目录</x:v>
      </x:c>
      <x:c r="I1415" s="384"/>
      <x:c r="J1415" s="384"/>
      <x:c r="K1415" s="384" t="str">
        <x:v>待同名检索｜待建档</x:v>
      </x:c>
    </x:row>
    <x:row r="1416" ht="52" hidden="0" customHeight="1">
      <x:c r="A1416" s="383" t="str">
        <x:v>SHJ-13-019-3</x:v>
      </x:c>
      <x:c r="B1416" s="383" t="str">
        <x:v>卷十三 《海內東經》</x:v>
      </x:c>
      <x:c r="C1416" s="384"/>
      <x:c r="D1416" s="383" t="str">
        <x:v>少室山</x:v>
      </x:c>
      <x:c r="E1416" s="383" t="str">
        <x:v>山／丘</x:v>
      </x:c>
      <x:c r="F1416" s="385"/>
      <x:c r="G1416" s="384" t="str">
        <x:v>标点与分段参考《山海经校注》；正文对读：https://ctext.org/shan-hai-jing/hai-nei-dong-jing/zh</x:v>
      </x:c>
      <x:c r="H1416" s="386" t="e">
        <x:f>HYPERLINK("#'山海经原文总库'!A3","↩ 返回目录")</x:f>
        <x:v>HYPERLINK is not implemented. linkLocation=#'山海经原文总库'!A3, friendlyName=↩ 返回目录</x:v>
      </x:c>
      <x:c r="I1416" s="384"/>
      <x:c r="J1416" s="384"/>
      <x:c r="K1416" s="384" t="str">
        <x:v>待同名检索｜待建档</x:v>
      </x:c>
    </x:row>
    <x:row r="1417" ht="52" hidden="0" customHeight="1">
      <x:c r="A1417" s="383" t="str">
        <x:v>SHJ-13-019-4</x:v>
      </x:c>
      <x:c r="B1417" s="383" t="str">
        <x:v>卷十三 《海內東經》</x:v>
      </x:c>
      <x:c r="C1417" s="384"/>
      <x:c r="D1417" s="383" t="str">
        <x:v>雍氏</x:v>
      </x:c>
      <x:c r="E1417" s="383" t="str">
        <x:v>國家／族群</x:v>
      </x:c>
      <x:c r="F1417" s="385"/>
      <x:c r="G1417" s="384" t="str">
        <x:v>标点与分段参考《山海经校注》；正文对读：https://ctext.org/shan-hai-jing/hai-nei-dong-jing/zh</x:v>
      </x:c>
      <x:c r="H1417" s="386" t="e">
        <x:f>HYPERLINK("#'山海经原文总库'!A3","↩ 返回目录")</x:f>
        <x:v>HYPERLINK is not implemented. linkLocation=#'山海经原文总库'!A3, friendlyName=↩ 返回目录</x:v>
      </x:c>
      <x:c r="I1417" s="384"/>
      <x:c r="J1417" s="384"/>
      <x:c r="K1417" s="384" t="str">
        <x:v>待同名检索｜待建档</x:v>
      </x:c>
    </x:row>
    <x:row r="1418" ht="52" hidden="0" customHeight="1">
      <x:c r="A1418" s="383" t="str">
        <x:v>SHJ-13-019-5</x:v>
      </x:c>
      <x:c r="B1418" s="383" t="str">
        <x:v>卷十三 《海內東經》</x:v>
      </x:c>
      <x:c r="C1418" s="384"/>
      <x:c r="D1418" s="383" t="str">
        <x:v>淮</x:v>
      </x:c>
      <x:c r="E1418" s="383" t="str">
        <x:v>地理名稱</x:v>
      </x:c>
      <x:c r="F1418" s="385"/>
      <x:c r="G1418" s="384" t="str">
        <x:v>标点与分段参考《山海经校注》；正文对读：https://ctext.org/shan-hai-jing/hai-nei-dong-jing/zh</x:v>
      </x:c>
      <x:c r="H1418" s="386" t="e">
        <x:f>HYPERLINK("#'山海经原文总库'!A3","↩ 返回目录")</x:f>
        <x:v>HYPERLINK is not implemented. linkLocation=#'山海经原文总库'!A3, friendlyName=↩ 返回目录</x:v>
      </x:c>
      <x:c r="I1418" s="384"/>
      <x:c r="J1418" s="384"/>
      <x:c r="K1418" s="384" t="str">
        <x:v>待同名检索｜待建档</x:v>
      </x:c>
    </x:row>
    <x:row r="1419" ht="52" hidden="0" customHeight="1">
      <x:c r="A1419" s="383" t="str">
        <x:v>SHJ-13-019-6</x:v>
      </x:c>
      <x:c r="B1419" s="383" t="str">
        <x:v>卷十三 《海內東經》</x:v>
      </x:c>
      <x:c r="C1419" s="384"/>
      <x:c r="D1419" s="383" t="str">
        <x:v>西鄢</x:v>
      </x:c>
      <x:c r="E1419" s="383" t="str">
        <x:v>地理名稱</x:v>
      </x:c>
      <x:c r="F1419" s="385"/>
      <x:c r="G1419" s="384" t="str">
        <x:v>标点与分段参考《山海经校注》；正文对读：https://ctext.org/shan-hai-jing/hai-nei-dong-jing/zh</x:v>
      </x:c>
      <x:c r="H1419" s="386" t="e">
        <x:f>HYPERLINK("#'山海经原文总库'!A3","↩ 返回目录")</x:f>
        <x:v>HYPERLINK is not implemented. linkLocation=#'山海经原文总库'!A3, friendlyName=↩ 返回目录</x:v>
      </x:c>
      <x:c r="I1419" s="384"/>
      <x:c r="J1419" s="384"/>
      <x:c r="K1419" s="384" t="str">
        <x:v>待同名检索｜待建档</x:v>
      </x:c>
    </x:row>
    <x:row r="1420" ht="52" hidden="0" customHeight="1">
      <x:c r="A1420" s="383" t="str">
        <x:v>SHJ-13-019-7</x:v>
      </x:c>
      <x:c r="B1420" s="383" t="str">
        <x:v>卷十三 《海內東經》</x:v>
      </x:c>
      <x:c r="C1420" s="384"/>
      <x:c r="D1420" s="383" t="str">
        <x:v>緱氏</x:v>
      </x:c>
      <x:c r="E1420" s="383" t="str">
        <x:v>國家／族群</x:v>
      </x:c>
      <x:c r="F1420" s="385"/>
      <x:c r="G1420" s="384" t="str">
        <x:v>标点与分段参考《山海经校注》；正文对读：https://ctext.org/shan-hai-jing/hai-nei-dong-jing/zh</x:v>
      </x:c>
      <x:c r="H1420" s="386" t="e">
        <x:f>HYPERLINK("#'山海经原文总库'!A3","↩ 返回目录")</x:f>
        <x:v>HYPERLINK is not implemented. linkLocation=#'山海经原文总库'!A3, friendlyName=↩ 返回目录</x:v>
      </x:c>
      <x:c r="I1420" s="384"/>
      <x:c r="J1420" s="384"/>
      <x:c r="K1420" s="384" t="str">
        <x:v>待同名检索｜待建档</x:v>
      </x:c>
    </x:row>
    <x:row r="1421" ht="52" hidden="0" customHeight="1">
      <x:c r="A1421" s="383" t="str">
        <x:v>SHJ-13-020-1</x:v>
      </x:c>
      <x:c r="B1421" s="383" t="str">
        <x:v>卷十三 《海內東經》</x:v>
      </x:c>
      <x:c r="C1421" s="384" t="str">
        <x:v>汝水出天息山，在梁勉鄉西南，入淮極西北。一曰淮在期思北。</x:v>
      </x:c>
      <x:c r="D1421" s="383" t="str">
        <x:v>汝水</x:v>
      </x:c>
      <x:c r="E1421" s="383" t="str">
        <x:v>水系／水域</x:v>
      </x:c>
      <x:c r="F1421" s="385"/>
      <x:c r="G1421" s="384" t="str">
        <x:v>标点与分段参考《山海经校注》；正文对读：https://ctext.org/shan-hai-jing/hai-nei-dong-jing/zh</x:v>
      </x:c>
      <x:c r="H1421" s="386" t="e">
        <x:f>HYPERLINK("#'山海经原文总库'!A3","↩ 返回目录")</x:f>
        <x:v>HYPERLINK is not implemented. linkLocation=#'山海经原文总库'!A3, friendlyName=↩ 返回目录</x:v>
      </x:c>
      <x:c r="I1421" s="384"/>
      <x:c r="J1421" s="384"/>
      <x:c r="K1421" s="384" t="str">
        <x:v>待同名检索｜待建档</x:v>
      </x:c>
    </x:row>
    <x:row r="1422" ht="52" hidden="0" customHeight="1">
      <x:c r="A1422" s="383" t="str">
        <x:v>SHJ-13-020-2</x:v>
      </x:c>
      <x:c r="B1422" s="383" t="str">
        <x:v>卷十三 《海內東經》</x:v>
      </x:c>
      <x:c r="C1422" s="384"/>
      <x:c r="D1422" s="383" t="str">
        <x:v>天息山</x:v>
      </x:c>
      <x:c r="E1422" s="383" t="str">
        <x:v>山／丘</x:v>
      </x:c>
      <x:c r="F1422" s="385"/>
      <x:c r="G1422" s="384" t="str">
        <x:v>标点与分段参考《山海经校注》；正文对读：https://ctext.org/shan-hai-jing/hai-nei-dong-jing/zh</x:v>
      </x:c>
      <x:c r="H1422" s="386" t="e">
        <x:f>HYPERLINK("#'山海经原文总库'!A3","↩ 返回目录")</x:f>
        <x:v>HYPERLINK is not implemented. linkLocation=#'山海经原文总库'!A3, friendlyName=↩ 返回目录</x:v>
      </x:c>
      <x:c r="I1422" s="384"/>
      <x:c r="J1422" s="384"/>
      <x:c r="K1422" s="384" t="str">
        <x:v>待同名检索｜待建档</x:v>
      </x:c>
    </x:row>
    <x:row r="1423" ht="52" hidden="0" customHeight="1">
      <x:c r="A1423" s="383" t="str">
        <x:v>SHJ-13-020-3</x:v>
      </x:c>
      <x:c r="B1423" s="383" t="str">
        <x:v>卷十三 《海內東經》</x:v>
      </x:c>
      <x:c r="C1423" s="384"/>
      <x:c r="D1423" s="383" t="str">
        <x:v>梁勉鄉</x:v>
      </x:c>
      <x:c r="E1423" s="383" t="str">
        <x:v>城邑／區域</x:v>
      </x:c>
      <x:c r="F1423" s="385"/>
      <x:c r="G1423" s="384" t="str">
        <x:v>标点与分段参考《山海经校注》；正文对读：https://ctext.org/shan-hai-jing/hai-nei-dong-jing/zh</x:v>
      </x:c>
      <x:c r="H1423" s="386" t="e">
        <x:f>HYPERLINK("#'山海经原文总库'!A3","↩ 返回目录")</x:f>
        <x:v>HYPERLINK is not implemented. linkLocation=#'山海经原文总库'!A3, friendlyName=↩ 返回目录</x:v>
      </x:c>
      <x:c r="I1423" s="384"/>
      <x:c r="J1423" s="384"/>
      <x:c r="K1423" s="384" t="str">
        <x:v>待同名检索｜待建档</x:v>
      </x:c>
    </x:row>
    <x:row r="1424" ht="52" hidden="0" customHeight="1">
      <x:c r="A1424" s="383" t="str">
        <x:v>SHJ-13-020-4</x:v>
      </x:c>
      <x:c r="B1424" s="383" t="str">
        <x:v>卷十三 《海內東經》</x:v>
      </x:c>
      <x:c r="C1424" s="384"/>
      <x:c r="D1424" s="383" t="str">
        <x:v>淮極</x:v>
      </x:c>
      <x:c r="E1424" s="383" t="str">
        <x:v>區域</x:v>
      </x:c>
      <x:c r="F1424" s="385"/>
      <x:c r="G1424" s="384" t="str">
        <x:v>标点与分段参考《山海经校注》；正文对读：https://ctext.org/shan-hai-jing/hai-nei-dong-jing/zh</x:v>
      </x:c>
      <x:c r="H1424" s="386" t="e">
        <x:f>HYPERLINK("#'山海经原文总库'!A3","↩ 返回目录")</x:f>
        <x:v>HYPERLINK is not implemented. linkLocation=#'山海经原文总库'!A3, friendlyName=↩ 返回目录</x:v>
      </x:c>
      <x:c r="I1424" s="384"/>
      <x:c r="J1424" s="384"/>
      <x:c r="K1424" s="384" t="str">
        <x:v>待同名检索｜待建档</x:v>
      </x:c>
    </x:row>
    <x:row r="1425" ht="52" hidden="0" customHeight="1">
      <x:c r="A1425" s="383" t="str">
        <x:v>SHJ-13-020-5</x:v>
      </x:c>
      <x:c r="B1425" s="383" t="str">
        <x:v>卷十三 《海內東經》</x:v>
      </x:c>
      <x:c r="C1425" s="384"/>
      <x:c r="D1425" s="383" t="str">
        <x:v>淮</x:v>
      </x:c>
      <x:c r="E1425" s="383" t="str">
        <x:v>地理名稱</x:v>
      </x:c>
      <x:c r="F1425" s="385"/>
      <x:c r="G1425" s="384" t="str">
        <x:v>标点与分段参考《山海经校注》；正文对读：https://ctext.org/shan-hai-jing/hai-nei-dong-jing/zh</x:v>
      </x:c>
      <x:c r="H1425" s="386" t="e">
        <x:f>HYPERLINK("#'山海经原文总库'!A3","↩ 返回目录")</x:f>
        <x:v>HYPERLINK is not implemented. linkLocation=#'山海经原文总库'!A3, friendlyName=↩ 返回目录</x:v>
      </x:c>
      <x:c r="I1425" s="384"/>
      <x:c r="J1425" s="384"/>
      <x:c r="K1425" s="384" t="str">
        <x:v>待同名检索｜待建档</x:v>
      </x:c>
    </x:row>
    <x:row r="1426" ht="52" hidden="0" customHeight="1">
      <x:c r="A1426" s="383" t="str">
        <x:v>SHJ-13-020-6</x:v>
      </x:c>
      <x:c r="B1426" s="383" t="str">
        <x:v>卷十三 《海內東經》</x:v>
      </x:c>
      <x:c r="C1426" s="384"/>
      <x:c r="D1426" s="383" t="str">
        <x:v>期思</x:v>
      </x:c>
      <x:c r="E1426" s="383" t="str">
        <x:v>地理名稱</x:v>
      </x:c>
      <x:c r="F1426" s="385"/>
      <x:c r="G1426" s="384" t="str">
        <x:v>标点与分段参考《山海经校注》；正文对读：https://ctext.org/shan-hai-jing/hai-nei-dong-jing/zh</x:v>
      </x:c>
      <x:c r="H1426" s="386" t="e">
        <x:f>HYPERLINK("#'山海经原文总库'!A3","↩ 返回目录")</x:f>
        <x:v>HYPERLINK is not implemented. linkLocation=#'山海经原文总库'!A3, friendlyName=↩ 返回目录</x:v>
      </x:c>
      <x:c r="I1426" s="384"/>
      <x:c r="J1426" s="384"/>
      <x:c r="K1426" s="384" t="str">
        <x:v>待同名检索｜待建档</x:v>
      </x:c>
    </x:row>
    <x:row r="1427" ht="52" hidden="0" customHeight="1">
      <x:c r="A1427" s="383" t="str">
        <x:v>SHJ-13-021-1</x:v>
      </x:c>
      <x:c r="B1427" s="383" t="str">
        <x:v>卷十三 《海內東經》</x:v>
      </x:c>
      <x:c r="C1427" s="384" t="str">
        <x:v>涇水出長城北山，山在鬱郅長垣北，入渭，戲北。</x:v>
      </x:c>
      <x:c r="D1427" s="383" t="str">
        <x:v>涇水</x:v>
      </x:c>
      <x:c r="E1427" s="383" t="str">
        <x:v>水系／水域</x:v>
      </x:c>
      <x:c r="F1427" s="385"/>
      <x:c r="G1427" s="384" t="str">
        <x:v>标点与分段参考《山海经校注》；正文对读：https://ctext.org/shan-hai-jing/hai-nei-dong-jing/zh</x:v>
      </x:c>
      <x:c r="H1427" s="386" t="e">
        <x:f>HYPERLINK("#'山海经原文总库'!A3","↩ 返回目录")</x:f>
        <x:v>HYPERLINK is not implemented. linkLocation=#'山海经原文总库'!A3, friendlyName=↩ 返回目录</x:v>
      </x:c>
      <x:c r="I1427" s="384"/>
      <x:c r="J1427" s="384"/>
      <x:c r="K1427" s="384" t="str">
        <x:v>待同名检索｜待建档</x:v>
      </x:c>
    </x:row>
    <x:row r="1428" ht="52" hidden="0" customHeight="1">
      <x:c r="A1428" s="383" t="str">
        <x:v>SHJ-13-021-2</x:v>
      </x:c>
      <x:c r="B1428" s="383" t="str">
        <x:v>卷十三 《海內東經》</x:v>
      </x:c>
      <x:c r="C1428" s="384"/>
      <x:c r="D1428" s="383" t="str">
        <x:v>長城北山</x:v>
      </x:c>
      <x:c r="E1428" s="383" t="str">
        <x:v>山／丘</x:v>
      </x:c>
      <x:c r="F1428" s="385"/>
      <x:c r="G1428" s="384" t="str">
        <x:v>标点与分段参考《山海经校注》；正文对读：https://ctext.org/shan-hai-jing/hai-nei-dong-jing/zh</x:v>
      </x:c>
      <x:c r="H1428" s="386" t="e">
        <x:f>HYPERLINK("#'山海经原文总库'!A3","↩ 返回目录")</x:f>
        <x:v>HYPERLINK is not implemented. linkLocation=#'山海经原文总库'!A3, friendlyName=↩ 返回目录</x:v>
      </x:c>
      <x:c r="I1428" s="384"/>
      <x:c r="J1428" s="384"/>
      <x:c r="K1428" s="384" t="str">
        <x:v>待同名检索｜待建档</x:v>
      </x:c>
    </x:row>
    <x:row r="1429" ht="52" hidden="0" customHeight="1">
      <x:c r="A1429" s="383" t="str">
        <x:v>SHJ-13-021-3</x:v>
      </x:c>
      <x:c r="B1429" s="383" t="str">
        <x:v>卷十三 《海內東經》</x:v>
      </x:c>
      <x:c r="C1429" s="384"/>
      <x:c r="D1429" s="383" t="str">
        <x:v>鬱郅長垣</x:v>
      </x:c>
      <x:c r="E1429" s="383" t="str">
        <x:v>地理名稱</x:v>
      </x:c>
      <x:c r="F1429" s="385"/>
      <x:c r="G1429" s="384" t="str">
        <x:v>标点与分段参考《山海经校注》；正文对读：https://ctext.org/shan-hai-jing/hai-nei-dong-jing/zh</x:v>
      </x:c>
      <x:c r="H1429" s="386" t="e">
        <x:f>HYPERLINK("#'山海经原文总库'!A3","↩ 返回目录")</x:f>
        <x:v>HYPERLINK is not implemented. linkLocation=#'山海经原文总库'!A3, friendlyName=↩ 返回目录</x:v>
      </x:c>
      <x:c r="I1429" s="384"/>
      <x:c r="J1429" s="384"/>
      <x:c r="K1429" s="384" t="str">
        <x:v>待同名检索｜待建档</x:v>
      </x:c>
    </x:row>
    <x:row r="1430" ht="52" hidden="0" customHeight="1">
      <x:c r="A1430" s="383" t="str">
        <x:v>SHJ-13-021-4</x:v>
      </x:c>
      <x:c r="B1430" s="383" t="str">
        <x:v>卷十三 《海內東經》</x:v>
      </x:c>
      <x:c r="C1430" s="384"/>
      <x:c r="D1430" s="383" t="str">
        <x:v>渭</x:v>
      </x:c>
      <x:c r="E1430" s="383" t="str">
        <x:v>地理名稱</x:v>
      </x:c>
      <x:c r="F1430" s="385"/>
      <x:c r="G1430" s="384" t="str">
        <x:v>标点与分段参考《山海经校注》；正文对读：https://ctext.org/shan-hai-jing/hai-nei-dong-jing/zh</x:v>
      </x:c>
      <x:c r="H1430" s="386" t="e">
        <x:f>HYPERLINK("#'山海经原文总库'!A3","↩ 返回目录")</x:f>
        <x:v>HYPERLINK is not implemented. linkLocation=#'山海经原文总库'!A3, friendlyName=↩ 返回目录</x:v>
      </x:c>
      <x:c r="I1430" s="384"/>
      <x:c r="J1430" s="384"/>
      <x:c r="K1430" s="384" t="str">
        <x:v>待同名检索｜待建档</x:v>
      </x:c>
    </x:row>
    <x:row r="1431" ht="52" hidden="0" customHeight="1">
      <x:c r="A1431" s="383" t="str">
        <x:v>SHJ-13-021-5</x:v>
      </x:c>
      <x:c r="B1431" s="383" t="str">
        <x:v>卷十三 《海內東經》</x:v>
      </x:c>
      <x:c r="C1431" s="384"/>
      <x:c r="D1431" s="383" t="str">
        <x:v>戲</x:v>
      </x:c>
      <x:c r="E1431" s="383" t="str">
        <x:v>地理名稱</x:v>
      </x:c>
      <x:c r="F1431" s="385"/>
      <x:c r="G1431" s="384" t="str">
        <x:v>标点与分段参考《山海经校注》；正文对读：https://ctext.org/shan-hai-jing/hai-nei-dong-jing/zh</x:v>
      </x:c>
      <x:c r="H1431" s="386" t="e">
        <x:f>HYPERLINK("#'山海经原文总库'!A3","↩ 返回目录")</x:f>
        <x:v>HYPERLINK is not implemented. linkLocation=#'山海经原文总库'!A3, friendlyName=↩ 返回目录</x:v>
      </x:c>
      <x:c r="I1431" s="384"/>
      <x:c r="J1431" s="384"/>
      <x:c r="K1431" s="384" t="str">
        <x:v>待同名检索｜待建档</x:v>
      </x:c>
    </x:row>
    <x:row r="1432" ht="52" hidden="0" customHeight="1">
      <x:c r="A1432" s="383" t="str">
        <x:v>SHJ-13-022-1</x:v>
      </x:c>
      <x:c r="B1432" s="383" t="str">
        <x:v>卷十三 《海內東經》</x:v>
      </x:c>
      <x:c r="C1432" s="384" t="str">
        <x:v>渭水出鳥鼠同穴山，東注河，入華陰北。</x:v>
      </x:c>
      <x:c r="D1432" s="383" t="str">
        <x:v>渭水</x:v>
      </x:c>
      <x:c r="E1432" s="383" t="str">
        <x:v>水系／水域</x:v>
      </x:c>
      <x:c r="F1432" s="385"/>
      <x:c r="G1432" s="384" t="str">
        <x:v>标点与分段参考《山海经校注》；正文对读：https://ctext.org/shan-hai-jing/hai-nei-dong-jing/zh</x:v>
      </x:c>
      <x:c r="H1432" s="386" t="e">
        <x:f>HYPERLINK("#'山海经原文总库'!A3","↩ 返回目录")</x:f>
        <x:v>HYPERLINK is not implemented. linkLocation=#'山海经原文总库'!A3, friendlyName=↩ 返回目录</x:v>
      </x:c>
      <x:c r="I1432" s="384"/>
      <x:c r="J1432" s="384"/>
      <x:c r="K1432" s="384" t="str">
        <x:v>待同名检索｜待建档</x:v>
      </x:c>
    </x:row>
    <x:row r="1433" ht="52" hidden="0" customHeight="1">
      <x:c r="A1433" s="383" t="str">
        <x:v>SHJ-13-022-2</x:v>
      </x:c>
      <x:c r="B1433" s="383" t="str">
        <x:v>卷十三 《海內東經》</x:v>
      </x:c>
      <x:c r="C1433" s="384"/>
      <x:c r="D1433" s="383" t="str">
        <x:v>鳥鼠同穴山</x:v>
      </x:c>
      <x:c r="E1433" s="383" t="str">
        <x:v>山／丘</x:v>
      </x:c>
      <x:c r="F1433" s="385"/>
      <x:c r="G1433" s="384" t="str">
        <x:v>标点与分段参考《山海经校注》；正文对读：https://ctext.org/shan-hai-jing/hai-nei-dong-jing/zh</x:v>
      </x:c>
      <x:c r="H1433" s="386" t="e">
        <x:f>HYPERLINK("#'山海经原文总库'!A3","↩ 返回目录")</x:f>
        <x:v>HYPERLINK is not implemented. linkLocation=#'山海经原文总库'!A3, friendlyName=↩ 返回目录</x:v>
      </x:c>
      <x:c r="I1433" s="384"/>
      <x:c r="J1433" s="384"/>
      <x:c r="K1433" s="384" t="str">
        <x:v>待同名检索｜待建档</x:v>
      </x:c>
    </x:row>
    <x:row r="1434" ht="52" hidden="0" customHeight="1">
      <x:c r="A1434" s="383" t="str">
        <x:v>SHJ-13-022-3</x:v>
      </x:c>
      <x:c r="B1434" s="383" t="str">
        <x:v>卷十三 《海內東經》</x:v>
      </x:c>
      <x:c r="C1434" s="384"/>
      <x:c r="D1434" s="383" t="str">
        <x:v>河</x:v>
      </x:c>
      <x:c r="E1434" s="383" t="str">
        <x:v>水系／水域</x:v>
      </x:c>
      <x:c r="F1434" s="385"/>
      <x:c r="G1434" s="384" t="str">
        <x:v>标点与分段参考《山海经校注》；正文对读：https://ctext.org/shan-hai-jing/hai-nei-dong-jing/zh</x:v>
      </x:c>
      <x:c r="H1434" s="386" t="e">
        <x:f>HYPERLINK("#'山海经原文总库'!A3","↩ 返回目录")</x:f>
        <x:v>HYPERLINK is not implemented. linkLocation=#'山海经原文总库'!A3, friendlyName=↩ 返回目录</x:v>
      </x:c>
      <x:c r="I1434" s="384"/>
      <x:c r="J1434" s="384"/>
      <x:c r="K1434" s="384" t="str">
        <x:v>待同名检索｜待建档</x:v>
      </x:c>
    </x:row>
    <x:row r="1435" ht="52" hidden="0" customHeight="1">
      <x:c r="A1435" s="383" t="str">
        <x:v>SHJ-13-022-4</x:v>
      </x:c>
      <x:c r="B1435" s="383" t="str">
        <x:v>卷十三 《海內東經》</x:v>
      </x:c>
      <x:c r="C1435" s="384"/>
      <x:c r="D1435" s="383" t="str">
        <x:v>華陰</x:v>
      </x:c>
      <x:c r="E1435" s="383" t="str">
        <x:v>地理名稱</x:v>
      </x:c>
      <x:c r="F1435" s="385"/>
      <x:c r="G1435" s="384" t="str">
        <x:v>标点与分段参考《山海经校注》；正文对读：https://ctext.org/shan-hai-jing/hai-nei-dong-jing/zh</x:v>
      </x:c>
      <x:c r="H1435" s="386" t="e">
        <x:f>HYPERLINK("#'山海经原文总库'!A3","↩ 返回目录")</x:f>
        <x:v>HYPERLINK is not implemented. linkLocation=#'山海经原文总库'!A3, friendlyName=↩ 返回目录</x:v>
      </x:c>
      <x:c r="I1435" s="384"/>
      <x:c r="J1435" s="384"/>
      <x:c r="K1435" s="384" t="str">
        <x:v>待同名检索｜待建档</x:v>
      </x:c>
    </x:row>
    <x:row r="1436" ht="52" hidden="0" customHeight="1">
      <x:c r="A1436" s="383" t="str">
        <x:v>SHJ-13-023-1</x:v>
      </x:c>
      <x:c r="B1436" s="383" t="str">
        <x:v>卷十三 《海內東經》</x:v>
      </x:c>
      <x:c r="C1436" s="384" t="str">
        <x:v>白水出蜀，而東南注江，入江州城下。</x:v>
      </x:c>
      <x:c r="D1436" s="383" t="str">
        <x:v>白水</x:v>
      </x:c>
      <x:c r="E1436" s="383" t="str">
        <x:v>水系／水域</x:v>
      </x:c>
      <x:c r="F1436" s="385"/>
      <x:c r="G1436" s="384" t="str">
        <x:v>标点与分段参考《山海经校注》；正文对读：https://ctext.org/shan-hai-jing/hai-nei-dong-jing/zh</x:v>
      </x:c>
      <x:c r="H1436" s="386" t="e">
        <x:f>HYPERLINK("#'山海经原文总库'!A3","↩ 返回目录")</x:f>
        <x:v>HYPERLINK is not implemented. linkLocation=#'山海经原文总库'!A3, friendlyName=↩ 返回目录</x:v>
      </x:c>
      <x:c r="I1436" s="384"/>
      <x:c r="J1436" s="384"/>
      <x:c r="K1436" s="384" t="str">
        <x:v>待同名检索｜待建档</x:v>
      </x:c>
    </x:row>
    <x:row r="1437" ht="52" hidden="0" customHeight="1">
      <x:c r="A1437" s="383" t="str">
        <x:v>SHJ-13-023-2</x:v>
      </x:c>
      <x:c r="B1437" s="383" t="str">
        <x:v>卷十三 《海內東經》</x:v>
      </x:c>
      <x:c r="C1437" s="384"/>
      <x:c r="D1437" s="383" t="str">
        <x:v>蜀</x:v>
      </x:c>
      <x:c r="E1437" s="383" t="str">
        <x:v>地理名稱</x:v>
      </x:c>
      <x:c r="F1437" s="385"/>
      <x:c r="G1437" s="384" t="str">
        <x:v>标点与分段参考《山海经校注》；正文对读：https://ctext.org/shan-hai-jing/hai-nei-dong-jing/zh</x:v>
      </x:c>
      <x:c r="H1437" s="386" t="e">
        <x:f>HYPERLINK("#'山海经原文总库'!A3","↩ 返回目录")</x:f>
        <x:v>HYPERLINK is not implemented. linkLocation=#'山海经原文总库'!A3, friendlyName=↩ 返回目录</x:v>
      </x:c>
      <x:c r="I1437" s="384"/>
      <x:c r="J1437" s="384"/>
      <x:c r="K1437" s="384" t="str">
        <x:v>待同名检索｜待建档</x:v>
      </x:c>
    </x:row>
    <x:row r="1438" ht="52" hidden="0" customHeight="1">
      <x:c r="A1438" s="383" t="str">
        <x:v>SHJ-13-023-3</x:v>
      </x:c>
      <x:c r="B1438" s="383" t="str">
        <x:v>卷十三 《海內東經》</x:v>
      </x:c>
      <x:c r="C1438" s="384"/>
      <x:c r="D1438" s="383" t="str">
        <x:v>江</x:v>
      </x:c>
      <x:c r="E1438" s="383" t="str">
        <x:v>水系／水域</x:v>
      </x:c>
      <x:c r="F1438" s="385"/>
      <x:c r="G1438" s="384" t="str">
        <x:v>标点与分段参考《山海经校注》；正文对读：https://ctext.org/shan-hai-jing/hai-nei-dong-jing/zh</x:v>
      </x:c>
      <x:c r="H1438" s="386" t="e">
        <x:f>HYPERLINK("#'山海经原文总库'!A3","↩ 返回目录")</x:f>
        <x:v>HYPERLINK is not implemented. linkLocation=#'山海经原文总库'!A3, friendlyName=↩ 返回目录</x:v>
      </x:c>
      <x:c r="I1438" s="384"/>
      <x:c r="J1438" s="384"/>
      <x:c r="K1438" s="384" t="str">
        <x:v>待同名检索｜待建档</x:v>
      </x:c>
    </x:row>
    <x:row r="1439" ht="52" hidden="0" customHeight="1">
      <x:c r="A1439" s="383" t="str">
        <x:v>SHJ-13-023-4</x:v>
      </x:c>
      <x:c r="B1439" s="383" t="str">
        <x:v>卷十三 《海內東經》</x:v>
      </x:c>
      <x:c r="C1439" s="384"/>
      <x:c r="D1439" s="383" t="str">
        <x:v>江州城</x:v>
      </x:c>
      <x:c r="E1439" s="383" t="str">
        <x:v>水系／水域</x:v>
      </x:c>
      <x:c r="F1439" s="385"/>
      <x:c r="G1439" s="384" t="str">
        <x:v>标点与分段参考《山海经校注》；正文对读：https://ctext.org/shan-hai-jing/hai-nei-dong-jing/zh</x:v>
      </x:c>
      <x:c r="H1439" s="386" t="e">
        <x:f>HYPERLINK("#'山海经原文总库'!A3","↩ 返回目录")</x:f>
        <x:v>HYPERLINK is not implemented. linkLocation=#'山海经原文总库'!A3, friendlyName=↩ 返回目录</x:v>
      </x:c>
      <x:c r="I1439" s="384"/>
      <x:c r="J1439" s="384"/>
      <x:c r="K1439" s="384" t="str">
        <x:v>待同名检索｜待建档</x:v>
      </x:c>
    </x:row>
    <x:row r="1440" ht="52" hidden="0" customHeight="1">
      <x:c r="A1440" s="383" t="str">
        <x:v>SHJ-13-024-1</x:v>
      </x:c>
      <x:c r="B1440" s="383" t="str">
        <x:v>卷十三 《海內東經》</x:v>
      </x:c>
      <x:c r="C1440" s="384" t="str">
        <x:v>沅水出象郡鐔城西，東注江，入下雋西，合洞庭中。</x:v>
      </x:c>
      <x:c r="D1440" s="383" t="str">
        <x:v>沅水</x:v>
      </x:c>
      <x:c r="E1440" s="383" t="str">
        <x:v>水系／水域</x:v>
      </x:c>
      <x:c r="F1440" s="385"/>
      <x:c r="G1440" s="384" t="str">
        <x:v>标点与分段参考《山海经校注》；正文对读：https://ctext.org/shan-hai-jing/hai-nei-dong-jing/zh</x:v>
      </x:c>
      <x:c r="H1440" s="386" t="e">
        <x:f>HYPERLINK("#'山海经原文总库'!A3","↩ 返回目录")</x:f>
        <x:v>HYPERLINK is not implemented. linkLocation=#'山海经原文总库'!A3, friendlyName=↩ 返回目录</x:v>
      </x:c>
      <x:c r="I1440" s="384"/>
      <x:c r="J1440" s="384"/>
      <x:c r="K1440" s="384" t="str">
        <x:v>待同名检索｜待建档</x:v>
      </x:c>
    </x:row>
    <x:row r="1441" ht="52" hidden="0" customHeight="1">
      <x:c r="A1441" s="383" t="str">
        <x:v>SHJ-13-024-2</x:v>
      </x:c>
      <x:c r="B1441" s="383" t="str">
        <x:v>卷十三 《海內東經》</x:v>
      </x:c>
      <x:c r="C1441" s="384"/>
      <x:c r="D1441" s="383" t="str">
        <x:v>象郡</x:v>
      </x:c>
      <x:c r="E1441" s="383" t="str">
        <x:v>城邑／區域</x:v>
      </x:c>
      <x:c r="F1441" s="385"/>
      <x:c r="G1441" s="384" t="str">
        <x:v>标点与分段参考《山海经校注》；正文对读：https://ctext.org/shan-hai-jing/hai-nei-dong-jing/zh</x:v>
      </x:c>
      <x:c r="H1441" s="386" t="e">
        <x:f>HYPERLINK("#'山海经原文总库'!A3","↩ 返回目录")</x:f>
        <x:v>HYPERLINK is not implemented. linkLocation=#'山海经原文总库'!A3, friendlyName=↩ 返回目录</x:v>
      </x:c>
      <x:c r="I1441" s="384"/>
      <x:c r="J1441" s="384"/>
      <x:c r="K1441" s="384" t="str">
        <x:v>待同名检索｜待建档</x:v>
      </x:c>
    </x:row>
    <x:row r="1442" ht="52" hidden="0" customHeight="1">
      <x:c r="A1442" s="383" t="str">
        <x:v>SHJ-13-024-3</x:v>
      </x:c>
      <x:c r="B1442" s="383" t="str">
        <x:v>卷十三 《海內東經》</x:v>
      </x:c>
      <x:c r="C1442" s="384"/>
      <x:c r="D1442" s="383" t="str">
        <x:v>鐔城</x:v>
      </x:c>
      <x:c r="E1442" s="383" t="str">
        <x:v>城邑／區域</x:v>
      </x:c>
      <x:c r="F1442" s="385"/>
      <x:c r="G1442" s="384" t="str">
        <x:v>标点与分段参考《山海经校注》；正文对读：https://ctext.org/shan-hai-jing/hai-nei-dong-jing/zh</x:v>
      </x:c>
      <x:c r="H1442" s="386" t="e">
        <x:f>HYPERLINK("#'山海经原文总库'!A3","↩ 返回目录")</x:f>
        <x:v>HYPERLINK is not implemented. linkLocation=#'山海经原文总库'!A3, friendlyName=↩ 返回目录</x:v>
      </x:c>
      <x:c r="I1442" s="384"/>
      <x:c r="J1442" s="384"/>
      <x:c r="K1442" s="384" t="str">
        <x:v>待同名检索｜待建档</x:v>
      </x:c>
    </x:row>
    <x:row r="1443" ht="52" hidden="0" customHeight="1">
      <x:c r="A1443" s="383" t="str">
        <x:v>SHJ-13-024-4</x:v>
      </x:c>
      <x:c r="B1443" s="383" t="str">
        <x:v>卷十三 《海內東經》</x:v>
      </x:c>
      <x:c r="C1443" s="384"/>
      <x:c r="D1443" s="383" t="str">
        <x:v>江</x:v>
      </x:c>
      <x:c r="E1443" s="383" t="str">
        <x:v>水系／水域</x:v>
      </x:c>
      <x:c r="F1443" s="385"/>
      <x:c r="G1443" s="384" t="str">
        <x:v>标点与分段参考《山海经校注》；正文对读：https://ctext.org/shan-hai-jing/hai-nei-dong-jing/zh</x:v>
      </x:c>
      <x:c r="H1443" s="386" t="e">
        <x:f t="shared" ref="H1443:H1448" si="18">HYPERLINK("#'山海经原文总库'!A3","↩ 返回目录")</x:f>
        <x:v>HYPERLINK is not implemented. linkLocation=#'山海经原文总库'!A3, friendlyName=↩ 返回目录</x:v>
      </x:c>
      <x:c r="I1443" s="384"/>
      <x:c r="J1443" s="384"/>
      <x:c r="K1443" s="384" t="str">
        <x:v>待同名检索｜待建档</x:v>
      </x:c>
    </x:row>
    <x:row r="1444" ht="52" hidden="0" customHeight="1">
      <x:c r="A1444" s="383" t="str">
        <x:v>SHJ-13-024-5</x:v>
      </x:c>
      <x:c r="B1444" s="383" t="str">
        <x:v>卷十三 《海內東經》</x:v>
      </x:c>
      <x:c r="C1444" s="384"/>
      <x:c r="D1444" s="383" t="str">
        <x:v>下雋</x:v>
      </x:c>
      <x:c r="E1444" s="383" t="str">
        <x:v>地理名稱</x:v>
      </x:c>
      <x:c r="F1444" s="385"/>
      <x:c r="G1444" s="384" t="str">
        <x:v>标点与分段参考《山海经校注》；正文对读：https://ctext.org/shan-hai-jing/hai-nei-dong-jing/zh</x:v>
      </x:c>
      <x:c r="H1444" s="386" t="e">
        <x:f t="shared" si="18">HYPERLINK("#'山海经原文总库'!A3","↩ 返回目录")</x:f>
        <x:v>HYPERLINK is not implemented. linkLocation=#'山海经原文总库'!A3, friendlyName=↩ 返回目录</x:v>
      </x:c>
      <x:c r="I1444" s="384"/>
      <x:c r="J1444" s="384"/>
      <x:c r="K1444" s="384" t="str">
        <x:v>待同名检索｜待建档</x:v>
      </x:c>
    </x:row>
    <x:row r="1445" ht="52" hidden="0" customHeight="1">
      <x:c r="A1445" s="383" t="str">
        <x:v>SHJ-13-024-6</x:v>
      </x:c>
      <x:c r="B1445" s="383" t="str">
        <x:v>卷十三 《海內東經》</x:v>
      </x:c>
      <x:c r="C1445" s="384"/>
      <x:c r="D1445" s="383" t="str">
        <x:v>洞庭</x:v>
      </x:c>
      <x:c r="E1445" s="383" t="str">
        <x:v>水系／水域</x:v>
      </x:c>
      <x:c r="F1445" s="385"/>
      <x:c r="G1445" s="384" t="str">
        <x:v>标点与分段参考《山海经校注》；正文对读：https://ctext.org/shan-hai-jing/hai-nei-dong-jing/zh</x:v>
      </x:c>
      <x:c r="H1445" s="386" t="e">
        <x:f t="shared" si="18">HYPERLINK("#'山海经原文总库'!A3","↩ 返回目录")</x:f>
        <x:v>HYPERLINK is not implemented. linkLocation=#'山海经原文总库'!A3, friendlyName=↩ 返回目录</x:v>
      </x:c>
      <x:c r="I1445" s="384"/>
      <x:c r="J1445" s="384"/>
      <x:c r="K1445" s="384" t="str">
        <x:v>待同名检索｜待建档</x:v>
      </x:c>
    </x:row>
    <x:row r="1446" ht="52" hidden="0" customHeight="1">
      <x:c r="A1446" s="383" t="str">
        <x:v>SHJ-13-025-1</x:v>
      </x:c>
      <x:c r="B1446" s="383" t="str">
        <x:v>卷十三 《海內東經》</x:v>
      </x:c>
      <x:c r="C1446" s="384" t="str">
        <x:v>贛水出聶都東山，東北注江，入彭澤西。</x:v>
      </x:c>
      <x:c r="D1446" s="383" t="str">
        <x:v>贛水</x:v>
      </x:c>
      <x:c r="E1446" s="383" t="str">
        <x:v>水系／水域</x:v>
      </x:c>
      <x:c r="F1446" s="385"/>
      <x:c r="G1446" s="384" t="str">
        <x:v>标点与分段参考《山海经校注》；正文对读：https://ctext.org/shan-hai-jing/hai-nei-dong-jing/zh</x:v>
      </x:c>
      <x:c r="H1446" s="386" t="e">
        <x:f t="shared" si="18">HYPERLINK("#'山海经原文总库'!A3","↩ 返回目录")</x:f>
        <x:v>HYPERLINK is not implemented. linkLocation=#'山海经原文总库'!A3, friendlyName=↩ 返回目录</x:v>
      </x:c>
      <x:c r="I1446" s="384"/>
      <x:c r="J1446" s="384"/>
      <x:c r="K1446" s="384" t="str">
        <x:v>待同名检索｜待建档</x:v>
      </x:c>
    </x:row>
    <x:row r="1447" ht="52" hidden="0" customHeight="1">
      <x:c r="A1447" s="383" t="str">
        <x:v>SHJ-13-025-2</x:v>
      </x:c>
      <x:c r="B1447" s="383" t="str">
        <x:v>卷十三 《海內東經》</x:v>
      </x:c>
      <x:c r="C1447" s="384"/>
      <x:c r="D1447" s="383" t="str">
        <x:v>聶都東山</x:v>
      </x:c>
      <x:c r="E1447" s="383" t="str">
        <x:v>山／丘</x:v>
      </x:c>
      <x:c r="F1447" s="385"/>
      <x:c r="G1447" s="384" t="str">
        <x:v>标点与分段参考《山海经校注》；正文对读：https://ctext.org/shan-hai-jing/hai-nei-dong-jing/zh</x:v>
      </x:c>
      <x:c r="H1447" s="386" t="e">
        <x:f t="shared" si="18">HYPERLINK("#'山海经原文总库'!A3","↩ 返回目录")</x:f>
        <x:v>HYPERLINK is not implemented. linkLocation=#'山海经原文总库'!A3, friendlyName=↩ 返回目录</x:v>
      </x:c>
      <x:c r="I1447" s="384"/>
      <x:c r="J1447" s="384"/>
      <x:c r="K1447" s="384" t="str">
        <x:v>待同名检索｜待建档</x:v>
      </x:c>
    </x:row>
    <x:row r="1448" ht="52" hidden="0" customHeight="1">
      <x:c r="A1448" s="383" t="str">
        <x:v>SHJ-13-025-3</x:v>
      </x:c>
      <x:c r="B1448" s="383" t="str">
        <x:v>卷十三 《海內東經》</x:v>
      </x:c>
      <x:c r="C1448" s="384"/>
      <x:c r="D1448" s="383" t="str">
        <x:v>江</x:v>
      </x:c>
      <x:c r="E1448" s="383" t="str">
        <x:v>水系／水域</x:v>
      </x:c>
      <x:c r="F1448" s="385"/>
      <x:c r="G1448" s="384" t="str">
        <x:v>标点与分段参考《山海经校注》；正文对读：https://ctext.org/shan-hai-jing/hai-nei-dong-jing/zh</x:v>
      </x:c>
      <x:c r="H1448" s="386" t="e">
        <x:f t="shared" si="18">HYPERLINK("#'山海经原文总库'!A3","↩ 返回目录")</x:f>
        <x:v>HYPERLINK is not implemented. linkLocation=#'山海经原文总库'!A3, friendlyName=↩ 返回目录</x:v>
      </x:c>
      <x:c r="I1448" s="384"/>
      <x:c r="J1448" s="384"/>
      <x:c r="K1448" s="384" t="str">
        <x:v>待同名检索｜待建档</x:v>
      </x:c>
    </x:row>
    <x:row r="1449" ht="52" hidden="0" customHeight="1">
      <x:c r="A1449" s="383" t="str">
        <x:v>SHJ-13-025-4</x:v>
      </x:c>
      <x:c r="B1449" s="383" t="str">
        <x:v>卷十三 《海內東經》</x:v>
      </x:c>
      <x:c r="C1449" s="384"/>
      <x:c r="D1449" s="383" t="str">
        <x:v>彭澤</x:v>
      </x:c>
      <x:c r="E1449" s="383" t="str">
        <x:v>水系／水域</x:v>
      </x:c>
      <x:c r="F1449" s="385"/>
      <x:c r="G1449" s="384" t="str">
        <x:v>标点与分段参考《山海经校注》；正文对读：https://ctext.org/shan-hai-jing/hai-nei-dong-jing/zh</x:v>
      </x:c>
      <x:c r="H1449" s="386" t="e">
        <x:f>HYPERLINK("#'山海经原文总库'!A3","↩ 返回目录")</x:f>
        <x:v>HYPERLINK is not implemented. linkLocation=#'山海经原文总库'!A3, friendlyName=↩ 返回目录</x:v>
      </x:c>
      <x:c r="I1449" s="384"/>
      <x:c r="J1449" s="384"/>
      <x:c r="K1449" s="384" t="str">
        <x:v>待同名检索｜待建档</x:v>
      </x:c>
    </x:row>
    <x:row r="1450" ht="52" hidden="0" customHeight="1">
      <x:c r="A1450" s="383" t="str">
        <x:v>SHJ-13-026-1</x:v>
      </x:c>
      <x:c r="B1450" s="383" t="str">
        <x:v>卷十三 《海內東經》</x:v>
      </x:c>
      <x:c r="C1450" s="384" t="str">
        <x:v>泗水出魯東北而南，西南過湖陵西，而東南注東海，入淮陰北。</x:v>
      </x:c>
      <x:c r="D1450" s="383" t="str">
        <x:v>泗水</x:v>
      </x:c>
      <x:c r="E1450" s="383" t="str">
        <x:v>水系／水域</x:v>
      </x:c>
      <x:c r="F1450" s="385"/>
      <x:c r="G1450" s="384" t="str">
        <x:v>标点与分段参考《山海经校注》；正文对读：https://ctext.org/shan-hai-jing/hai-nei-dong-jing/zh</x:v>
      </x:c>
      <x:c r="H1450" s="386" t="e">
        <x:f>HYPERLINK("#'山海经原文总库'!A3","↩ 返回目录")</x:f>
        <x:v>HYPERLINK is not implemented. linkLocation=#'山海经原文总库'!A3, friendlyName=↩ 返回目录</x:v>
      </x:c>
      <x:c r="I1450" s="384"/>
      <x:c r="J1450" s="384"/>
      <x:c r="K1450" s="384" t="str">
        <x:v>待同名检索｜待建档</x:v>
      </x:c>
    </x:row>
    <x:row r="1451" ht="52" hidden="0" customHeight="1">
      <x:c r="A1451" s="383" t="str">
        <x:v>SHJ-13-026-2</x:v>
      </x:c>
      <x:c r="B1451" s="383" t="str">
        <x:v>卷十三 《海內東經》</x:v>
      </x:c>
      <x:c r="C1451" s="384"/>
      <x:c r="D1451" s="383" t="str">
        <x:v>魯</x:v>
      </x:c>
      <x:c r="E1451" s="383" t="str">
        <x:v>地理名稱</x:v>
      </x:c>
      <x:c r="F1451" s="385"/>
      <x:c r="G1451" s="384" t="str">
        <x:v>标点与分段参考《山海经校注》；正文对读：https://ctext.org/shan-hai-jing/hai-nei-dong-jing/zh</x:v>
      </x:c>
      <x:c r="H1451" s="386" t="e">
        <x:f>HYPERLINK("#'山海经原文总库'!A3","↩ 返回目录")</x:f>
        <x:v>HYPERLINK is not implemented. linkLocation=#'山海经原文总库'!A3, friendlyName=↩ 返回目录</x:v>
      </x:c>
      <x:c r="I1451" s="384"/>
      <x:c r="J1451" s="384"/>
      <x:c r="K1451" s="384" t="str">
        <x:v>待同名检索｜待建档</x:v>
      </x:c>
    </x:row>
    <x:row r="1452" ht="52" hidden="0" customHeight="1">
      <x:c r="A1452" s="383" t="str">
        <x:v>SHJ-13-026-3</x:v>
      </x:c>
      <x:c r="B1452" s="383" t="str">
        <x:v>卷十三 《海內東經》</x:v>
      </x:c>
      <x:c r="C1452" s="384"/>
      <x:c r="D1452" s="383" t="str">
        <x:v>湖陵</x:v>
      </x:c>
      <x:c r="E1452" s="383" t="str">
        <x:v>地理名稱</x:v>
      </x:c>
      <x:c r="F1452" s="385"/>
      <x:c r="G1452" s="384" t="str">
        <x:v>标点与分段参考《山海经校注》；正文对读：https://ctext.org/shan-hai-jing/hai-nei-dong-jing/zh</x:v>
      </x:c>
      <x:c r="H1452" s="386" t="e">
        <x:f>HYPERLINK("#'山海经原文总库'!A3","↩ 返回目录")</x:f>
        <x:v>HYPERLINK is not implemented. linkLocation=#'山海经原文总库'!A3, friendlyName=↩ 返回目录</x:v>
      </x:c>
      <x:c r="I1452" s="384"/>
      <x:c r="J1452" s="384"/>
      <x:c r="K1452" s="384" t="str">
        <x:v>待同名检索｜待建档</x:v>
      </x:c>
    </x:row>
    <x:row r="1453" ht="52" hidden="0" customHeight="1">
      <x:c r="A1453" s="383" t="str">
        <x:v>SHJ-13-026-4</x:v>
      </x:c>
      <x:c r="B1453" s="383" t="str">
        <x:v>卷十三 《海內東經》</x:v>
      </x:c>
      <x:c r="C1453" s="384"/>
      <x:c r="D1453" s="383" t="str">
        <x:v>東海</x:v>
      </x:c>
      <x:c r="E1453" s="383" t="str">
        <x:v>水系／水域</x:v>
      </x:c>
      <x:c r="F1453" s="385"/>
      <x:c r="G1453" s="384" t="str">
        <x:v>标点与分段参考《山海经校注》；正文对读：https://ctext.org/shan-hai-jing/hai-nei-dong-jing/zh</x:v>
      </x:c>
      <x:c r="H1453" s="386" t="e">
        <x:f>HYPERLINK("#'山海经原文总库'!A3","↩ 返回目录")</x:f>
        <x:v>HYPERLINK is not implemented. linkLocation=#'山海经原文总库'!A3, friendlyName=↩ 返回目录</x:v>
      </x:c>
      <x:c r="I1453" s="384"/>
      <x:c r="J1453" s="384"/>
      <x:c r="K1453" s="384" t="str">
        <x:v>待同名检索｜待建档</x:v>
      </x:c>
    </x:row>
    <x:row r="1454" ht="52" hidden="0" customHeight="1">
      <x:c r="A1454" s="383" t="str">
        <x:v>SHJ-13-026-5</x:v>
      </x:c>
      <x:c r="B1454" s="383" t="str">
        <x:v>卷十三 《海內東經》</x:v>
      </x:c>
      <x:c r="C1454" s="384"/>
      <x:c r="D1454" s="383" t="str">
        <x:v>淮陰</x:v>
      </x:c>
      <x:c r="E1454" s="383" t="str">
        <x:v>地理名稱</x:v>
      </x:c>
      <x:c r="F1454" s="385"/>
      <x:c r="G1454" s="384" t="str">
        <x:v>标点与分段参考《山海经校注》；正文对读：https://ctext.org/shan-hai-jing/hai-nei-dong-jing/zh</x:v>
      </x:c>
      <x:c r="H1454" s="386" t="e">
        <x:f>HYPERLINK("#'山海经原文总库'!A3","↩ 返回目录")</x:f>
        <x:v>HYPERLINK is not implemented. linkLocation=#'山海经原文总库'!A3, friendlyName=↩ 返回目录</x:v>
      </x:c>
      <x:c r="I1454" s="384"/>
      <x:c r="J1454" s="384"/>
      <x:c r="K1454" s="384" t="str">
        <x:v>待同名检索｜待建档</x:v>
      </x:c>
    </x:row>
    <x:row r="1455" ht="52" hidden="0" customHeight="1">
      <x:c r="A1455" s="383" t="str">
        <x:v>SHJ-13-027-1</x:v>
      </x:c>
      <x:c r="B1455" s="383" t="str">
        <x:v>卷十三 《海內東經》</x:v>
      </x:c>
      <x:c r="C1455" s="384" t="str">
        <x:v>鬱水出象郡，而西南注南海，入須陵東南。</x:v>
      </x:c>
      <x:c r="D1455" s="383" t="str">
        <x:v>鬱水</x:v>
      </x:c>
      <x:c r="E1455" s="383" t="str">
        <x:v>水系／水域</x:v>
      </x:c>
      <x:c r="F1455" s="385"/>
      <x:c r="G1455" s="384" t="str">
        <x:v>标点与分段参考《山海经校注》；正文对读：https://ctext.org/shan-hai-jing/hai-nei-dong-jing/zh</x:v>
      </x:c>
      <x:c r="H1455" s="386" t="e">
        <x:f>HYPERLINK("#'山海经原文总库'!A3","↩ 返回目录")</x:f>
        <x:v>HYPERLINK is not implemented. linkLocation=#'山海经原文总库'!A3, friendlyName=↩ 返回目录</x:v>
      </x:c>
      <x:c r="I1455" s="384"/>
      <x:c r="J1455" s="384"/>
      <x:c r="K1455" s="384" t="str">
        <x:v>待同名检索｜待建档</x:v>
      </x:c>
    </x:row>
    <x:row r="1456" ht="52" hidden="0" customHeight="1">
      <x:c r="A1456" s="383" t="str">
        <x:v>SHJ-13-027-2</x:v>
      </x:c>
      <x:c r="B1456" s="383" t="str">
        <x:v>卷十三 《海內東經》</x:v>
      </x:c>
      <x:c r="C1456" s="384"/>
      <x:c r="D1456" s="383" t="str">
        <x:v>象郡</x:v>
      </x:c>
      <x:c r="E1456" s="383" t="str">
        <x:v>城邑／區域</x:v>
      </x:c>
      <x:c r="F1456" s="385"/>
      <x:c r="G1456" s="384" t="str">
        <x:v>标点与分段参考《山海经校注》；正文对读：https://ctext.org/shan-hai-jing/hai-nei-dong-jing/zh</x:v>
      </x:c>
      <x:c r="H1456" s="386" t="e">
        <x:f>HYPERLINK("#'山海经原文总库'!A3","↩ 返回目录")</x:f>
        <x:v>HYPERLINK is not implemented. linkLocation=#'山海经原文总库'!A3, friendlyName=↩ 返回目录</x:v>
      </x:c>
      <x:c r="I1456" s="384"/>
      <x:c r="J1456" s="384"/>
      <x:c r="K1456" s="384" t="str">
        <x:v>待同名检索｜待建档</x:v>
      </x:c>
    </x:row>
    <x:row r="1457" ht="52" hidden="0" customHeight="1">
      <x:c r="A1457" s="383" t="str">
        <x:v>SHJ-13-027-3</x:v>
      </x:c>
      <x:c r="B1457" s="383" t="str">
        <x:v>卷十三 《海內東經》</x:v>
      </x:c>
      <x:c r="C1457" s="384"/>
      <x:c r="D1457" s="383" t="str">
        <x:v>南海</x:v>
      </x:c>
      <x:c r="E1457" s="383" t="str">
        <x:v>水系／水域</x:v>
      </x:c>
      <x:c r="F1457" s="385"/>
      <x:c r="G1457" s="384" t="str">
        <x:v>标点与分段参考《山海经校注》；正文对读：https://ctext.org/shan-hai-jing/hai-nei-dong-jing/zh</x:v>
      </x:c>
      <x:c r="H1457" s="386" t="e">
        <x:f>HYPERLINK("#'山海经原文总库'!A3","↩ 返回目录")</x:f>
        <x:v>HYPERLINK is not implemented. linkLocation=#'山海经原文总库'!A3, friendlyName=↩ 返回目录</x:v>
      </x:c>
      <x:c r="I1457" s="384"/>
      <x:c r="J1457" s="384"/>
      <x:c r="K1457" s="384" t="str">
        <x:v>待同名检索｜待建档</x:v>
      </x:c>
    </x:row>
    <x:row r="1458" ht="52" hidden="0" customHeight="1">
      <x:c r="A1458" s="383" t="str">
        <x:v>SHJ-13-027-4</x:v>
      </x:c>
      <x:c r="B1458" s="383" t="str">
        <x:v>卷十三 《海內東經》</x:v>
      </x:c>
      <x:c r="C1458" s="384"/>
      <x:c r="D1458" s="383" t="str">
        <x:v>須陵</x:v>
      </x:c>
      <x:c r="E1458" s="383" t="str">
        <x:v>地理名稱</x:v>
      </x:c>
      <x:c r="F1458" s="385"/>
      <x:c r="G1458" s="384" t="str">
        <x:v>标点与分段参考《山海经校注》；正文对读：https://ctext.org/shan-hai-jing/hai-nei-dong-jing/zh</x:v>
      </x:c>
      <x:c r="H1458" s="386" t="e">
        <x:f>HYPERLINK("#'山海经原文总库'!A3","↩ 返回目录")</x:f>
        <x:v>HYPERLINK is not implemented. linkLocation=#'山海经原文总库'!A3, friendlyName=↩ 返回目录</x:v>
      </x:c>
      <x:c r="I1458" s="384"/>
      <x:c r="J1458" s="384"/>
      <x:c r="K1458" s="384" t="str">
        <x:v>待同名检索｜待建档</x:v>
      </x:c>
    </x:row>
    <x:row r="1459" ht="52" hidden="0" customHeight="1">
      <x:c r="A1459" s="383" t="str">
        <x:v>SHJ-13-028-1</x:v>
      </x:c>
      <x:c r="B1459" s="383" t="str">
        <x:v>卷十三 《海內東經》</x:v>
      </x:c>
      <x:c r="C1459" s="384" t="str">
        <x:v>肄水出臨晉武西南，而東南注海，入番禺西。</x:v>
      </x:c>
      <x:c r="D1459" s="383" t="str">
        <x:v>肄水</x:v>
      </x:c>
      <x:c r="E1459" s="383" t="str">
        <x:v>水系／水域</x:v>
      </x:c>
      <x:c r="F1459" s="385"/>
      <x:c r="G1459" s="384" t="str">
        <x:v>标点与分段参考《山海经校注》；正文对读：https://ctext.org/shan-hai-jing/hai-nei-dong-jing/zh</x:v>
      </x:c>
      <x:c r="H1459" s="386" t="e">
        <x:f>HYPERLINK("#'山海经原文总库'!A3","↩ 返回目录")</x:f>
        <x:v>HYPERLINK is not implemented. linkLocation=#'山海经原文总库'!A3, friendlyName=↩ 返回目录</x:v>
      </x:c>
      <x:c r="I1459" s="384"/>
      <x:c r="J1459" s="384"/>
      <x:c r="K1459" s="384" t="str">
        <x:v>待同名检索｜待建档</x:v>
      </x:c>
    </x:row>
    <x:row r="1460" ht="52" hidden="0" customHeight="1">
      <x:c r="A1460" s="383" t="str">
        <x:v>SHJ-13-028-2</x:v>
      </x:c>
      <x:c r="B1460" s="383" t="str">
        <x:v>卷十三 《海內東經》</x:v>
      </x:c>
      <x:c r="C1460" s="384"/>
      <x:c r="D1460" s="383" t="str">
        <x:v>臨晉武</x:v>
      </x:c>
      <x:c r="E1460" s="383" t="str">
        <x:v>地理名稱</x:v>
      </x:c>
      <x:c r="F1460" s="385"/>
      <x:c r="G1460" s="384" t="str">
        <x:v>标点与分段参考《山海经校注》；正文对读：https://ctext.org/shan-hai-jing/hai-nei-dong-jing/zh</x:v>
      </x:c>
      <x:c r="H1460" s="386" t="e">
        <x:f>HYPERLINK("#'山海经原文总库'!A3","↩ 返回目录")</x:f>
        <x:v>HYPERLINK is not implemented. linkLocation=#'山海经原文总库'!A3, friendlyName=↩ 返回目录</x:v>
      </x:c>
      <x:c r="I1460" s="384"/>
      <x:c r="J1460" s="384"/>
      <x:c r="K1460" s="384" t="str">
        <x:v>待同名检索｜待建档</x:v>
      </x:c>
    </x:row>
    <x:row r="1461" ht="52" hidden="0" customHeight="1">
      <x:c r="A1461" s="383" t="str">
        <x:v>SHJ-13-028-3</x:v>
      </x:c>
      <x:c r="B1461" s="383" t="str">
        <x:v>卷十三 《海內東經》</x:v>
      </x:c>
      <x:c r="C1461" s="384"/>
      <x:c r="D1461" s="383" t="str">
        <x:v>海</x:v>
      </x:c>
      <x:c r="E1461" s="383" t="str">
        <x:v>水系／水域</x:v>
      </x:c>
      <x:c r="F1461" s="385"/>
      <x:c r="G1461" s="384" t="str">
        <x:v>标点与分段参考《山海经校注》；正文对读：https://ctext.org/shan-hai-jing/hai-nei-dong-jing/zh</x:v>
      </x:c>
      <x:c r="H1461" s="386" t="e">
        <x:f>HYPERLINK("#'山海经原文总库'!A3","↩ 返回目录")</x:f>
        <x:v>HYPERLINK is not implemented. linkLocation=#'山海经原文总库'!A3, friendlyName=↩ 返回目录</x:v>
      </x:c>
      <x:c r="I1461" s="384"/>
      <x:c r="J1461" s="384"/>
      <x:c r="K1461" s="384" t="str">
        <x:v>待同名检索｜待建档</x:v>
      </x:c>
    </x:row>
    <x:row r="1462" ht="52" hidden="0" customHeight="1">
      <x:c r="A1462" s="383" t="str">
        <x:v>SHJ-13-028-4</x:v>
      </x:c>
      <x:c r="B1462" s="383" t="str">
        <x:v>卷十三 《海內東經》</x:v>
      </x:c>
      <x:c r="C1462" s="384"/>
      <x:c r="D1462" s="383" t="str">
        <x:v>番禺</x:v>
      </x:c>
      <x:c r="E1462" s="383" t="str">
        <x:v>地理名稱</x:v>
      </x:c>
      <x:c r="F1462" s="385"/>
      <x:c r="G1462" s="384" t="str">
        <x:v>标点与分段参考《山海经校注》；正文对读：https://ctext.org/shan-hai-jing/hai-nei-dong-jing/zh</x:v>
      </x:c>
      <x:c r="H1462" s="386" t="e">
        <x:f>HYPERLINK("#'山海经原文总库'!A3","↩ 返回目录")</x:f>
        <x:v>HYPERLINK is not implemented. linkLocation=#'山海经原文总库'!A3, friendlyName=↩ 返回目录</x:v>
      </x:c>
      <x:c r="I1462" s="384"/>
      <x:c r="J1462" s="384"/>
      <x:c r="K1462" s="384" t="str">
        <x:v>待同名检索｜待建档</x:v>
      </x:c>
    </x:row>
    <x:row r="1463" ht="52" hidden="0" customHeight="1">
      <x:c r="A1463" s="383" t="str">
        <x:v>SHJ-13-029-1</x:v>
      </x:c>
      <x:c r="B1463" s="383" t="str">
        <x:v>卷十三 《海內東經》</x:v>
      </x:c>
      <x:c r="C1463" s="384" t="str">
        <x:v>潢水出桂陽西北山，東南注肄水，入敦浦西。</x:v>
      </x:c>
      <x:c r="D1463" s="383" t="str">
        <x:v>潢水</x:v>
      </x:c>
      <x:c r="E1463" s="383" t="str">
        <x:v>水系／水域</x:v>
      </x:c>
      <x:c r="F1463" s="385"/>
      <x:c r="G1463" s="384" t="str">
        <x:v>标点与分段参考《山海经校注》；正文对读：https://ctext.org/shan-hai-jing/hai-nei-dong-jing/zh</x:v>
      </x:c>
      <x:c r="H1463" s="386" t="e">
        <x:f>HYPERLINK("#'山海经原文总库'!A3","↩ 返回目录")</x:f>
        <x:v>HYPERLINK is not implemented. linkLocation=#'山海经原文总库'!A3, friendlyName=↩ 返回目录</x:v>
      </x:c>
      <x:c r="I1463" s="384"/>
      <x:c r="J1463" s="384"/>
      <x:c r="K1463" s="384" t="str">
        <x:v>待同名检索｜待建档</x:v>
      </x:c>
    </x:row>
    <x:row r="1464" ht="52" hidden="0" customHeight="1">
      <x:c r="A1464" s="383" t="str">
        <x:v>SHJ-13-029-2</x:v>
      </x:c>
      <x:c r="B1464" s="383" t="str">
        <x:v>卷十三 《海內東經》</x:v>
      </x:c>
      <x:c r="C1464" s="384"/>
      <x:c r="D1464" s="383" t="str">
        <x:v>桂陽西北山</x:v>
      </x:c>
      <x:c r="E1464" s="383" t="str">
        <x:v>山／丘</x:v>
      </x:c>
      <x:c r="F1464" s="385"/>
      <x:c r="G1464" s="384" t="str">
        <x:v>标点与分段参考《山海经校注》；正文对读：https://ctext.org/shan-hai-jing/hai-nei-dong-jing/zh</x:v>
      </x:c>
      <x:c r="H1464" s="386" t="e">
        <x:f>HYPERLINK("#'山海经原文总库'!A3","↩ 返回目录")</x:f>
        <x:v>HYPERLINK is not implemented. linkLocation=#'山海经原文总库'!A3, friendlyName=↩ 返回目录</x:v>
      </x:c>
      <x:c r="I1464" s="384"/>
      <x:c r="J1464" s="384"/>
      <x:c r="K1464" s="384" t="str">
        <x:v>待同名检索｜待建档</x:v>
      </x:c>
    </x:row>
    <x:row r="1465" ht="52" hidden="0" customHeight="1">
      <x:c r="A1465" s="383" t="str">
        <x:v>SHJ-13-029-3</x:v>
      </x:c>
      <x:c r="B1465" s="383" t="str">
        <x:v>卷十三 《海內東經》</x:v>
      </x:c>
      <x:c r="C1465" s="384"/>
      <x:c r="D1465" s="383" t="str">
        <x:v>肄水</x:v>
      </x:c>
      <x:c r="E1465" s="383" t="str">
        <x:v>水系／水域</x:v>
      </x:c>
      <x:c r="F1465" s="385"/>
      <x:c r="G1465" s="384" t="str">
        <x:v>标点与分段参考《山海经校注》；正文对读：https://ctext.org/shan-hai-jing/hai-nei-dong-jing/zh</x:v>
      </x:c>
      <x:c r="H1465" s="386" t="e">
        <x:f>HYPERLINK("#'山海经原文总库'!A3","↩ 返回目录")</x:f>
        <x:v>HYPERLINK is not implemented. linkLocation=#'山海经原文总库'!A3, friendlyName=↩ 返回目录</x:v>
      </x:c>
      <x:c r="I1465" s="384"/>
      <x:c r="J1465" s="384"/>
      <x:c r="K1465" s="384" t="str">
        <x:v>待同名检索｜待建档</x:v>
      </x:c>
    </x:row>
    <x:row r="1466" ht="52" hidden="0" customHeight="1">
      <x:c r="A1466" s="383" t="str">
        <x:v>SHJ-13-029-4</x:v>
      </x:c>
      <x:c r="B1466" s="383" t="str">
        <x:v>卷十三 《海內東經》</x:v>
      </x:c>
      <x:c r="C1466" s="384"/>
      <x:c r="D1466" s="383" t="str">
        <x:v>敦浦</x:v>
      </x:c>
      <x:c r="E1466" s="383" t="str">
        <x:v>城邑／區域</x:v>
      </x:c>
      <x:c r="F1466" s="385"/>
      <x:c r="G1466" s="384" t="str">
        <x:v>标点与分段参考《山海经校注》；正文对读：https://ctext.org/shan-hai-jing/hai-nei-dong-jing/zh</x:v>
      </x:c>
      <x:c r="H1466" s="386" t="e">
        <x:f>HYPERLINK("#'山海经原文总库'!A3","↩ 返回目录")</x:f>
        <x:v>HYPERLINK is not implemented. linkLocation=#'山海经原文总库'!A3, friendlyName=↩ 返回目录</x:v>
      </x:c>
      <x:c r="I1466" s="384"/>
      <x:c r="J1466" s="384"/>
      <x:c r="K1466" s="384" t="str">
        <x:v>待同名检索｜待建档</x:v>
      </x:c>
    </x:row>
    <x:row r="1467" ht="52" hidden="0" customHeight="1">
      <x:c r="A1467" s="383" t="str">
        <x:v>SHJ-13-030-1</x:v>
      </x:c>
      <x:c r="B1467" s="383" t="str">
        <x:v>卷十三 《海內東經》</x:v>
      </x:c>
      <x:c r="C1467" s="384" t="str">
        <x:v>洛水出上洛西山，東北注河，入成皋西。</x:v>
      </x:c>
      <x:c r="D1467" s="383" t="str">
        <x:v>洛水</x:v>
      </x:c>
      <x:c r="E1467" s="383" t="str">
        <x:v>水系／水域</x:v>
      </x:c>
      <x:c r="F1467" s="385"/>
      <x:c r="G1467" s="384" t="str">
        <x:v>标点与分段参考《山海经校注》；正文对读：https://ctext.org/shan-hai-jing/hai-nei-dong-jing/zh</x:v>
      </x:c>
      <x:c r="H1467" s="386" t="e">
        <x:f>HYPERLINK("#'山海经原文总库'!A3","↩ 返回目录")</x:f>
        <x:v>HYPERLINK is not implemented. linkLocation=#'山海经原文总库'!A3, friendlyName=↩ 返回目录</x:v>
      </x:c>
      <x:c r="I1467" s="384"/>
      <x:c r="J1467" s="384"/>
      <x:c r="K1467" s="384" t="str">
        <x:v>待同名检索｜待建档</x:v>
      </x:c>
    </x:row>
    <x:row r="1468" ht="52" hidden="0" customHeight="1">
      <x:c r="A1468" s="383" t="str">
        <x:v>SHJ-13-030-2</x:v>
      </x:c>
      <x:c r="B1468" s="383" t="str">
        <x:v>卷十三 《海內東經》</x:v>
      </x:c>
      <x:c r="C1468" s="384"/>
      <x:c r="D1468" s="383" t="str">
        <x:v>上洛西山</x:v>
      </x:c>
      <x:c r="E1468" s="383" t="str">
        <x:v>山／丘</x:v>
      </x:c>
      <x:c r="F1468" s="385"/>
      <x:c r="G1468" s="384" t="str">
        <x:v>标点与分段参考《山海经校注》；正文对读：https://ctext.org/shan-hai-jing/hai-nei-dong-jing/zh</x:v>
      </x:c>
      <x:c r="H1468" s="386" t="e">
        <x:f>HYPERLINK("#'山海经原文总库'!A3","↩ 返回目录")</x:f>
        <x:v>HYPERLINK is not implemented. linkLocation=#'山海经原文总库'!A3, friendlyName=↩ 返回目录</x:v>
      </x:c>
      <x:c r="I1468" s="384"/>
      <x:c r="J1468" s="384"/>
      <x:c r="K1468" s="384" t="str">
        <x:v>待同名检索｜待建档</x:v>
      </x:c>
    </x:row>
    <x:row r="1469" ht="52" hidden="0" customHeight="1">
      <x:c r="A1469" s="383" t="str">
        <x:v>SHJ-13-030-3</x:v>
      </x:c>
      <x:c r="B1469" s="383" t="str">
        <x:v>卷十三 《海內東經》</x:v>
      </x:c>
      <x:c r="C1469" s="384"/>
      <x:c r="D1469" s="383" t="str">
        <x:v>河</x:v>
      </x:c>
      <x:c r="E1469" s="383" t="str">
        <x:v>水系／水域</x:v>
      </x:c>
      <x:c r="F1469" s="385"/>
      <x:c r="G1469" s="384" t="str">
        <x:v>标点与分段参考《山海经校注》；正文对读：https://ctext.org/shan-hai-jing/hai-nei-dong-jing/zh</x:v>
      </x:c>
      <x:c r="H1469" s="386" t="e">
        <x:f>HYPERLINK("#'山海经原文总库'!A3","↩ 返回目录")</x:f>
        <x:v>HYPERLINK is not implemented. linkLocation=#'山海经原文总库'!A3, friendlyName=↩ 返回目录</x:v>
      </x:c>
      <x:c r="I1469" s="384"/>
      <x:c r="J1469" s="384"/>
      <x:c r="K1469" s="384" t="str">
        <x:v>待同名检索｜待建档</x:v>
      </x:c>
    </x:row>
    <x:row r="1470" ht="52" hidden="0" customHeight="1">
      <x:c r="A1470" s="383" t="str">
        <x:v>SHJ-13-030-4</x:v>
      </x:c>
      <x:c r="B1470" s="383" t="str">
        <x:v>卷十三 《海內東經》</x:v>
      </x:c>
      <x:c r="C1470" s="384"/>
      <x:c r="D1470" s="383" t="str">
        <x:v>成皋</x:v>
      </x:c>
      <x:c r="E1470" s="383" t="str">
        <x:v>地理名稱</x:v>
      </x:c>
      <x:c r="F1470" s="385"/>
      <x:c r="G1470" s="384" t="str">
        <x:v>标点与分段参考《山海经校注》；正文对读：https://ctext.org/shan-hai-jing/hai-nei-dong-jing/zh</x:v>
      </x:c>
      <x:c r="H1470" s="386" t="e">
        <x:f>HYPERLINK("#'山海经原文总库'!A3","↩ 返回目录")</x:f>
        <x:v>HYPERLINK is not implemented. linkLocation=#'山海经原文总库'!A3, friendlyName=↩ 返回目录</x:v>
      </x:c>
      <x:c r="I1470" s="384"/>
      <x:c r="J1470" s="384"/>
      <x:c r="K1470" s="384" t="str">
        <x:v>待同名检索｜待建档</x:v>
      </x:c>
    </x:row>
    <x:row r="1471" ht="52" hidden="0" customHeight="1">
      <x:c r="A1471" s="383" t="str">
        <x:v>SHJ-13-031-1</x:v>
      </x:c>
      <x:c r="B1471" s="383" t="str">
        <x:v>卷十三 《海內東經》</x:v>
      </x:c>
      <x:c r="C1471" s="384" t="str">
        <x:v>汾水出上窳北，而西南注河，入皮氏南。沁水出井陘山東，東南注河，入懷東南。</x:v>
      </x:c>
      <x:c r="D1471" s="383" t="str">
        <x:v>汾水</x:v>
      </x:c>
      <x:c r="E1471" s="383" t="str">
        <x:v>水系／水域</x:v>
      </x:c>
      <x:c r="F1471" s="385"/>
      <x:c r="G1471" s="384" t="str">
        <x:v>标点与分段参考《山海经校注》；正文对读：https://ctext.org/shan-hai-jing/hai-nei-dong-jing/zh</x:v>
      </x:c>
      <x:c r="H1471" s="386" t="e">
        <x:f>HYPERLINK("#'山海经原文总库'!A3","↩ 返回目录")</x:f>
        <x:v>HYPERLINK is not implemented. linkLocation=#'山海经原文总库'!A3, friendlyName=↩ 返回目录</x:v>
      </x:c>
      <x:c r="I1471" s="384"/>
      <x:c r="J1471" s="384"/>
      <x:c r="K1471" s="384" t="str">
        <x:v>待同名检索｜待建档</x:v>
      </x:c>
    </x:row>
    <x:row r="1472" ht="52" hidden="0" customHeight="1">
      <x:c r="A1472" s="383" t="str">
        <x:v>SHJ-13-031-2</x:v>
      </x:c>
      <x:c r="B1472" s="383" t="str">
        <x:v>卷十三 《海內東經》</x:v>
      </x:c>
      <x:c r="C1472" s="384"/>
      <x:c r="D1472" s="383" t="str">
        <x:v>上窳</x:v>
      </x:c>
      <x:c r="E1472" s="383" t="str">
        <x:v>地理名稱</x:v>
      </x:c>
      <x:c r="F1472" s="385"/>
      <x:c r="G1472" s="384" t="str">
        <x:v>标点与分段参考《山海经校注》；正文对读：https://ctext.org/shan-hai-jing/hai-nei-dong-jing/zh</x:v>
      </x:c>
      <x:c r="H1472" s="386" t="e">
        <x:f>HYPERLINK("#'山海经原文总库'!A3","↩ 返回目录")</x:f>
        <x:v>HYPERLINK is not implemented. linkLocation=#'山海经原文总库'!A3, friendlyName=↩ 返回目录</x:v>
      </x:c>
      <x:c r="I1472" s="384"/>
      <x:c r="J1472" s="384"/>
      <x:c r="K1472" s="384" t="str">
        <x:v>待同名检索｜待建档</x:v>
      </x:c>
    </x:row>
    <x:row r="1473" ht="52" hidden="0" customHeight="1">
      <x:c r="A1473" s="391" t="str">
        <x:v>SHJ-13-031-3</x:v>
      </x:c>
      <x:c r="B1473" s="391" t="str">
        <x:v>卷十三 《海內東經》</x:v>
      </x:c>
      <x:c r="C1473" s="392"/>
      <x:c r="D1473" s="391" t="str">
        <x:v>河</x:v>
      </x:c>
      <x:c r="E1473" s="391" t="str">
        <x:v>水系／水域</x:v>
      </x:c>
      <x:c r="F1473" s="393"/>
      <x:c r="G1473" s="392" t="str">
        <x:v>标点与分段参考《山海经校注》；正文对读：https://ctext.org/shan-hai-jing/hai-nei-dong-jing/zh</x:v>
      </x:c>
      <x:c r="H1473" s="394" t="e">
        <x:f>HYPERLINK("#'山海经原文总库'!A3","↩ 返回目录")</x:f>
        <x:v>HYPERLINK is not implemented. linkLocation=#'山海经原文总库'!A3, friendlyName=↩ 返回目录</x:v>
      </x:c>
      <x:c r="I1473" s="392"/>
      <x:c r="J1473" s="392"/>
      <x:c r="K1473" s="392" t="str">
        <x:v>待同名检索｜待建档</x:v>
      </x:c>
    </x:row>
    <x:row r="1474" ht="52" hidden="0" customHeight="1">
      <x:c r="A1474" s="391" t="str">
        <x:v>SHJ-13-031-4</x:v>
      </x:c>
      <x:c r="B1474" s="391" t="str">
        <x:v>卷十三 《海內東經》</x:v>
      </x:c>
      <x:c r="C1474" s="392"/>
      <x:c r="D1474" s="391" t="str">
        <x:v>皮氏</x:v>
      </x:c>
      <x:c r="E1474" s="391" t="str">
        <x:v>國家／族群</x:v>
      </x:c>
      <x:c r="F1474" s="393"/>
      <x:c r="G1474" s="392" t="str">
        <x:v>标点与分段参考《山海经校注》；正文对读：https://ctext.org/shan-hai-jing/hai-nei-dong-jing/zh</x:v>
      </x:c>
      <x:c r="H1474" s="394" t="e">
        <x:f>HYPERLINK("#'山海经原文总库'!A3","↩ 返回目录")</x:f>
        <x:v>HYPERLINK is not implemented. linkLocation=#'山海经原文总库'!A3, friendlyName=↩ 返回目录</x:v>
      </x:c>
      <x:c r="I1474" s="392"/>
      <x:c r="J1474" s="392"/>
      <x:c r="K1474" s="392" t="str">
        <x:v>待同名检索｜待建档</x:v>
      </x:c>
    </x:row>
    <x:row r="1475" ht="52" hidden="0" customHeight="1">
      <x:c r="A1475" s="391" t="str">
        <x:v>SHJ-13-031-5</x:v>
      </x:c>
      <x:c r="B1475" s="391" t="str">
        <x:v>卷十三 《海內東經》</x:v>
      </x:c>
      <x:c r="C1475" s="392"/>
      <x:c r="D1475" s="391" t="str">
        <x:v>沁水</x:v>
      </x:c>
      <x:c r="E1475" s="391" t="str">
        <x:v>水系／水域</x:v>
      </x:c>
      <x:c r="F1475" s="393"/>
      <x:c r="G1475" s="392" t="str">
        <x:v>标点与分段参考《山海经校注》；正文对读：https://ctext.org/shan-hai-jing/hai-nei-dong-jing/zh</x:v>
      </x:c>
      <x:c r="H1475" s="394" t="e">
        <x:f>HYPERLINK("#'山海经原文总库'!A3","↩ 返回目录")</x:f>
        <x:v>HYPERLINK is not implemented. linkLocation=#'山海经原文总库'!A3, friendlyName=↩ 返回目录</x:v>
      </x:c>
      <x:c r="I1475" s="392"/>
      <x:c r="J1475" s="392"/>
      <x:c r="K1475" s="392" t="str">
        <x:v>待同名检索｜待建档</x:v>
      </x:c>
    </x:row>
    <x:row r="1476" ht="52" hidden="0" customHeight="1">
      <x:c r="A1476" s="391" t="str">
        <x:v>SHJ-13-031-6</x:v>
      </x:c>
      <x:c r="B1476" s="391" t="str">
        <x:v>卷十三 《海內東經》</x:v>
      </x:c>
      <x:c r="C1476" s="392"/>
      <x:c r="D1476" s="391" t="str">
        <x:v>井陘山</x:v>
      </x:c>
      <x:c r="E1476" s="391" t="str">
        <x:v>山／丘</x:v>
      </x:c>
      <x:c r="F1476" s="393"/>
      <x:c r="G1476" s="392" t="str">
        <x:v>标点与分段参考《山海经校注》；正文对读：https://ctext.org/shan-hai-jing/hai-nei-dong-jing/zh</x:v>
      </x:c>
      <x:c r="H1476" s="394" t="e">
        <x:f>HYPERLINK("#'山海经原文总库'!A3","↩ 返回目录")</x:f>
        <x:v>HYPERLINK is not implemented. linkLocation=#'山海经原文总库'!A3, friendlyName=↩ 返回目录</x:v>
      </x:c>
      <x:c r="I1476" s="392"/>
      <x:c r="J1476" s="392"/>
      <x:c r="K1476" s="392" t="str">
        <x:v>待同名检索｜待建档</x:v>
      </x:c>
    </x:row>
    <x:row r="1477" ht="52" hidden="0" customHeight="1">
      <x:c r="A1477" s="391" t="str">
        <x:v>SHJ-13-031-7</x:v>
      </x:c>
      <x:c r="B1477" s="391" t="str">
        <x:v>卷十三 《海內東經》</x:v>
      </x:c>
      <x:c r="C1477" s="392"/>
      <x:c r="D1477" s="391" t="str">
        <x:v>懷</x:v>
      </x:c>
      <x:c r="E1477" s="391" t="str">
        <x:v>地理名稱</x:v>
      </x:c>
      <x:c r="F1477" s="393"/>
      <x:c r="G1477" s="392" t="str">
        <x:v>标点与分段参考《山海经校注》；正文对读：https://ctext.org/shan-hai-jing/hai-nei-dong-jing/zh</x:v>
      </x:c>
      <x:c r="H1477" s="394" t="e">
        <x:f>HYPERLINK("#'山海经原文总库'!A3","↩ 返回目录")</x:f>
        <x:v>HYPERLINK is not implemented. linkLocation=#'山海经原文总库'!A3, friendlyName=↩ 返回目录</x:v>
      </x:c>
      <x:c r="I1477" s="392"/>
      <x:c r="J1477" s="392"/>
      <x:c r="K1477" s="392" t="str">
        <x:v>待同名检索｜待建档</x:v>
      </x:c>
    </x:row>
    <x:row r="1478" ht="52" hidden="0" customHeight="1">
      <x:c r="A1478" s="391" t="str">
        <x:v>SHJ-13-032-1</x:v>
      </x:c>
      <x:c r="B1478" s="391" t="str">
        <x:v>卷十三 《海內東經》</x:v>
      </x:c>
      <x:c r="C1478" s="392" t="str">
        <x:v>濟水出共山南東丘，絕鉅鹿澤，注渤海，入齊琅槐東北。</x:v>
      </x:c>
      <x:c r="D1478" s="391" t="str">
        <x:v>濟水</x:v>
      </x:c>
      <x:c r="E1478" s="391" t="str">
        <x:v>水系／水域</x:v>
      </x:c>
      <x:c r="F1478" s="393"/>
      <x:c r="G1478" s="392" t="str">
        <x:v>标点与分段参考《山海经校注》；正文对读：https://ctext.org/shan-hai-jing/hai-nei-dong-jing/zh</x:v>
      </x:c>
      <x:c r="H1478" s="394" t="e">
        <x:f>HYPERLINK("#'山海经原文总库'!A3","↩ 返回目录")</x:f>
        <x:v>HYPERLINK is not implemented. linkLocation=#'山海经原文总库'!A3, friendlyName=↩ 返回目录</x:v>
      </x:c>
      <x:c r="I1478" s="392"/>
      <x:c r="J1478" s="392"/>
      <x:c r="K1478" s="392" t="str">
        <x:v>待同名检索｜待建档</x:v>
      </x:c>
    </x:row>
    <x:row r="1479" ht="52" hidden="0" customHeight="1">
      <x:c r="A1479" s="391" t="str">
        <x:v>SHJ-13-032-2</x:v>
      </x:c>
      <x:c r="B1479" s="391" t="str">
        <x:v>卷十三 《海內東經》</x:v>
      </x:c>
      <x:c r="C1479" s="392"/>
      <x:c r="D1479" s="391" t="str">
        <x:v>共山南東丘</x:v>
      </x:c>
      <x:c r="E1479" s="391" t="str">
        <x:v>山／丘</x:v>
      </x:c>
      <x:c r="F1479" s="393"/>
      <x:c r="G1479" s="392" t="str">
        <x:v>标点与分段参考《山海经校注》；正文对读：https://ctext.org/shan-hai-jing/hai-nei-dong-jing/zh</x:v>
      </x:c>
      <x:c r="H1479" s="394" t="e">
        <x:f>HYPERLINK("#'山海经原文总库'!A3","↩ 返回目录")</x:f>
        <x:v>HYPERLINK is not implemented. linkLocation=#'山海经原文总库'!A3, friendlyName=↩ 返回目录</x:v>
      </x:c>
      <x:c r="I1479" s="392"/>
      <x:c r="J1479" s="392"/>
      <x:c r="K1479" s="392" t="str">
        <x:v>待同名检索｜待建档</x:v>
      </x:c>
    </x:row>
    <x:row r="1480" ht="52" hidden="0" customHeight="1">
      <x:c r="A1480" s="391" t="str">
        <x:v>SHJ-13-032-3</x:v>
      </x:c>
      <x:c r="B1480" s="391" t="str">
        <x:v>卷十三 《海內東經》</x:v>
      </x:c>
      <x:c r="C1480" s="392"/>
      <x:c r="D1480" s="391" t="str">
        <x:v>鉅鹿澤</x:v>
      </x:c>
      <x:c r="E1480" s="391" t="str">
        <x:v>水系／水域</x:v>
      </x:c>
      <x:c r="F1480" s="393"/>
      <x:c r="G1480" s="392" t="str">
        <x:v>标点与分段参考《山海经校注》；正文对读：https://ctext.org/shan-hai-jing/hai-nei-dong-jing/zh</x:v>
      </x:c>
      <x:c r="H1480" s="394" t="e">
        <x:f>HYPERLINK("#'山海经原文总库'!A3","↩ 返回目录")</x:f>
        <x:v>HYPERLINK is not implemented. linkLocation=#'山海经原文总库'!A3, friendlyName=↩ 返回目录</x:v>
      </x:c>
      <x:c r="I1480" s="392"/>
      <x:c r="J1480" s="392"/>
      <x:c r="K1480" s="392" t="str">
        <x:v>待同名检索｜待建档</x:v>
      </x:c>
    </x:row>
    <x:row r="1481" ht="52" hidden="0" customHeight="1">
      <x:c r="A1481" s="391" t="str">
        <x:v>SHJ-13-032-4</x:v>
      </x:c>
      <x:c r="B1481" s="391" t="str">
        <x:v>卷十三 《海內東經》</x:v>
      </x:c>
      <x:c r="C1481" s="392"/>
      <x:c r="D1481" s="391" t="str">
        <x:v>渤海</x:v>
      </x:c>
      <x:c r="E1481" s="391" t="str">
        <x:v>水系／水域</x:v>
      </x:c>
      <x:c r="F1481" s="393"/>
      <x:c r="G1481" s="392" t="str">
        <x:v>标点与分段参考《山海经校注》；正文对读：https://ctext.org/shan-hai-jing/hai-nei-dong-jing/zh</x:v>
      </x:c>
      <x:c r="H1481" s="394" t="e">
        <x:f>HYPERLINK("#'山海经原文总库'!A3","↩ 返回目录")</x:f>
        <x:v>HYPERLINK is not implemented. linkLocation=#'山海经原文总库'!A3, friendlyName=↩ 返回目录</x:v>
      </x:c>
      <x:c r="I1481" s="392"/>
      <x:c r="J1481" s="392"/>
      <x:c r="K1481" s="392" t="str">
        <x:v>待同名检索｜待建档</x:v>
      </x:c>
    </x:row>
    <x:row r="1482" ht="52" hidden="0" customHeight="1">
      <x:c r="A1482" s="391" t="str">
        <x:v>SHJ-13-032-5</x:v>
      </x:c>
      <x:c r="B1482" s="391" t="str">
        <x:v>卷十三 《海內東經》</x:v>
      </x:c>
      <x:c r="C1482" s="392"/>
      <x:c r="D1482" s="391" t="str">
        <x:v>齊琅槐</x:v>
      </x:c>
      <x:c r="E1482" s="391" t="str">
        <x:v>地理名稱</x:v>
      </x:c>
      <x:c r="F1482" s="393"/>
      <x:c r="G1482" s="392" t="str">
        <x:v>标点与分段参考《山海经校注》；正文对读：https://ctext.org/shan-hai-jing/hai-nei-dong-jing/zh</x:v>
      </x:c>
      <x:c r="H1482" s="394" t="e">
        <x:f>HYPERLINK("#'山海经原文总库'!A3","↩ 返回目录")</x:f>
        <x:v>HYPERLINK is not implemented. linkLocation=#'山海经原文总库'!A3, friendlyName=↩ 返回目录</x:v>
      </x:c>
      <x:c r="I1482" s="392"/>
      <x:c r="J1482" s="392"/>
      <x:c r="K1482" s="392" t="str">
        <x:v>待同名检索｜待建档</x:v>
      </x:c>
    </x:row>
    <x:row r="1483" ht="52" hidden="0" customHeight="1">
      <x:c r="A1483" s="391" t="str">
        <x:v>SHJ-13-033-1</x:v>
      </x:c>
      <x:c r="B1483" s="391" t="str">
        <x:v>卷十三 《海內東經》</x:v>
      </x:c>
      <x:c r="C1483" s="392" t="str">
        <x:v>潦水出衛皋東，東南注渤海，入潦陽。</x:v>
      </x:c>
      <x:c r="D1483" s="391" t="str">
        <x:v>潦水</x:v>
      </x:c>
      <x:c r="E1483" s="391" t="str">
        <x:v>水系／水域</x:v>
      </x:c>
      <x:c r="F1483" s="393"/>
      <x:c r="G1483" s="392" t="str">
        <x:v>标点与分段参考《山海经校注》；正文对读：https://ctext.org/shan-hai-jing/hai-nei-dong-jing/zh</x:v>
      </x:c>
      <x:c r="H1483" s="394" t="e">
        <x:f>HYPERLINK("#'山海经原文总库'!A3","↩ 返回目录")</x:f>
        <x:v>HYPERLINK is not implemented. linkLocation=#'山海经原文总库'!A3, friendlyName=↩ 返回目录</x:v>
      </x:c>
      <x:c r="I1483" s="392"/>
      <x:c r="J1483" s="392"/>
      <x:c r="K1483" s="392" t="str">
        <x:v>待同名检索｜待建档</x:v>
      </x:c>
    </x:row>
    <x:row r="1484" ht="52" hidden="0" customHeight="1">
      <x:c r="A1484" s="391" t="str">
        <x:v>SHJ-13-033-2</x:v>
      </x:c>
      <x:c r="B1484" s="391" t="str">
        <x:v>卷十三 《海內東經》</x:v>
      </x:c>
      <x:c r="C1484" s="392"/>
      <x:c r="D1484" s="391" t="str">
        <x:v>衛皋</x:v>
      </x:c>
      <x:c r="E1484" s="391" t="str">
        <x:v>地理名稱</x:v>
      </x:c>
      <x:c r="F1484" s="393"/>
      <x:c r="G1484" s="392" t="str">
        <x:v>标点与分段参考《山海经校注》；正文对读：https://ctext.org/shan-hai-jing/hai-nei-dong-jing/zh</x:v>
      </x:c>
      <x:c r="H1484" s="394" t="e">
        <x:f>HYPERLINK("#'山海经原文总库'!A3","↩ 返回目录")</x:f>
        <x:v>HYPERLINK is not implemented. linkLocation=#'山海经原文总库'!A3, friendlyName=↩ 返回目录</x:v>
      </x:c>
      <x:c r="I1484" s="392"/>
      <x:c r="J1484" s="392"/>
      <x:c r="K1484" s="392" t="str">
        <x:v>待同名检索｜待建档</x:v>
      </x:c>
    </x:row>
    <x:row r="1485" ht="52" hidden="0" customHeight="1">
      <x:c r="A1485" s="391" t="str">
        <x:v>SHJ-13-033-3</x:v>
      </x:c>
      <x:c r="B1485" s="391" t="str">
        <x:v>卷十三 《海內東經》</x:v>
      </x:c>
      <x:c r="C1485" s="392"/>
      <x:c r="D1485" s="391" t="str">
        <x:v>渤海</x:v>
      </x:c>
      <x:c r="E1485" s="391" t="str">
        <x:v>水系／水域</x:v>
      </x:c>
      <x:c r="F1485" s="393"/>
      <x:c r="G1485" s="392" t="str">
        <x:v>标点与分段参考《山海经校注》；正文对读：https://ctext.org/shan-hai-jing/hai-nei-dong-jing/zh</x:v>
      </x:c>
      <x:c r="H1485" s="394" t="e">
        <x:f>HYPERLINK("#'山海经原文总库'!A3","↩ 返回目录")</x:f>
        <x:v>HYPERLINK is not implemented. linkLocation=#'山海经原文总库'!A3, friendlyName=↩ 返回目录</x:v>
      </x:c>
      <x:c r="I1485" s="392"/>
      <x:c r="J1485" s="392"/>
      <x:c r="K1485" s="392" t="str">
        <x:v>待同名检索｜待建档</x:v>
      </x:c>
    </x:row>
    <x:row r="1486" ht="52" hidden="0" customHeight="1">
      <x:c r="A1486" s="391" t="str">
        <x:v>SHJ-13-033-4</x:v>
      </x:c>
      <x:c r="B1486" s="391" t="str">
        <x:v>卷十三 《海內東經》</x:v>
      </x:c>
      <x:c r="C1486" s="392"/>
      <x:c r="D1486" s="391" t="str">
        <x:v>潦陽</x:v>
      </x:c>
      <x:c r="E1486" s="391" t="str">
        <x:v>地理名稱</x:v>
      </x:c>
      <x:c r="F1486" s="393"/>
      <x:c r="G1486" s="392" t="str">
        <x:v>标点与分段参考《山海经校注》；正文对读：https://ctext.org/shan-hai-jing/hai-nei-dong-jing/zh</x:v>
      </x:c>
      <x:c r="H1486" s="394" t="e">
        <x:f>HYPERLINK("#'山海经原文总库'!A3","↩ 返回目录")</x:f>
        <x:v>HYPERLINK is not implemented. linkLocation=#'山海经原文总库'!A3, friendlyName=↩ 返回目录</x:v>
      </x:c>
      <x:c r="I1486" s="392"/>
      <x:c r="J1486" s="392"/>
      <x:c r="K1486" s="392" t="str">
        <x:v>待同名检索｜待建档</x:v>
      </x:c>
    </x:row>
    <x:row r="1487" ht="52" hidden="0" customHeight="1">
      <x:c r="A1487" s="391" t="str">
        <x:v>SHJ-13-034-1</x:v>
      </x:c>
      <x:c r="B1487" s="391" t="str">
        <x:v>卷十三 《海內東經》</x:v>
      </x:c>
      <x:c r="C1487" s="392" t="str">
        <x:v>虖沱水出晉陽城南，而西至陽曲北，而東注渤海，入章武北。</x:v>
      </x:c>
      <x:c r="D1487" s="391" t="str">
        <x:v>虖沱水</x:v>
      </x:c>
      <x:c r="E1487" s="391" t="str">
        <x:v>水系／水域</x:v>
      </x:c>
      <x:c r="F1487" s="393"/>
      <x:c r="G1487" s="392" t="str">
        <x:v>标点与分段参考《山海经校注》；正文对读：https://ctext.org/shan-hai-jing/hai-nei-dong-jing/zh</x:v>
      </x:c>
      <x:c r="H1487" s="394" t="e">
        <x:f>HYPERLINK("#'山海经原文总库'!A3","↩ 返回目录")</x:f>
        <x:v>HYPERLINK is not implemented. linkLocation=#'山海经原文总库'!A3, friendlyName=↩ 返回目录</x:v>
      </x:c>
      <x:c r="I1487" s="392"/>
      <x:c r="J1487" s="392"/>
      <x:c r="K1487" s="392" t="str">
        <x:v>待同名检索｜待建档</x:v>
      </x:c>
    </x:row>
    <x:row r="1488" ht="52" hidden="0" customHeight="1">
      <x:c r="A1488" s="391" t="str">
        <x:v>SHJ-13-034-2</x:v>
      </x:c>
      <x:c r="B1488" s="391" t="str">
        <x:v>卷十三 《海內東經》</x:v>
      </x:c>
      <x:c r="C1488" s="392"/>
      <x:c r="D1488" s="391" t="str">
        <x:v>晉陽城</x:v>
      </x:c>
      <x:c r="E1488" s="391" t="str">
        <x:v>城邑／區域</x:v>
      </x:c>
      <x:c r="F1488" s="393"/>
      <x:c r="G1488" s="392" t="str">
        <x:v>标点与分段参考《山海经校注》；正文对读：https://ctext.org/shan-hai-jing/hai-nei-dong-jing/zh</x:v>
      </x:c>
      <x:c r="H1488" s="394" t="e">
        <x:f>HYPERLINK("#'山海经原文总库'!A3","↩ 返回目录")</x:f>
        <x:v>HYPERLINK is not implemented. linkLocation=#'山海经原文总库'!A3, friendlyName=↩ 返回目录</x:v>
      </x:c>
      <x:c r="I1488" s="392"/>
      <x:c r="J1488" s="392"/>
      <x:c r="K1488" s="392" t="str">
        <x:v>待同名检索｜待建档</x:v>
      </x:c>
    </x:row>
    <x:row r="1489" ht="52" hidden="0" customHeight="1">
      <x:c r="A1489" s="391" t="str">
        <x:v>SHJ-13-034-3</x:v>
      </x:c>
      <x:c r="B1489" s="391" t="str">
        <x:v>卷十三 《海內東經》</x:v>
      </x:c>
      <x:c r="C1489" s="392"/>
      <x:c r="D1489" s="391" t="str">
        <x:v>陽曲</x:v>
      </x:c>
      <x:c r="E1489" s="391" t="str">
        <x:v>地理名稱</x:v>
      </x:c>
      <x:c r="F1489" s="393"/>
      <x:c r="G1489" s="392" t="str">
        <x:v>标点与分段参考《山海经校注》；正文对读：https://ctext.org/shan-hai-jing/hai-nei-dong-jing/zh</x:v>
      </x:c>
      <x:c r="H1489" s="394" t="e">
        <x:f>HYPERLINK("#'山海经原文总库'!A3","↩ 返回目录")</x:f>
        <x:v>HYPERLINK is not implemented. linkLocation=#'山海经原文总库'!A3, friendlyName=↩ 返回目录</x:v>
      </x:c>
      <x:c r="I1489" s="392"/>
      <x:c r="J1489" s="392"/>
      <x:c r="K1489" s="392" t="str">
        <x:v>待同名检索｜待建档</x:v>
      </x:c>
    </x:row>
    <x:row r="1490" ht="52" hidden="0" customHeight="1">
      <x:c r="A1490" s="391" t="str">
        <x:v>SHJ-13-034-4</x:v>
      </x:c>
      <x:c r="B1490" s="391" t="str">
        <x:v>卷十三 《海內東經》</x:v>
      </x:c>
      <x:c r="C1490" s="392"/>
      <x:c r="D1490" s="391" t="str">
        <x:v>渤海</x:v>
      </x:c>
      <x:c r="E1490" s="391" t="str">
        <x:v>水系／水域</x:v>
      </x:c>
      <x:c r="F1490" s="393"/>
      <x:c r="G1490" s="392" t="str">
        <x:v>标点与分段参考《山海经校注》；正文对读：https://ctext.org/shan-hai-jing/hai-nei-dong-jing/zh</x:v>
      </x:c>
      <x:c r="H1490" s="394" t="e">
        <x:f>HYPERLINK("#'山海经原文总库'!A3","↩ 返回目录")</x:f>
        <x:v>HYPERLINK is not implemented. linkLocation=#'山海经原文总库'!A3, friendlyName=↩ 返回目录</x:v>
      </x:c>
      <x:c r="I1490" s="392"/>
      <x:c r="J1490" s="392"/>
      <x:c r="K1490" s="392" t="str">
        <x:v>待同名检索｜待建档</x:v>
      </x:c>
    </x:row>
    <x:row r="1491" ht="52" hidden="0" customHeight="1">
      <x:c r="A1491" s="391" t="str">
        <x:v>SHJ-13-034-5</x:v>
      </x:c>
      <x:c r="B1491" s="391" t="str">
        <x:v>卷十三 《海內東經》</x:v>
      </x:c>
      <x:c r="C1491" s="392"/>
      <x:c r="D1491" s="391" t="str">
        <x:v>章武</x:v>
      </x:c>
      <x:c r="E1491" s="391" t="str">
        <x:v>地理名稱</x:v>
      </x:c>
      <x:c r="F1491" s="393"/>
      <x:c r="G1491" s="392" t="str">
        <x:v>标点与分段参考《山海经校注》；正文对读：https://ctext.org/shan-hai-jing/hai-nei-dong-jing/zh</x:v>
      </x:c>
      <x:c r="H1491" s="394" t="e">
        <x:f>HYPERLINK("#'山海经原文总库'!A3","↩ 返回目录")</x:f>
        <x:v>HYPERLINK is not implemented. linkLocation=#'山海经原文总库'!A3, friendlyName=↩ 返回目录</x:v>
      </x:c>
      <x:c r="I1491" s="392"/>
      <x:c r="J1491" s="392"/>
      <x:c r="K1491" s="392" t="str">
        <x:v>待同名检索｜待建档</x:v>
      </x:c>
    </x:row>
    <x:row r="1492" ht="52" hidden="0" customHeight="1">
      <x:c r="A1492" s="391" t="str">
        <x:v>SHJ-13-035-1</x:v>
      </x:c>
      <x:c r="B1492" s="391" t="str">
        <x:v>卷十三 《海內東經》</x:v>
      </x:c>
      <x:c r="C1492" s="392" t="str">
        <x:v>漳水出山陽東，東注渤海，入章武南。</x:v>
      </x:c>
      <x:c r="D1492" s="391" t="str">
        <x:v>漳水</x:v>
      </x:c>
      <x:c r="E1492" s="391" t="str">
        <x:v>水系／水域</x:v>
      </x:c>
      <x:c r="F1492" s="393"/>
      <x:c r="G1492" s="392" t="str">
        <x:v>标点与分段参考《山海经校注》；正文对读：https://ctext.org/shan-hai-jing/hai-nei-dong-jing/zh</x:v>
      </x:c>
      <x:c r="H1492" s="394" t="e">
        <x:f>HYPERLINK("#'山海经原文总库'!A3","↩ 返回目录")</x:f>
        <x:v>HYPERLINK is not implemented. linkLocation=#'山海经原文总库'!A3, friendlyName=↩ 返回目录</x:v>
      </x:c>
      <x:c r="I1492" s="392"/>
      <x:c r="J1492" s="392"/>
      <x:c r="K1492" s="392" t="str">
        <x:v>待同名检索｜待建档</x:v>
      </x:c>
    </x:row>
    <x:row r="1493" ht="52" hidden="0" customHeight="1">
      <x:c r="A1493" s="391" t="str">
        <x:v>SHJ-13-035-2</x:v>
      </x:c>
      <x:c r="B1493" s="391" t="str">
        <x:v>卷十三 《海內東經》</x:v>
      </x:c>
      <x:c r="C1493" s="392"/>
      <x:c r="D1493" s="391" t="str">
        <x:v>山陽</x:v>
      </x:c>
      <x:c r="E1493" s="391" t="str">
        <x:v>山／丘</x:v>
      </x:c>
      <x:c r="F1493" s="393"/>
      <x:c r="G1493" s="392" t="str">
        <x:v>标点与分段参考《山海经校注》；正文对读：https://ctext.org/shan-hai-jing/hai-nei-dong-jing/zh</x:v>
      </x:c>
      <x:c r="H1493" s="394" t="e">
        <x:f>HYPERLINK("#'山海经原文总库'!A3","↩ 返回目录")</x:f>
        <x:v>HYPERLINK is not implemented. linkLocation=#'山海经原文总库'!A3, friendlyName=↩ 返回目录</x:v>
      </x:c>
      <x:c r="I1493" s="392"/>
      <x:c r="J1493" s="392"/>
      <x:c r="K1493" s="392" t="str">
        <x:v>待同名检索｜待建档</x:v>
      </x:c>
    </x:row>
    <x:row r="1494" ht="52" hidden="0" customHeight="1">
      <x:c r="A1494" s="391" t="str">
        <x:v>SHJ-13-035-3</x:v>
      </x:c>
      <x:c r="B1494" s="391" t="str">
        <x:v>卷十三 《海內東經》</x:v>
      </x:c>
      <x:c r="C1494" s="392"/>
      <x:c r="D1494" s="391" t="str">
        <x:v>渤海</x:v>
      </x:c>
      <x:c r="E1494" s="391" t="str">
        <x:v>水系／水域</x:v>
      </x:c>
      <x:c r="F1494" s="393"/>
      <x:c r="G1494" s="392" t="str">
        <x:v>标点与分段参考《山海经校注》；正文对读：https://ctext.org/shan-hai-jing/hai-nei-dong-jing/zh</x:v>
      </x:c>
      <x:c r="H1494" s="394" t="e">
        <x:f>HYPERLINK("#'山海经原文总库'!A3","↩ 返回目录")</x:f>
        <x:v>HYPERLINK is not implemented. linkLocation=#'山海经原文总库'!A3, friendlyName=↩ 返回目录</x:v>
      </x:c>
      <x:c r="I1494" s="392"/>
      <x:c r="J1494" s="392"/>
      <x:c r="K1494" s="392" t="str">
        <x:v>待同名检索｜待建档</x:v>
      </x:c>
    </x:row>
    <x:row r="1495" ht="52" hidden="0" customHeight="1">
      <x:c r="A1495" s="391" t="str">
        <x:v>SHJ-13-035-4</x:v>
      </x:c>
      <x:c r="B1495" s="391" t="str">
        <x:v>卷十三 《海內東經》</x:v>
      </x:c>
      <x:c r="C1495" s="392"/>
      <x:c r="D1495" s="391" t="str">
        <x:v>章武</x:v>
      </x:c>
      <x:c r="E1495" s="391" t="str">
        <x:v>地理名稱</x:v>
      </x:c>
      <x:c r="F1495" s="393"/>
      <x:c r="G1495" s="392" t="str">
        <x:v>标点与分段参考《山海经校注》；正文对读：https://ctext.org/shan-hai-jing/hai-nei-dong-jing/zh</x:v>
      </x:c>
      <x:c r="H1495" s="394" t="e">
        <x:f>HYPERLINK("#'山海经原文总库'!A3","↩ 返回目录")</x:f>
        <x:v>HYPERLINK is not implemented. linkLocation=#'山海经原文总库'!A3, friendlyName=↩ 返回目录</x:v>
      </x:c>
      <x:c r="I1495" s="392"/>
      <x:c r="J1495" s="392"/>
      <x:c r="K1495" s="392" t="str">
        <x:v>待同名检索｜待建档</x:v>
      </x:c>
    </x:row>
    <x:row r="1496" ht="52" hidden="0" customHeight="1">
      <x:c r="A1496" s="391" t="str">
        <x:v>SHJ-14-001-1</x:v>
      </x:c>
      <x:c r="B1496" s="391" t="str">
        <x:v>卷十四 《大荒東經》</x:v>
      </x:c>
      <x:c r="C1496" s="392" t="str">
        <x:v>東海之外大壑，少昊之國。少昊孺帝顓頊於此，棄其琴瑟。有甘山者，甘水出焉，生甘淵。</x:v>
      </x:c>
      <x:c r="D1496" s="391" t="str">
        <x:v>東海之外大壑</x:v>
      </x:c>
      <x:c r="E1496" s="391" t="str">
        <x:v>區域</x:v>
      </x:c>
      <x:c r="F1496" s="393"/>
      <x:c r="G1496" s="392" t="str">
        <x:v>标点与分段参考《山海经校注》；正文对读：https://ctext.org/shan-hai-jing/da-huang-dong-jing/zh</x:v>
      </x:c>
      <x:c r="H1496" s="394" t="e">
        <x:f>HYPERLINK("#'山海经原文总库'!A3","↩ 返回目录")</x:f>
        <x:v>HYPERLINK is not implemented. linkLocation=#'山海经原文总库'!A3, friendlyName=↩ 返回目录</x:v>
      </x:c>
      <x:c r="I1496" s="392"/>
      <x:c r="J1496" s="392"/>
      <x:c r="K1496" s="392" t="str">
        <x:v>待同名检索｜待建档</x:v>
      </x:c>
    </x:row>
    <x:row r="1497" ht="52" hidden="0" customHeight="1">
      <x:c r="A1497" s="391" t="str">
        <x:v>SHJ-14-001-2</x:v>
      </x:c>
      <x:c r="B1497" s="391" t="str">
        <x:v>卷十四 《大荒東經》</x:v>
      </x:c>
      <x:c r="C1497" s="392"/>
      <x:c r="D1497" s="391" t="str">
        <x:v>少昊之國</x:v>
      </x:c>
      <x:c r="E1497" s="391" t="str">
        <x:v>國家／族群</x:v>
      </x:c>
      <x:c r="F1497" s="393"/>
      <x:c r="G1497" s="392" t="str">
        <x:v>标点与分段参考《山海经校注》；正文对读：https://ctext.org/shan-hai-jing/da-huang-dong-jing/zh</x:v>
      </x:c>
      <x:c r="H1497" s="394" t="e">
        <x:f>HYPERLINK("#'山海经原文总库'!A3","↩ 返回目录")</x:f>
        <x:v>HYPERLINK is not implemented. linkLocation=#'山海经原文总库'!A3, friendlyName=↩ 返回目录</x:v>
      </x:c>
      <x:c r="I1497" s="392"/>
      <x:c r="J1497" s="392"/>
      <x:c r="K1497" s="392" t="str">
        <x:v>待同名检索｜待建档</x:v>
      </x:c>
    </x:row>
    <x:row r="1498" ht="52" hidden="0" customHeight="1">
      <x:c r="A1498" s="391" t="str">
        <x:v>SHJ-14-001-3</x:v>
      </x:c>
      <x:c r="B1498" s="391" t="str">
        <x:v>卷十四 《大荒東經》</x:v>
      </x:c>
      <x:c r="C1498" s="392"/>
      <x:c r="D1498" s="391" t="str">
        <x:v>甘山</x:v>
      </x:c>
      <x:c r="E1498" s="391" t="str">
        <x:v>山／丘</x:v>
      </x:c>
      <x:c r="F1498" s="393"/>
      <x:c r="G1498" s="392" t="str">
        <x:v>标点与分段参考《山海经校注》；正文对读：https://ctext.org/shan-hai-jing/da-huang-dong-jing/zh</x:v>
      </x:c>
      <x:c r="H1498" s="394" t="e">
        <x:f>HYPERLINK("#'山海经原文总库'!A3","↩ 返回目录")</x:f>
        <x:v>HYPERLINK is not implemented. linkLocation=#'山海经原文总库'!A3, friendlyName=↩ 返回目录</x:v>
      </x:c>
      <x:c r="I1498" s="392"/>
      <x:c r="J1498" s="392"/>
      <x:c r="K1498" s="392" t="str">
        <x:v>待同名检索｜待建档</x:v>
      </x:c>
    </x:row>
    <x:row r="1499" ht="52" hidden="0" customHeight="1">
      <x:c r="A1499" s="391" t="str">
        <x:v>SHJ-14-001-4</x:v>
      </x:c>
      <x:c r="B1499" s="391" t="str">
        <x:v>卷十四 《大荒東經》</x:v>
      </x:c>
      <x:c r="C1499" s="392"/>
      <x:c r="D1499" s="391" t="str">
        <x:v>甘水</x:v>
      </x:c>
      <x:c r="E1499" s="391" t="str">
        <x:v>水系／水域</x:v>
      </x:c>
      <x:c r="F1499" s="393"/>
      <x:c r="G1499" s="392" t="str">
        <x:v>标点与分段参考《山海经校注》；正文对读：https://ctext.org/shan-hai-jing/da-huang-dong-jing/zh</x:v>
      </x:c>
      <x:c r="H1499" s="394" t="e">
        <x:f>HYPERLINK("#'山海经原文总库'!A3","↩ 返回目录")</x:f>
        <x:v>HYPERLINK is not implemented. linkLocation=#'山海经原文总库'!A3, friendlyName=↩ 返回目录</x:v>
      </x:c>
      <x:c r="I1499" s="392"/>
      <x:c r="J1499" s="392"/>
      <x:c r="K1499" s="392" t="str">
        <x:v>待同名检索｜待建档</x:v>
      </x:c>
    </x:row>
    <x:row r="1500" ht="52" hidden="0" customHeight="1">
      <x:c r="A1500" s="391" t="str">
        <x:v>SHJ-14-001-5</x:v>
      </x:c>
      <x:c r="B1500" s="391" t="str">
        <x:v>卷十四 《大荒東經》</x:v>
      </x:c>
      <x:c r="C1500" s="392"/>
      <x:c r="D1500" s="391" t="str">
        <x:v>甘淵</x:v>
      </x:c>
      <x:c r="E1500" s="391" t="str">
        <x:v>水系／水域</x:v>
      </x:c>
      <x:c r="F1500" s="393"/>
      <x:c r="G1500" s="392" t="str">
        <x:v>标点与分段参考《山海经校注》；正文对读：https://ctext.org/shan-hai-jing/da-huang-dong-jing/zh</x:v>
      </x:c>
      <x:c r="H1500" s="394" t="e">
        <x:f>HYPERLINK("#'山海经原文总库'!A3","↩ 返回目录")</x:f>
        <x:v>HYPERLINK is not implemented. linkLocation=#'山海经原文总库'!A3, friendlyName=↩ 返回目录</x:v>
      </x:c>
      <x:c r="I1500" s="392"/>
      <x:c r="J1500" s="392"/>
      <x:c r="K1500" s="392" t="str">
        <x:v>待同名检索｜待建档</x:v>
      </x:c>
    </x:row>
    <x:row r="1501" ht="52" hidden="0" customHeight="1">
      <x:c r="A1501" s="391" t="str">
        <x:v>SHJ-14-002-1</x:v>
      </x:c>
      <x:c r="B1501" s="391" t="str">
        <x:v>卷十四 《大荒東經》</x:v>
      </x:c>
      <x:c r="C1501" s="392" t="str">
        <x:v>大荒東南隅有山，名皮母地丘。</x:v>
      </x:c>
      <x:c r="D1501" s="391" t="str">
        <x:v>皮母地丘</x:v>
      </x:c>
      <x:c r="E1501" s="391" t="str">
        <x:v>山／丘</x:v>
      </x:c>
      <x:c r="F1501" s="393"/>
      <x:c r="G1501" s="392" t="str">
        <x:v>标点与分段参考《山海经校注》；正文对读：https://ctext.org/shan-hai-jing/da-huang-dong-jing/zh</x:v>
      </x:c>
      <x:c r="H1501" s="394" t="e">
        <x:f>HYPERLINK("#'山海经原文总库'!A3","↩ 返回目录")</x:f>
        <x:v>HYPERLINK is not implemented. linkLocation=#'山海经原文总库'!A3, friendlyName=↩ 返回目录</x:v>
      </x:c>
      <x:c r="I1501" s="392"/>
      <x:c r="J1501" s="392"/>
      <x:c r="K1501" s="392" t="str">
        <x:v>待同名检索｜待建档</x:v>
      </x:c>
    </x:row>
    <x:row r="1502" ht="52" hidden="0" customHeight="1">
      <x:c r="A1502" s="391" t="str">
        <x:v>SHJ-14-003-1</x:v>
      </x:c>
      <x:c r="B1502" s="391" t="str">
        <x:v>卷十四 《大荒東經》</x:v>
      </x:c>
      <x:c r="C1502" s="392" t="str">
        <x:v>東海之外，大荒之中，有山名曰大言，日月所出。</x:v>
      </x:c>
      <x:c r="D1502" s="391" t="str">
        <x:v>大言山</x:v>
      </x:c>
      <x:c r="E1502" s="391" t="str">
        <x:v>山／丘</x:v>
      </x:c>
      <x:c r="F1502" s="393"/>
      <x:c r="G1502" s="392" t="str">
        <x:v>标点与分段参考《山海经校注》；正文对读：https://ctext.org/shan-hai-jing/da-huang-dong-jing/zh</x:v>
      </x:c>
      <x:c r="H1502" s="394" t="e">
        <x:f>HYPERLINK("#'山海经原文总库'!A3","↩ 返回目录")</x:f>
        <x:v>HYPERLINK is not implemented. linkLocation=#'山海经原文总库'!A3, friendlyName=↩ 返回目录</x:v>
      </x:c>
      <x:c r="I1502" s="392"/>
      <x:c r="J1502" s="392"/>
      <x:c r="K1502" s="392" t="str">
        <x:v>待同名检索｜待建档</x:v>
      </x:c>
    </x:row>
    <x:row r="1503" ht="52" hidden="0" customHeight="1">
      <x:c r="A1503" s="391" t="str">
        <x:v>SHJ-14-004-1</x:v>
      </x:c>
      <x:c r="B1503" s="391" t="str">
        <x:v>卷十四 《大荒東經》</x:v>
      </x:c>
      <x:c r="C1503" s="392" t="str">
        <x:v>有波谷山者，有大人之國。有大人之市，名曰大人之堂。有一大人踆其上，張其兩耳。</x:v>
      </x:c>
      <x:c r="D1503" s="391" t="str">
        <x:v>波谷山</x:v>
      </x:c>
      <x:c r="E1503" s="391" t="str">
        <x:v>山／丘</x:v>
      </x:c>
      <x:c r="F1503" s="393"/>
      <x:c r="G1503" s="392" t="str">
        <x:v>标点与分段参考《山海经校注》；正文对读：https://ctext.org/shan-hai-jing/da-huang-dong-jing/zh</x:v>
      </x:c>
      <x:c r="H1503" s="394" t="e">
        <x:f>HYPERLINK("#'山海经原文总库'!A3","↩ 返回目录")</x:f>
        <x:v>HYPERLINK is not implemented. linkLocation=#'山海经原文总库'!A3, friendlyName=↩ 返回目录</x:v>
      </x:c>
      <x:c r="I1503" s="392"/>
      <x:c r="J1503" s="392"/>
      <x:c r="K1503" s="392" t="str">
        <x:v>待同名检索｜待建档</x:v>
      </x:c>
    </x:row>
    <x:row r="1504" ht="52" hidden="0" customHeight="1">
      <x:c r="A1504" s="391" t="str">
        <x:v>SHJ-14-004-2</x:v>
      </x:c>
      <x:c r="B1504" s="391" t="str">
        <x:v>卷十四 《大荒東經》</x:v>
      </x:c>
      <x:c r="C1504" s="392"/>
      <x:c r="D1504" s="391" t="str">
        <x:v>大人之國</x:v>
      </x:c>
      <x:c r="E1504" s="391" t="str">
        <x:v>國家／族群</x:v>
      </x:c>
      <x:c r="F1504" s="393"/>
      <x:c r="G1504" s="392" t="str">
        <x:v>标点与分段参考《山海经校注》；正文对读：https://ctext.org/shan-hai-jing/da-huang-dong-jing/zh</x:v>
      </x:c>
      <x:c r="H1504" s="394" t="e">
        <x:f>HYPERLINK("#'山海经原文总库'!A3","↩ 返回目录")</x:f>
        <x:v>HYPERLINK is not implemented. linkLocation=#'山海经原文总库'!A3, friendlyName=↩ 返回目录</x:v>
      </x:c>
      <x:c r="I1504" s="392"/>
      <x:c r="J1504" s="392"/>
      <x:c r="K1504" s="392" t="str">
        <x:v>待同名检索｜待建档</x:v>
      </x:c>
    </x:row>
    <x:row r="1505" ht="52" hidden="0" customHeight="1">
      <x:c r="A1505" s="391" t="str">
        <x:v>SHJ-14-004-3</x:v>
      </x:c>
      <x:c r="B1505" s="391" t="str">
        <x:v>卷十四 《大荒東經》</x:v>
      </x:c>
      <x:c r="C1505" s="392"/>
      <x:c r="D1505" s="391" t="str">
        <x:v>大人之市</x:v>
      </x:c>
      <x:c r="E1505" s="391" t="str">
        <x:v>城邑／區域</x:v>
      </x:c>
      <x:c r="F1505" s="393"/>
      <x:c r="G1505" s="392" t="str">
        <x:v>标点与分段参考《山海经校注》；正文对读：https://ctext.org/shan-hai-jing/da-huang-dong-jing/zh</x:v>
      </x:c>
      <x:c r="H1505" s="394" t="e">
        <x:f>HYPERLINK("#'山海经原文总库'!A3","↩ 返回目录")</x:f>
        <x:v>HYPERLINK is not implemented. linkLocation=#'山海经原文总库'!A3, friendlyName=↩ 返回目录</x:v>
      </x:c>
      <x:c r="I1505" s="392"/>
      <x:c r="J1505" s="392"/>
      <x:c r="K1505" s="392" t="str">
        <x:v>待同名检索｜待建档</x:v>
      </x:c>
    </x:row>
    <x:row r="1506" ht="52" hidden="0" customHeight="1">
      <x:c r="A1506" s="391" t="str">
        <x:v>SHJ-14-004-4</x:v>
      </x:c>
      <x:c r="B1506" s="391" t="str">
        <x:v>卷十四 《大荒東經》</x:v>
      </x:c>
      <x:c r="C1506" s="392"/>
      <x:c r="D1506" s="391" t="str">
        <x:v>大人之堂</x:v>
      </x:c>
      <x:c r="E1506" s="391" t="str">
        <x:v>地理名稱</x:v>
      </x:c>
      <x:c r="F1506" s="393"/>
      <x:c r="G1506" s="392" t="str">
        <x:v>标点与分段参考《山海经校注》；正文对读：https://ctext.org/shan-hai-jing/da-huang-dong-jing/zh</x:v>
      </x:c>
      <x:c r="H1506" s="394" t="e">
        <x:f>HYPERLINK("#'山海经原文总库'!A3","↩ 返回目录")</x:f>
        <x:v>HYPERLINK is not implemented. linkLocation=#'山海经原文总库'!A3, friendlyName=↩ 返回目录</x:v>
      </x:c>
      <x:c r="I1506" s="392"/>
      <x:c r="J1506" s="392"/>
      <x:c r="K1506" s="392" t="str">
        <x:v>待同名检索｜待建档</x:v>
      </x:c>
    </x:row>
    <x:row r="1507" ht="52" hidden="0" customHeight="1">
      <x:c r="A1507" s="391" t="str">
        <x:v>SHJ-14-005-1</x:v>
      </x:c>
      <x:c r="B1507" s="391" t="str">
        <x:v>卷十四 《大荒東經》</x:v>
      </x:c>
      <x:c r="C1507" s="392" t="str">
        <x:v>有小人國，名靖人。</x:v>
      </x:c>
      <x:c r="D1507" s="391" t="str">
        <x:v>靖人國</x:v>
      </x:c>
      <x:c r="E1507" s="391" t="str">
        <x:v>國家／族群</x:v>
      </x:c>
      <x:c r="F1507" s="393"/>
      <x:c r="G1507" s="392" t="str">
        <x:v>标点与分段参考《山海经校注》；正文对读：https://ctext.org/shan-hai-jing/da-huang-dong-jing/zh</x:v>
      </x:c>
      <x:c r="H1507" s="394" t="e">
        <x:f>HYPERLINK("#'山海经原文总库'!A3","↩ 返回目录")</x:f>
        <x:v>HYPERLINK is not implemented. linkLocation=#'山海经原文总库'!A3, friendlyName=↩ 返回目录</x:v>
      </x:c>
      <x:c r="I1507" s="392"/>
      <x:c r="J1507" s="392"/>
      <x:c r="K1507" s="392" t="str">
        <x:v>待同名检索｜待建档</x:v>
      </x:c>
    </x:row>
    <x:row r="1508" ht="52" hidden="0" customHeight="1">
      <x:c r="A1508" s="391" t="str">
        <x:v>SHJ-14-006-1</x:v>
      </x:c>
      <x:c r="B1508" s="391" t="str">
        <x:v>卷十四 《大荒東經》</x:v>
      </x:c>
      <x:c r="C1508" s="392" t="str">
        <x:v>有神，人面獸身，名曰犁（霝鬼）之屍。</x:v>
      </x:c>
      <x:c r="D1508" s="391"/>
      <x:c r="E1508" s="391"/>
      <x:c r="F1508" s="393"/>
      <x:c r="G1508" s="392" t="str">
        <x:v>标点与分段参考《山海经校注》；正文对读：https://ctext.org/shan-hai-jing/da-huang-dong-jing/zh</x:v>
      </x:c>
      <x:c r="H1508" s="394" t="e">
        <x:f>HYPERLINK("#'山海经原文总库'!A3","↩ 返回目录")</x:f>
        <x:v>HYPERLINK is not implemented. linkLocation=#'山海经原文总库'!A3, friendlyName=↩ 返回目录</x:v>
      </x:c>
      <x:c r="I1508" s="392"/>
      <x:c r="J1508" s="392"/>
      <x:c r="K1508" s="392" t="str">
        <x:v>经文已收录｜非地点行</x:v>
      </x:c>
    </x:row>
    <x:row r="1509" ht="52" hidden="0" customHeight="1">
      <x:c r="A1509" s="391" t="str">
        <x:v>SHJ-14-007-1</x:v>
      </x:c>
      <x:c r="B1509" s="391" t="str">
        <x:v>卷十四 《大荒東經》</x:v>
      </x:c>
      <x:c r="C1509" s="392" t="str">
        <x:v>有潏山，楊水出焉。</x:v>
      </x:c>
      <x:c r="D1509" s="391" t="str">
        <x:v>潏山</x:v>
      </x:c>
      <x:c r="E1509" s="391" t="str">
        <x:v>山／丘</x:v>
      </x:c>
      <x:c r="F1509" s="393"/>
      <x:c r="G1509" s="392" t="str">
        <x:v>标点与分段参考《山海经校注》；正文对读：https://ctext.org/shan-hai-jing/da-huang-dong-jing/zh</x:v>
      </x:c>
      <x:c r="H1509" s="394" t="e">
        <x:f>HYPERLINK("#'山海经原文总库'!A3","↩ 返回目录")</x:f>
        <x:v>HYPERLINK is not implemented. linkLocation=#'山海经原文总库'!A3, friendlyName=↩ 返回目录</x:v>
      </x:c>
      <x:c r="I1509" s="392"/>
      <x:c r="J1509" s="392"/>
      <x:c r="K1509" s="392" t="str">
        <x:v>待同名检索｜待建档</x:v>
      </x:c>
    </x:row>
    <x:row r="1510" ht="52" hidden="0" customHeight="1">
      <x:c r="A1510" s="391" t="str">
        <x:v>SHJ-14-007-2</x:v>
      </x:c>
      <x:c r="B1510" s="391" t="str">
        <x:v>卷十四 《大荒東經》</x:v>
      </x:c>
      <x:c r="C1510" s="392"/>
      <x:c r="D1510" s="391" t="str">
        <x:v>楊水</x:v>
      </x:c>
      <x:c r="E1510" s="391" t="str">
        <x:v>水系／水域</x:v>
      </x:c>
      <x:c r="F1510" s="393"/>
      <x:c r="G1510" s="392" t="str">
        <x:v>标点与分段参考《山海经校注》；正文对读：https://ctext.org/shan-hai-jing/da-huang-dong-jing/zh</x:v>
      </x:c>
      <x:c r="H1510" s="394" t="e">
        <x:f>HYPERLINK("#'山海经原文总库'!A3","↩ 返回目录")</x:f>
        <x:v>HYPERLINK is not implemented. linkLocation=#'山海经原文总库'!A3, friendlyName=↩ 返回目录</x:v>
      </x:c>
      <x:c r="I1510" s="392"/>
      <x:c r="J1510" s="392"/>
      <x:c r="K1510" s="392" t="str">
        <x:v>待同名检索｜待建档</x:v>
      </x:c>
    </x:row>
    <x:row r="1511" ht="52" hidden="0" customHeight="1">
      <x:c r="A1511" s="391" t="str">
        <x:v>SHJ-14-008-1</x:v>
      </x:c>
      <x:c r="B1511" s="391" t="str">
        <x:v>卷十四 《大荒東經》</x:v>
      </x:c>
      <x:c r="C1511" s="392" t="str">
        <x:v>有蒍國，黍食，使四鳥：虎、豹、熊、羆。</x:v>
      </x:c>
      <x:c r="D1511" s="391" t="str">
        <x:v>蒍國</x:v>
      </x:c>
      <x:c r="E1511" s="391" t="str">
        <x:v>國家／族群</x:v>
      </x:c>
      <x:c r="F1511" s="393"/>
      <x:c r="G1511" s="392" t="str">
        <x:v>标点与分段参考《山海经校注》；正文对读：https://ctext.org/shan-hai-jing/da-huang-dong-jing/zh</x:v>
      </x:c>
      <x:c r="H1511" s="394" t="e">
        <x:f>HYPERLINK("#'山海经原文总库'!A3","↩ 返回目录")</x:f>
        <x:v>HYPERLINK is not implemented. linkLocation=#'山海经原文总库'!A3, friendlyName=↩ 返回目录</x:v>
      </x:c>
      <x:c r="I1511" s="392"/>
      <x:c r="J1511" s="392"/>
      <x:c r="K1511" s="392" t="str">
        <x:v>待同名检索｜待建档</x:v>
      </x:c>
    </x:row>
    <x:row r="1512" ht="52" hidden="0" customHeight="1">
      <x:c r="A1512" s="391" t="str">
        <x:v>SHJ-14-009-1</x:v>
      </x:c>
      <x:c r="B1512" s="391" t="str">
        <x:v>卷十四 《大荒東經》</x:v>
      </x:c>
      <x:c r="C1512" s="392" t="str">
        <x:v>大荒之中，有山名曰合虛，日月所出。</x:v>
      </x:c>
      <x:c r="D1512" s="391" t="str">
        <x:v>合虛山</x:v>
      </x:c>
      <x:c r="E1512" s="391" t="str">
        <x:v>山／丘</x:v>
      </x:c>
      <x:c r="F1512" s="393"/>
      <x:c r="G1512" s="392" t="str">
        <x:v>标点与分段参考《山海经校注》；正文对读：https://ctext.org/shan-hai-jing/da-huang-dong-jing/zh</x:v>
      </x:c>
      <x:c r="H1512" s="394" t="e">
        <x:f>HYPERLINK("#'山海经原文总库'!A3","↩ 返回目录")</x:f>
        <x:v>HYPERLINK is not implemented. linkLocation=#'山海经原文总库'!A3, friendlyName=↩ 返回目录</x:v>
      </x:c>
      <x:c r="I1512" s="392"/>
      <x:c r="J1512" s="392"/>
      <x:c r="K1512" s="392" t="str">
        <x:v>待同名检索｜待建档</x:v>
      </x:c>
    </x:row>
    <x:row r="1513" ht="52" hidden="0" customHeight="1">
      <x:c r="A1513" s="391" t="str">
        <x:v>SHJ-14-010-1</x:v>
      </x:c>
      <x:c r="B1513" s="391" t="str">
        <x:v>卷十四 《大荒東經》</x:v>
      </x:c>
      <x:c r="C1513" s="392" t="str">
        <x:v>有中容之國。帝俊生中容，中容人食獸、木實，使四鳥：豹、虎、熊、羆。</x:v>
      </x:c>
      <x:c r="D1513" s="391" t="str">
        <x:v>中容國</x:v>
      </x:c>
      <x:c r="E1513" s="391" t="str">
        <x:v>國家／族群</x:v>
      </x:c>
      <x:c r="F1513" s="393"/>
      <x:c r="G1513" s="392" t="str">
        <x:v>标点与分段参考《山海经校注》；正文对读：https://ctext.org/shan-hai-jing/da-huang-dong-jing/zh</x:v>
      </x:c>
      <x:c r="H1513" s="394" t="e">
        <x:f>HYPERLINK("#'山海经原文总库'!A3","↩ 返回目录")</x:f>
        <x:v>HYPERLINK is not implemented. linkLocation=#'山海经原文总库'!A3, friendlyName=↩ 返回目录</x:v>
      </x:c>
      <x:c r="I1513" s="392"/>
      <x:c r="J1513" s="392"/>
      <x:c r="K1513" s="392" t="str">
        <x:v>待同名检索｜待建档</x:v>
      </x:c>
    </x:row>
    <x:row r="1514" ht="52" hidden="0" customHeight="1">
      <x:c r="A1514" s="391" t="str">
        <x:v>SHJ-14-011-1</x:v>
      </x:c>
      <x:c r="B1514" s="391" t="str">
        <x:v>卷十四 《大荒東經》</x:v>
      </x:c>
      <x:c r="C1514" s="392" t="str">
        <x:v>有東口之山。有君子之國，其人衣冠帶劍。</x:v>
      </x:c>
      <x:c r="D1514" s="391" t="str">
        <x:v>東口山</x:v>
      </x:c>
      <x:c r="E1514" s="391" t="str">
        <x:v>山／丘</x:v>
      </x:c>
      <x:c r="F1514" s="393"/>
      <x:c r="G1514" s="392" t="str">
        <x:v>标点与分段参考《山海经校注》；正文对读：https://ctext.org/shan-hai-jing/da-huang-dong-jing/zh</x:v>
      </x:c>
      <x:c r="H1514" s="394" t="e">
        <x:f>HYPERLINK("#'山海经原文总库'!A3","↩ 返回目录")</x:f>
        <x:v>HYPERLINK is not implemented. linkLocation=#'山海经原文总库'!A3, friendlyName=↩ 返回目录</x:v>
      </x:c>
      <x:c r="I1514" s="392"/>
      <x:c r="J1514" s="392"/>
      <x:c r="K1514" s="392" t="str">
        <x:v>待同名检索｜待建档</x:v>
      </x:c>
    </x:row>
    <x:row r="1515" ht="52" hidden="0" customHeight="1">
      <x:c r="A1515" s="391" t="str">
        <x:v>SHJ-14-011-2</x:v>
      </x:c>
      <x:c r="B1515" s="391" t="str">
        <x:v>卷十四 《大荒東經》</x:v>
      </x:c>
      <x:c r="C1515" s="392"/>
      <x:c r="D1515" s="391" t="str">
        <x:v>君子國</x:v>
      </x:c>
      <x:c r="E1515" s="391" t="str">
        <x:v>國家／族群</x:v>
      </x:c>
      <x:c r="F1515" s="393"/>
      <x:c r="G1515" s="392" t="str">
        <x:v>标点与分段参考《山海经校注》；正文对读：https://ctext.org/shan-hai-jing/da-huang-dong-jing/zh</x:v>
      </x:c>
      <x:c r="H1515" s="394" t="e">
        <x:f>HYPERLINK("#'山海经原文总库'!A3","↩ 返回目录")</x:f>
        <x:v>HYPERLINK is not implemented. linkLocation=#'山海经原文总库'!A3, friendlyName=↩ 返回目录</x:v>
      </x:c>
      <x:c r="I1515" s="392"/>
      <x:c r="J1515" s="392"/>
      <x:c r="K1515" s="392" t="str">
        <x:v>待同名检索｜待建档</x:v>
      </x:c>
    </x:row>
    <x:row r="1516" ht="52" hidden="0" customHeight="1">
      <x:c r="A1516" s="391" t="str">
        <x:v>SHJ-14-012-1</x:v>
      </x:c>
      <x:c r="B1516" s="391" t="str">
        <x:v>卷十四 《大荒東經》</x:v>
      </x:c>
      <x:c r="C1516" s="392" t="str">
        <x:v>有司幽之國。帝俊生晏龍，晏龍生司幽，司幽生思士，不妻；思女，不夫。食黍，食獸，是使四鳥。</x:v>
      </x:c>
      <x:c r="D1516" s="391" t="str">
        <x:v>司幽國</x:v>
      </x:c>
      <x:c r="E1516" s="391" t="str">
        <x:v>國家／族群</x:v>
      </x:c>
      <x:c r="F1516" s="393"/>
      <x:c r="G1516" s="392" t="str">
        <x:v>标点与分段参考《山海经校注》；正文对读：https://ctext.org/shan-hai-jing/da-huang-dong-jing/zh</x:v>
      </x:c>
      <x:c r="H1516" s="394" t="e">
        <x:f>HYPERLINK("#'山海经原文总库'!A3","↩ 返回目录")</x:f>
        <x:v>HYPERLINK is not implemented. linkLocation=#'山海经原文总库'!A3, friendlyName=↩ 返回目录</x:v>
      </x:c>
      <x:c r="I1516" s="392"/>
      <x:c r="J1516" s="392"/>
      <x:c r="K1516" s="392" t="str">
        <x:v>待同名检索｜待建档</x:v>
      </x:c>
    </x:row>
    <x:row r="1517" ht="52" hidden="0" customHeight="1">
      <x:c r="A1517" s="391" t="str">
        <x:v>SHJ-14-013-1</x:v>
      </x:c>
      <x:c r="B1517" s="391" t="str">
        <x:v>卷十四 《大荒東經》</x:v>
      </x:c>
      <x:c r="C1517" s="392" t="str">
        <x:v>有大阿之山者。</x:v>
      </x:c>
      <x:c r="D1517" s="391" t="str">
        <x:v>大阿山</x:v>
      </x:c>
      <x:c r="E1517" s="391" t="str">
        <x:v>山／丘</x:v>
      </x:c>
      <x:c r="F1517" s="393"/>
      <x:c r="G1517" s="392" t="str">
        <x:v>标点与分段参考《山海经校注》；正文对读：https://ctext.org/shan-hai-jing/da-huang-dong-jing/zh</x:v>
      </x:c>
      <x:c r="H1517" s="394" t="e">
        <x:f>HYPERLINK("#'山海经原文总库'!A3","↩ 返回目录")</x:f>
        <x:v>HYPERLINK is not implemented. linkLocation=#'山海经原文总库'!A3, friendlyName=↩ 返回目录</x:v>
      </x:c>
      <x:c r="I1517" s="392"/>
      <x:c r="J1517" s="392"/>
      <x:c r="K1517" s="392" t="str">
        <x:v>待同名检索｜待建档</x:v>
      </x:c>
    </x:row>
    <x:row r="1518" ht="52" hidden="0" customHeight="1">
      <x:c r="A1518" s="391" t="str">
        <x:v>SHJ-14-014-1</x:v>
      </x:c>
      <x:c r="B1518" s="391" t="str">
        <x:v>卷十四 《大荒東經》</x:v>
      </x:c>
      <x:c r="C1518" s="392" t="str">
        <x:v>大荒中有山名曰明星，日月所出。</x:v>
      </x:c>
      <x:c r="D1518" s="391" t="str">
        <x:v>明星山</x:v>
      </x:c>
      <x:c r="E1518" s="391" t="str">
        <x:v>山／丘</x:v>
      </x:c>
      <x:c r="F1518" s="393"/>
      <x:c r="G1518" s="392" t="str">
        <x:v>标点与分段参考《山海经校注》；正文对读：https://ctext.org/shan-hai-jing/da-huang-dong-jing/zh</x:v>
      </x:c>
      <x:c r="H1518" s="394" t="e">
        <x:f>HYPERLINK("#'山海经原文总库'!A3","↩ 返回目录")</x:f>
        <x:v>HYPERLINK is not implemented. linkLocation=#'山海经原文总库'!A3, friendlyName=↩ 返回目录</x:v>
      </x:c>
      <x:c r="I1518" s="392"/>
      <x:c r="J1518" s="392"/>
      <x:c r="K1518" s="392" t="str">
        <x:v>待同名检索｜待建档</x:v>
      </x:c>
    </x:row>
    <x:row r="1519" ht="52" hidden="0" customHeight="1">
      <x:c r="A1519" s="391" t="str">
        <x:v>SHJ-14-015-1</x:v>
      </x:c>
      <x:c r="B1519" s="391" t="str">
        <x:v>卷十四 《大荒東經》</x:v>
      </x:c>
      <x:c r="C1519" s="392" t="str">
        <x:v>有白民之國。帝俊生帝鴻，帝鴻生白民，白民銷姓，黍食，使四鳥：虎、豹、熊、羆。</x:v>
      </x:c>
      <x:c r="D1519" s="391" t="str">
        <x:v>白民國</x:v>
      </x:c>
      <x:c r="E1519" s="391" t="str">
        <x:v>國家／族群</x:v>
      </x:c>
      <x:c r="F1519" s="393"/>
      <x:c r="G1519" s="392" t="str">
        <x:v>标点与分段参考《山海经校注》；正文对读：https://ctext.org/shan-hai-jing/da-huang-dong-jing/zh</x:v>
      </x:c>
      <x:c r="H1519" s="394" t="e">
        <x:f>HYPERLINK("#'山海经原文总库'!A3","↩ 返回目录")</x:f>
        <x:v>HYPERLINK is not implemented. linkLocation=#'山海经原文总库'!A3, friendlyName=↩ 返回目录</x:v>
      </x:c>
      <x:c r="I1519" s="392"/>
      <x:c r="J1519" s="392"/>
      <x:c r="K1519" s="392" t="str">
        <x:v>待同名检索｜待建档</x:v>
      </x:c>
    </x:row>
    <x:row r="1520" ht="52" hidden="0" customHeight="1">
      <x:c r="A1520" s="391" t="str">
        <x:v>SHJ-14-016-1</x:v>
      </x:c>
      <x:c r="B1520" s="391" t="str">
        <x:v>卷十四 《大荒東經》</x:v>
      </x:c>
      <x:c r="C1520" s="392" t="str">
        <x:v>有青丘之國，有狐，九尾。</x:v>
      </x:c>
      <x:c r="D1520" s="391" t="str">
        <x:v>青丘國</x:v>
      </x:c>
      <x:c r="E1520" s="391" t="str">
        <x:v>國家／族群</x:v>
      </x:c>
      <x:c r="F1520" s="393"/>
      <x:c r="G1520" s="392" t="str">
        <x:v>标点与分段参考《山海经校注》；正文对读：https://ctext.org/shan-hai-jing/da-huang-dong-jing/zh</x:v>
      </x:c>
      <x:c r="H1520" s="394" t="e">
        <x:f>HYPERLINK("#'山海经原文总库'!A3","↩ 返回目录")</x:f>
        <x:v>HYPERLINK is not implemented. linkLocation=#'山海经原文总库'!A3, friendlyName=↩ 返回目录</x:v>
      </x:c>
      <x:c r="I1520" s="392"/>
      <x:c r="J1520" s="392"/>
      <x:c r="K1520" s="392" t="str">
        <x:v>待同名检索｜待建档</x:v>
      </x:c>
    </x:row>
    <x:row r="1521" ht="52" hidden="0" customHeight="1">
      <x:c r="A1521" s="391" t="str">
        <x:v>SHJ-14-017-1</x:v>
      </x:c>
      <x:c r="B1521" s="391" t="str">
        <x:v>卷十四 《大荒東經》</x:v>
      </x:c>
      <x:c r="C1521" s="392" t="str">
        <x:v>有柔僕民，是維嬴土之國。</x:v>
      </x:c>
      <x:c r="D1521" s="391" t="str">
        <x:v>嬴土之國</x:v>
      </x:c>
      <x:c r="E1521" s="391" t="str">
        <x:v>國家／族群</x:v>
      </x:c>
      <x:c r="F1521" s="393"/>
      <x:c r="G1521" s="392" t="str">
        <x:v>标点与分段参考《山海经校注》；正文对读：https://ctext.org/shan-hai-jing/da-huang-dong-jing/zh</x:v>
      </x:c>
      <x:c r="H1521" s="394" t="e">
        <x:f>HYPERLINK("#'山海经原文总库'!A3","↩ 返回目录")</x:f>
        <x:v>HYPERLINK is not implemented. linkLocation=#'山海经原文总库'!A3, friendlyName=↩ 返回目录</x:v>
      </x:c>
      <x:c r="I1521" s="392"/>
      <x:c r="J1521" s="392"/>
      <x:c r="K1521" s="392" t="str">
        <x:v>待同名检索｜待建档</x:v>
      </x:c>
    </x:row>
    <x:row r="1522" ht="52" hidden="0" customHeight="1">
      <x:c r="A1522" s="391" t="str">
        <x:v>SHJ-14-018-1</x:v>
      </x:c>
      <x:c r="B1522" s="391" t="str">
        <x:v>卷十四 《大荒東經》</x:v>
      </x:c>
      <x:c r="C1522" s="392" t="str">
        <x:v>有黑齒之國。帝俊生黑齒，姜姓，黍食，使四鳥。</x:v>
      </x:c>
      <x:c r="D1522" s="391" t="str">
        <x:v>黑齒國</x:v>
      </x:c>
      <x:c r="E1522" s="391" t="str">
        <x:v>國家／族群</x:v>
      </x:c>
      <x:c r="F1522" s="393"/>
      <x:c r="G1522" s="392" t="str">
        <x:v>标点与分段参考《山海经校注》；正文对读：https://ctext.org/shan-hai-jing/da-huang-dong-jing/zh</x:v>
      </x:c>
      <x:c r="H1522" s="394" t="e">
        <x:f>HYPERLINK("#'山海经原文总库'!A3","↩ 返回目录")</x:f>
        <x:v>HYPERLINK is not implemented. linkLocation=#'山海经原文总库'!A3, friendlyName=↩ 返回目录</x:v>
      </x:c>
      <x:c r="I1522" s="392"/>
      <x:c r="J1522" s="392"/>
      <x:c r="K1522" s="392" t="str">
        <x:v>待同名检索｜待建档</x:v>
      </x:c>
    </x:row>
    <x:row r="1523" ht="52" hidden="0" customHeight="1">
      <x:c r="A1523" s="391" t="str">
        <x:v>SHJ-14-019-1</x:v>
      </x:c>
      <x:c r="B1523" s="391" t="str">
        <x:v>卷十四 《大荒東經》</x:v>
      </x:c>
      <x:c r="C1523" s="392" t="str">
        <x:v>有夏州之國。有蓋餘之國。</x:v>
      </x:c>
      <x:c r="D1523" s="391" t="str">
        <x:v>夏州國</x:v>
      </x:c>
      <x:c r="E1523" s="391" t="str">
        <x:v>國家／族群</x:v>
      </x:c>
      <x:c r="F1523" s="393"/>
      <x:c r="G1523" s="392" t="str">
        <x:v>标点与分段参考《山海经校注》；正文对读：https://ctext.org/shan-hai-jing/da-huang-dong-jing/zh</x:v>
      </x:c>
      <x:c r="H1523" s="394" t="e">
        <x:f>HYPERLINK("#'山海经原文总库'!A3","↩ 返回目录")</x:f>
        <x:v>HYPERLINK is not implemented. linkLocation=#'山海经原文总库'!A3, friendlyName=↩ 返回目录</x:v>
      </x:c>
      <x:c r="I1523" s="392"/>
      <x:c r="J1523" s="392"/>
      <x:c r="K1523" s="392" t="str">
        <x:v>待同名检索｜待建档</x:v>
      </x:c>
    </x:row>
    <x:row r="1524" ht="52" hidden="0" customHeight="1">
      <x:c r="A1524" s="391" t="str">
        <x:v>SHJ-14-019-2</x:v>
      </x:c>
      <x:c r="B1524" s="391" t="str">
        <x:v>卷十四 《大荒東經》</x:v>
      </x:c>
      <x:c r="C1524" s="392"/>
      <x:c r="D1524" s="391" t="str">
        <x:v>蓋餘國</x:v>
      </x:c>
      <x:c r="E1524" s="391" t="str">
        <x:v>國家／族群</x:v>
      </x:c>
      <x:c r="F1524" s="393"/>
      <x:c r="G1524" s="392" t="str">
        <x:v>标点与分段参考《山海经校注》；正文对读：https://ctext.org/shan-hai-jing/da-huang-dong-jing/zh</x:v>
      </x:c>
      <x:c r="H1524" s="394" t="e">
        <x:f>HYPERLINK("#'山海经原文总库'!A3","↩ 返回目录")</x:f>
        <x:v>HYPERLINK is not implemented. linkLocation=#'山海经原文总库'!A3, friendlyName=↩ 返回目录</x:v>
      </x:c>
      <x:c r="I1524" s="392"/>
      <x:c r="J1524" s="392"/>
      <x:c r="K1524" s="392" t="str">
        <x:v>待同名检索｜待建档</x:v>
      </x:c>
    </x:row>
    <x:row r="1525" ht="52" hidden="0" customHeight="1">
      <x:c r="A1525" s="391" t="str">
        <x:v>SHJ-14-020-1</x:v>
      </x:c>
      <x:c r="B1525" s="391" t="str">
        <x:v>卷十四 《大荒東經》</x:v>
      </x:c>
      <x:c r="C1525" s="392" t="str">
        <x:v>有神人，八首人面，虎身十尾，名曰天吳。</x:v>
      </x:c>
      <x:c r="D1525" s="391"/>
      <x:c r="E1525" s="391"/>
      <x:c r="F1525" s="393"/>
      <x:c r="G1525" s="392" t="str">
        <x:v>标点与分段参考《山海经校注》；正文对读：https://ctext.org/shan-hai-jing/da-huang-dong-jing/zh</x:v>
      </x:c>
      <x:c r="H1525" s="394" t="e">
        <x:f>HYPERLINK("#'山海经原文总库'!A3","↩ 返回目录")</x:f>
        <x:v>HYPERLINK is not implemented. linkLocation=#'山海经原文总库'!A3, friendlyName=↩ 返回目录</x:v>
      </x:c>
      <x:c r="I1525" s="392"/>
      <x:c r="J1525" s="392"/>
      <x:c r="K1525" s="392" t="str">
        <x:v>经文已收录｜非地点行</x:v>
      </x:c>
    </x:row>
    <x:row r="1526" ht="52" hidden="0" customHeight="1">
      <x:c r="A1526" s="391" t="str">
        <x:v>SHJ-14-021-1</x:v>
      </x:c>
      <x:c r="B1526" s="391" t="str">
        <x:v>卷十四 《大荒東經》</x:v>
      </x:c>
      <x:c r="C1526" s="392" t="str">
        <x:v>大荒之中，有山名曰鞠陵於天、東極、離瞀、日月所出。名曰折丹——東方曰折，來風曰俊——處東極以出入風。</x:v>
      </x:c>
      <x:c r="D1526" s="391" t="str">
        <x:v>鞠陵于天山</x:v>
      </x:c>
      <x:c r="E1526" s="391" t="str">
        <x:v>山／丘</x:v>
      </x:c>
      <x:c r="F1526" s="393"/>
      <x:c r="G1526" s="392" t="str">
        <x:v>标点与分段参考《山海经校注》；正文对读：https://ctext.org/shan-hai-jing/da-huang-dong-jing/zh</x:v>
      </x:c>
      <x:c r="H1526" s="394" t="e">
        <x:f>HYPERLINK("#'山海经原文总库'!A3","↩ 返回目录")</x:f>
        <x:v>HYPERLINK is not implemented. linkLocation=#'山海经原文总库'!A3, friendlyName=↩ 返回目录</x:v>
      </x:c>
      <x:c r="I1526" s="392"/>
      <x:c r="J1526" s="392"/>
      <x:c r="K1526" s="392" t="str">
        <x:v>待同名检索｜待建档</x:v>
      </x:c>
    </x:row>
    <x:row r="1527" ht="52" hidden="0" customHeight="1">
      <x:c r="A1527" s="391" t="str">
        <x:v>SHJ-14-021-2</x:v>
      </x:c>
      <x:c r="B1527" s="391" t="str">
        <x:v>卷十四 《大荒東經》</x:v>
      </x:c>
      <x:c r="C1527" s="392"/>
      <x:c r="D1527" s="391" t="str">
        <x:v>東極山</x:v>
      </x:c>
      <x:c r="E1527" s="391" t="str">
        <x:v>區域</x:v>
      </x:c>
      <x:c r="F1527" s="393"/>
      <x:c r="G1527" s="392" t="str">
        <x:v>标点与分段参考《山海经校注》；正文对读：https://ctext.org/shan-hai-jing/da-huang-dong-jing/zh</x:v>
      </x:c>
      <x:c r="H1527" s="394" t="e">
        <x:f>HYPERLINK("#'山海经原文总库'!A3","↩ 返回目录")</x:f>
        <x:v>HYPERLINK is not implemented. linkLocation=#'山海经原文总库'!A3, friendlyName=↩ 返回目录</x:v>
      </x:c>
      <x:c r="I1527" s="392"/>
      <x:c r="J1527" s="392"/>
      <x:c r="K1527" s="392" t="str">
        <x:v>待同名检索｜待建档</x:v>
      </x:c>
    </x:row>
    <x:row r="1528" ht="52" hidden="0" customHeight="1">
      <x:c r="A1528" s="391" t="str">
        <x:v>SHJ-14-021-3</x:v>
      </x:c>
      <x:c r="B1528" s="391" t="str">
        <x:v>卷十四 《大荒東經》</x:v>
      </x:c>
      <x:c r="C1528" s="392"/>
      <x:c r="D1528" s="391" t="str">
        <x:v>離瞀山</x:v>
      </x:c>
      <x:c r="E1528" s="391" t="str">
        <x:v>山／丘</x:v>
      </x:c>
      <x:c r="F1528" s="393"/>
      <x:c r="G1528" s="392" t="str">
        <x:v>标点与分段参考《山海经校注》；正文对读：https://ctext.org/shan-hai-jing/da-huang-dong-jing/zh</x:v>
      </x:c>
      <x:c r="H1528" s="394" t="e">
        <x:f>HYPERLINK("#'山海经原文总库'!A3","↩ 返回目录")</x:f>
        <x:v>HYPERLINK is not implemented. linkLocation=#'山海经原文总库'!A3, friendlyName=↩ 返回目录</x:v>
      </x:c>
      <x:c r="I1528" s="392"/>
      <x:c r="J1528" s="392"/>
      <x:c r="K1528" s="392" t="str">
        <x:v>待同名检索｜待建档</x:v>
      </x:c>
    </x:row>
    <x:row r="1529" ht="52" hidden="0" customHeight="1">
      <x:c r="A1529" s="391" t="str">
        <x:v>SHJ-14-021-4</x:v>
      </x:c>
      <x:c r="B1529" s="391" t="str">
        <x:v>卷十四 《大荒東經》</x:v>
      </x:c>
      <x:c r="C1529" s="392"/>
      <x:c r="D1529" s="391" t="str">
        <x:v>東極</x:v>
      </x:c>
      <x:c r="E1529" s="391" t="str">
        <x:v>區域</x:v>
      </x:c>
      <x:c r="F1529" s="393"/>
      <x:c r="G1529" s="392" t="str">
        <x:v>标点与分段参考《山海经校注》；正文对读：https://ctext.org/shan-hai-jing/da-huang-dong-jing/zh</x:v>
      </x:c>
      <x:c r="H1529" s="394" t="e">
        <x:f>HYPERLINK("#'山海经原文总库'!A3","↩ 返回目录")</x:f>
        <x:v>HYPERLINK is not implemented. linkLocation=#'山海经原文总库'!A3, friendlyName=↩ 返回目录</x:v>
      </x:c>
      <x:c r="I1529" s="392"/>
      <x:c r="J1529" s="392"/>
      <x:c r="K1529" s="392" t="str">
        <x:v>待同名检索｜待建档</x:v>
      </x:c>
    </x:row>
    <x:row r="1530" ht="52" hidden="0" customHeight="1">
      <x:c r="A1530" s="391" t="str">
        <x:v>SHJ-14-022-1</x:v>
      </x:c>
      <x:c r="B1530" s="391" t="str">
        <x:v>卷十四 《大荒東經》</x:v>
      </x:c>
      <x:c r="C1530" s="392" t="str">
        <x:v>東海之渚中有神，人面鳥身，珥兩黃蛇，踐兩黃蛇，名曰禺（豸虎）。黃帝生禺（豸虎），禺（豸虎）生禺京，禺京處北海，禺（豸虎）處東海，是爲海神。</x:v>
      </x:c>
      <x:c r="D1530" s="391" t="str">
        <x:v>東海之渚</x:v>
      </x:c>
      <x:c r="E1530" s="391" t="str">
        <x:v>水系／水域</x:v>
      </x:c>
      <x:c r="F1530" s="393"/>
      <x:c r="G1530" s="392" t="str">
        <x:v>标点与分段参考《山海经校注》；正文对读：https://ctext.org/shan-hai-jing/da-huang-dong-jing/zh</x:v>
      </x:c>
      <x:c r="H1530" s="394" t="e">
        <x:f>HYPERLINK("#'山海经原文总库'!A3","↩ 返回目录")</x:f>
        <x:v>HYPERLINK is not implemented. linkLocation=#'山海经原文总库'!A3, friendlyName=↩ 返回目录</x:v>
      </x:c>
      <x:c r="I1530" s="392"/>
      <x:c r="J1530" s="392"/>
      <x:c r="K1530" s="392" t="str">
        <x:v>待同名检索｜待建档</x:v>
      </x:c>
    </x:row>
    <x:row r="1531" ht="52" hidden="0" customHeight="1">
      <x:c r="A1531" s="391" t="str">
        <x:v>SHJ-14-022-2</x:v>
      </x:c>
      <x:c r="B1531" s="391" t="str">
        <x:v>卷十四 《大荒東經》</x:v>
      </x:c>
      <x:c r="C1531" s="392"/>
      <x:c r="D1531" s="391" t="str">
        <x:v>北海</x:v>
      </x:c>
      <x:c r="E1531" s="391" t="str">
        <x:v>水系／水域</x:v>
      </x:c>
      <x:c r="F1531" s="393"/>
      <x:c r="G1531" s="392" t="str">
        <x:v>标点与分段参考《山海经校注》；正文对读：https://ctext.org/shan-hai-jing/da-huang-dong-jing/zh</x:v>
      </x:c>
      <x:c r="H1531" s="394" t="e">
        <x:f>HYPERLINK("#'山海经原文总库'!A3","↩ 返回目录")</x:f>
        <x:v>HYPERLINK is not implemented. linkLocation=#'山海经原文总库'!A3, friendlyName=↩ 返回目录</x:v>
      </x:c>
      <x:c r="I1531" s="392"/>
      <x:c r="J1531" s="392"/>
      <x:c r="K1531" s="392" t="str">
        <x:v>待同名检索｜待建档</x:v>
      </x:c>
    </x:row>
    <x:row r="1532" ht="52" hidden="0" customHeight="1">
      <x:c r="A1532" s="391" t="str">
        <x:v>SHJ-14-022-3</x:v>
      </x:c>
      <x:c r="B1532" s="391" t="str">
        <x:v>卷十四 《大荒東經》</x:v>
      </x:c>
      <x:c r="C1532" s="392"/>
      <x:c r="D1532" s="391" t="str">
        <x:v>東海</x:v>
      </x:c>
      <x:c r="E1532" s="391" t="str">
        <x:v>水系／水域</x:v>
      </x:c>
      <x:c r="F1532" s="393"/>
      <x:c r="G1532" s="392" t="str">
        <x:v>标点与分段参考《山海经校注》；正文对读：https://ctext.org/shan-hai-jing/da-huang-dong-jing/zh</x:v>
      </x:c>
      <x:c r="H1532" s="394" t="e">
        <x:f>HYPERLINK("#'山海经原文总库'!A3","↩ 返回目录")</x:f>
        <x:v>HYPERLINK is not implemented. linkLocation=#'山海经原文总库'!A3, friendlyName=↩ 返回目录</x:v>
      </x:c>
      <x:c r="I1532" s="392"/>
      <x:c r="J1532" s="392"/>
      <x:c r="K1532" s="392" t="str">
        <x:v>待同名检索｜待建档</x:v>
      </x:c>
    </x:row>
    <x:row r="1533" ht="52" hidden="0" customHeight="1">
      <x:c r="A1533" s="391" t="str">
        <x:v>SHJ-14-023-1</x:v>
      </x:c>
      <x:c r="B1533" s="391" t="str">
        <x:v>卷十四 《大荒東經》</x:v>
      </x:c>
      <x:c r="C1533" s="392" t="str">
        <x:v>有招搖山，融水出焉。有國曰玄股，黍食，使四鳥。</x:v>
      </x:c>
      <x:c r="D1533" s="391" t="str">
        <x:v>招搖山</x:v>
      </x:c>
      <x:c r="E1533" s="391" t="str">
        <x:v>山／丘</x:v>
      </x:c>
      <x:c r="F1533" s="393"/>
      <x:c r="G1533" s="392" t="str">
        <x:v>标点与分段参考《山海经校注》；正文对读：https://ctext.org/shan-hai-jing/da-huang-dong-jing/zh</x:v>
      </x:c>
      <x:c r="H1533" s="394" t="e">
        <x:f>HYPERLINK("#'山海经原文总库'!A3","↩ 返回目录")</x:f>
        <x:v>HYPERLINK is not implemented. linkLocation=#'山海经原文总库'!A3, friendlyName=↩ 返回目录</x:v>
      </x:c>
      <x:c r="I1533" s="392"/>
      <x:c r="J1533" s="392"/>
      <x:c r="K1533" s="392" t="str">
        <x:v>待同名检索｜待建档</x:v>
      </x:c>
    </x:row>
    <x:row r="1534" ht="52" hidden="0" customHeight="1">
      <x:c r="A1534" s="391" t="str">
        <x:v>SHJ-14-023-2</x:v>
      </x:c>
      <x:c r="B1534" s="391" t="str">
        <x:v>卷十四 《大荒東經》</x:v>
      </x:c>
      <x:c r="C1534" s="392"/>
      <x:c r="D1534" s="391" t="str">
        <x:v>融水</x:v>
      </x:c>
      <x:c r="E1534" s="391" t="str">
        <x:v>水系／水域</x:v>
      </x:c>
      <x:c r="F1534" s="393"/>
      <x:c r="G1534" s="392" t="str">
        <x:v>标点与分段参考《山海经校注》；正文对读：https://ctext.org/shan-hai-jing/da-huang-dong-jing/zh</x:v>
      </x:c>
      <x:c r="H1534" s="394" t="e">
        <x:f>HYPERLINK("#'山海经原文总库'!A3","↩ 返回目录")</x:f>
        <x:v>HYPERLINK is not implemented. linkLocation=#'山海经原文总库'!A3, friendlyName=↩ 返回目录</x:v>
      </x:c>
      <x:c r="I1534" s="392"/>
      <x:c r="J1534" s="392"/>
      <x:c r="K1534" s="392" t="str">
        <x:v>待同名检索｜待建档</x:v>
      </x:c>
    </x:row>
    <x:row r="1535" ht="52" hidden="0" customHeight="1">
      <x:c r="A1535" s="391" t="str">
        <x:v>SHJ-14-023-3</x:v>
      </x:c>
      <x:c r="B1535" s="391" t="str">
        <x:v>卷十四 《大荒東經》</x:v>
      </x:c>
      <x:c r="C1535" s="392"/>
      <x:c r="D1535" s="391" t="str">
        <x:v>玄股國</x:v>
      </x:c>
      <x:c r="E1535" s="391" t="str">
        <x:v>國家／族群</x:v>
      </x:c>
      <x:c r="F1535" s="393"/>
      <x:c r="G1535" s="392" t="str">
        <x:v>标点与分段参考《山海经校注》；正文对读：https://ctext.org/shan-hai-jing/da-huang-dong-jing/zh</x:v>
      </x:c>
      <x:c r="H1535" s="394" t="e">
        <x:f>HYPERLINK("#'山海经原文总库'!A3","↩ 返回目录")</x:f>
        <x:v>HYPERLINK is not implemented. linkLocation=#'山海经原文总库'!A3, friendlyName=↩ 返回目录</x:v>
      </x:c>
      <x:c r="I1535" s="392"/>
      <x:c r="J1535" s="392"/>
      <x:c r="K1535" s="392" t="str">
        <x:v>待同名检索｜待建档</x:v>
      </x:c>
    </x:row>
    <x:row r="1536" ht="52" hidden="0" customHeight="1">
      <x:c r="A1536" s="391" t="str">
        <x:v>SHJ-14-024-1</x:v>
      </x:c>
      <x:c r="B1536" s="391" t="str">
        <x:v>卷十四 《大荒東經》</x:v>
      </x:c>
      <x:c r="C1536" s="392" t="str">
        <x:v>有困民國，勾姓而食。有人曰王亥，兩手操鳥，方食其頭。王亥托於有易、河伯僕牛。有易殺王亥，取僕牛。河念有易，有易潛出，爲國於獸，方食之，名曰搖民。帝舜生戲，戲生搖民。</x:v>
      </x:c>
      <x:c r="D1536" s="391" t="str">
        <x:v>困民國</x:v>
      </x:c>
      <x:c r="E1536" s="391" t="str">
        <x:v>國家／族群</x:v>
      </x:c>
      <x:c r="F1536" s="393"/>
      <x:c r="G1536" s="392" t="str">
        <x:v>标点与分段参考《山海经校注》；正文对读：https://ctext.org/shan-hai-jing/da-huang-dong-jing/zh</x:v>
      </x:c>
      <x:c r="H1536" s="394" t="e">
        <x:f>HYPERLINK("#'山海经原文总库'!A3","↩ 返回目录")</x:f>
        <x:v>HYPERLINK is not implemented. linkLocation=#'山海经原文总库'!A3, friendlyName=↩ 返回目录</x:v>
      </x:c>
      <x:c r="I1536" s="392"/>
      <x:c r="J1536" s="392"/>
      <x:c r="K1536" s="392" t="str">
        <x:v>待同名检索｜待建档</x:v>
      </x:c>
    </x:row>
    <x:row r="1537" ht="52" hidden="0" customHeight="1">
      <x:c r="A1537" s="391" t="str">
        <x:v>SHJ-14-024-2</x:v>
      </x:c>
      <x:c r="B1537" s="391" t="str">
        <x:v>卷十四 《大荒東經》</x:v>
      </x:c>
      <x:c r="C1537" s="392"/>
      <x:c r="D1537" s="391" t="str">
        <x:v>有易</x:v>
      </x:c>
      <x:c r="E1537" s="391" t="str">
        <x:v>地理名稱</x:v>
      </x:c>
      <x:c r="F1537" s="393"/>
      <x:c r="G1537" s="392" t="str">
        <x:v>标点与分段参考《山海经校注》；正文对读：https://ctext.org/shan-hai-jing/da-huang-dong-jing/zh</x:v>
      </x:c>
      <x:c r="H1537" s="394" t="e">
        <x:f>HYPERLINK("#'山海经原文总库'!A3","↩ 返回目录")</x:f>
        <x:v>HYPERLINK is not implemented. linkLocation=#'山海经原文总库'!A3, friendlyName=↩ 返回目录</x:v>
      </x:c>
      <x:c r="I1537" s="392"/>
      <x:c r="J1537" s="392"/>
      <x:c r="K1537" s="392" t="str">
        <x:v>待同名检索｜待建档</x:v>
      </x:c>
    </x:row>
    <x:row r="1538" ht="52" hidden="0" customHeight="1">
      <x:c r="A1538" s="391" t="str">
        <x:v>SHJ-14-024-3</x:v>
      </x:c>
      <x:c r="B1538" s="391" t="str">
        <x:v>卷十四 《大荒東經》</x:v>
      </x:c>
      <x:c r="C1538" s="392"/>
      <x:c r="D1538" s="391" t="str">
        <x:v>搖民國</x:v>
      </x:c>
      <x:c r="E1538" s="391" t="str">
        <x:v>國家／族群</x:v>
      </x:c>
      <x:c r="F1538" s="393"/>
      <x:c r="G1538" s="392" t="str">
        <x:v>标点与分段参考《山海经校注》；正文对读：https://ctext.org/shan-hai-jing/da-huang-dong-jing/zh</x:v>
      </x:c>
      <x:c r="H1538" s="394" t="e">
        <x:f>HYPERLINK("#'山海经原文总库'!A3","↩ 返回目录")</x:f>
        <x:v>HYPERLINK is not implemented. linkLocation=#'山海经原文总库'!A3, friendlyName=↩ 返回目录</x:v>
      </x:c>
      <x:c r="I1538" s="392"/>
      <x:c r="J1538" s="392"/>
      <x:c r="K1538" s="392" t="str">
        <x:v>待同名检索｜待建档</x:v>
      </x:c>
    </x:row>
    <x:row r="1539" ht="52" hidden="0" customHeight="1">
      <x:c r="A1539" s="399" t="str">
        <x:v>SHJ-14-025-1</x:v>
      </x:c>
      <x:c r="B1539" s="399" t="str">
        <x:v>卷十四 《大荒東經》</x:v>
      </x:c>
      <x:c r="C1539" s="400" t="str">
        <x:v>海內有兩人，名曰女醜。女醜有大蟹。</x:v>
      </x:c>
      <x:c r="D1539" s="399" t="str">
        <x:v>海內</x:v>
      </x:c>
      <x:c r="E1539" s="399" t="str">
        <x:v>區域</x:v>
      </x:c>
      <x:c r="F1539" s="401"/>
      <x:c r="G1539" s="400" t="str">
        <x:v>标点与分段参考《山海经校注》；正文对读：https://ctext.org/shan-hai-jing/da-huang-dong-jing/zh</x:v>
      </x:c>
      <x:c r="H1539" s="402" t="e">
        <x:f>HYPERLINK("#'山海经原文总库'!A3","↩ 返回目录")</x:f>
        <x:v>HYPERLINK is not implemented. linkLocation=#'山海经原文总库'!A3, friendlyName=↩ 返回目录</x:v>
      </x:c>
      <x:c r="I1539" s="400"/>
      <x:c r="J1539" s="400"/>
      <x:c r="K1539" s="400" t="str">
        <x:v>待同名检索｜待建档</x:v>
      </x:c>
    </x:row>
    <x:row r="1540" ht="52" hidden="0" customHeight="1">
      <x:c r="A1540" s="399" t="str">
        <x:v>SHJ-14-026-1</x:v>
      </x:c>
      <x:c r="B1540" s="399" t="str">
        <x:v>卷十四 《大荒東經》</x:v>
      </x:c>
      <x:c r="C1540" s="400" t="str">
        <x:v>大荒之中，有山名曰孽搖頵羝，上有扶木，柱三百里，其葉如芥。有谷曰溫源谷。湯谷上有扶木。一日方至，一日方出，皆載於烏。</x:v>
      </x:c>
      <x:c r="D1540" s="399" t="str">
        <x:v>孽搖頵羝山</x:v>
      </x:c>
      <x:c r="E1540" s="399" t="str">
        <x:v>山／丘</x:v>
      </x:c>
      <x:c r="F1540" s="401"/>
      <x:c r="G1540" s="400" t="str">
        <x:v>标点与分段参考《山海经校注》；正文对读：https://ctext.org/shan-hai-jing/da-huang-dong-jing/zh</x:v>
      </x:c>
      <x:c r="H1540" s="402" t="e">
        <x:f>HYPERLINK("#'山海经原文总库'!A3","↩ 返回目录")</x:f>
        <x:v>HYPERLINK is not implemented. linkLocation=#'山海经原文总库'!A3, friendlyName=↩ 返回目录</x:v>
      </x:c>
      <x:c r="I1540" s="400"/>
      <x:c r="J1540" s="400"/>
      <x:c r="K1540" s="400" t="str">
        <x:v>待同名检索｜待建档</x:v>
      </x:c>
    </x:row>
    <x:row r="1541" ht="52" hidden="0" customHeight="1">
      <x:c r="A1541" s="399" t="str">
        <x:v>SHJ-14-026-2</x:v>
      </x:c>
      <x:c r="B1541" s="399" t="str">
        <x:v>卷十四 《大荒東經》</x:v>
      </x:c>
      <x:c r="C1541" s="400"/>
      <x:c r="D1541" s="399" t="str">
        <x:v>溫源谷</x:v>
      </x:c>
      <x:c r="E1541" s="399" t="str">
        <x:v>地理名稱</x:v>
      </x:c>
      <x:c r="F1541" s="401"/>
      <x:c r="G1541" s="400" t="str">
        <x:v>标点与分段参考《山海经校注》；正文对读：https://ctext.org/shan-hai-jing/da-huang-dong-jing/zh</x:v>
      </x:c>
      <x:c r="H1541" s="402" t="e">
        <x:f>HYPERLINK("#'山海经原文总库'!A3","↩ 返回目录")</x:f>
        <x:v>HYPERLINK is not implemented. linkLocation=#'山海经原文总库'!A3, friendlyName=↩ 返回目录</x:v>
      </x:c>
      <x:c r="I1541" s="400"/>
      <x:c r="J1541" s="400"/>
      <x:c r="K1541" s="400" t="str">
        <x:v>待同名检索｜待建档</x:v>
      </x:c>
    </x:row>
    <x:row r="1542" ht="52" hidden="0" customHeight="1">
      <x:c r="A1542" s="399" t="str">
        <x:v>SHJ-14-026-3</x:v>
      </x:c>
      <x:c r="B1542" s="399" t="str">
        <x:v>卷十四 《大荒東經》</x:v>
      </x:c>
      <x:c r="C1542" s="400"/>
      <x:c r="D1542" s="399" t="str">
        <x:v>湯谷</x:v>
      </x:c>
      <x:c r="E1542" s="399" t="str">
        <x:v>地理名稱</x:v>
      </x:c>
      <x:c r="F1542" s="401"/>
      <x:c r="G1542" s="400" t="str">
        <x:v>标点与分段参考《山海经校注》；正文对读：https://ctext.org/shan-hai-jing/da-huang-dong-jing/zh</x:v>
      </x:c>
      <x:c r="H1542" s="402" t="e">
        <x:f>HYPERLINK("#'山海经原文总库'!A3","↩ 返回目录")</x:f>
        <x:v>HYPERLINK is not implemented. linkLocation=#'山海经原文总库'!A3, friendlyName=↩ 返回目录</x:v>
      </x:c>
      <x:c r="I1542" s="400"/>
      <x:c r="J1542" s="400"/>
      <x:c r="K1542" s="400" t="str">
        <x:v>待同名检索｜待建档</x:v>
      </x:c>
    </x:row>
    <x:row r="1543" ht="52" hidden="0" customHeight="1">
      <x:c r="A1543" s="399" t="str">
        <x:v>SHJ-14-027-1</x:v>
      </x:c>
      <x:c r="B1543" s="399" t="str">
        <x:v>卷十四 《大荒東經》</x:v>
      </x:c>
      <x:c r="C1543" s="400" t="str">
        <x:v>有神，人面、犬耳、獸身，珥兩青蛇，名曰奢比屍。</x:v>
      </x:c>
      <x:c r="D1543" s="399"/>
      <x:c r="E1543" s="399"/>
      <x:c r="F1543" s="401"/>
      <x:c r="G1543" s="400" t="str">
        <x:v>标点与分段参考《山海经校注》；正文对读：https://ctext.org/shan-hai-jing/da-huang-dong-jing/zh</x:v>
      </x:c>
      <x:c r="H1543" s="402" t="e">
        <x:f>HYPERLINK("#'山海经原文总库'!A3","↩ 返回目录")</x:f>
        <x:v>HYPERLINK is not implemented. linkLocation=#'山海经原文总库'!A3, friendlyName=↩ 返回目录</x:v>
      </x:c>
      <x:c r="I1543" s="400"/>
      <x:c r="J1543" s="400"/>
      <x:c r="K1543" s="400" t="str">
        <x:v>经文已收录｜非地点行</x:v>
      </x:c>
    </x:row>
    <x:row r="1544" ht="52" hidden="0" customHeight="1">
      <x:c r="A1544" s="399" t="str">
        <x:v>SHJ-14-028-1</x:v>
      </x:c>
      <x:c r="B1544" s="399" t="str">
        <x:v>卷十四 《大荒東經》</x:v>
      </x:c>
      <x:c r="C1544" s="400" t="str">
        <x:v>有五採之鳥，相鄉棄沙。惟帝俊下友。帝下兩壇，採鳥是司。</x:v>
      </x:c>
      <x:c r="D1544" s="399" t="str">
        <x:v>帝下兩壇</x:v>
      </x:c>
      <x:c r="E1544" s="399" t="str">
        <x:v>臺／壇</x:v>
      </x:c>
      <x:c r="F1544" s="401"/>
      <x:c r="G1544" s="400" t="str">
        <x:v>标点与分段参考《山海经校注》；正文对读：https://ctext.org/shan-hai-jing/da-huang-dong-jing/zh</x:v>
      </x:c>
      <x:c r="H1544" s="402" t="e">
        <x:f>HYPERLINK("#'山海经原文总库'!A3","↩ 返回目录")</x:f>
        <x:v>HYPERLINK is not implemented. linkLocation=#'山海经原文总库'!A3, friendlyName=↩ 返回目录</x:v>
      </x:c>
      <x:c r="I1544" s="400"/>
      <x:c r="J1544" s="400"/>
      <x:c r="K1544" s="400" t="str">
        <x:v>待同名检索｜待建档</x:v>
      </x:c>
    </x:row>
    <x:row r="1545" ht="52" hidden="0" customHeight="1">
      <x:c r="A1545" s="399" t="str">
        <x:v>SHJ-14-029-1</x:v>
      </x:c>
      <x:c r="B1545" s="399" t="str">
        <x:v>卷十四 《大荒東經》</x:v>
      </x:c>
      <x:c r="C1545" s="400" t="str">
        <x:v>大荒之中，有山名猗天蘇門，日月所生。有壎民之國。</x:v>
      </x:c>
      <x:c r="D1545" s="399" t="str">
        <x:v>猗天蘇門山</x:v>
      </x:c>
      <x:c r="E1545" s="399" t="str">
        <x:v>山／丘</x:v>
      </x:c>
      <x:c r="F1545" s="401"/>
      <x:c r="G1545" s="400" t="str">
        <x:v>标点与分段参考《山海经校注》；正文对读：https://ctext.org/shan-hai-jing/da-huang-dong-jing/zh</x:v>
      </x:c>
      <x:c r="H1545" s="402" t="e">
        <x:f>HYPERLINK("#'山海经原文总库'!A3","↩ 返回目录")</x:f>
        <x:v>HYPERLINK is not implemented. linkLocation=#'山海经原文总库'!A3, friendlyName=↩ 返回目录</x:v>
      </x:c>
      <x:c r="I1545" s="400"/>
      <x:c r="J1545" s="400"/>
      <x:c r="K1545" s="400" t="str">
        <x:v>待同名检索｜待建档</x:v>
      </x:c>
    </x:row>
    <x:row r="1546" ht="52" hidden="0" customHeight="1">
      <x:c r="A1546" s="399" t="str">
        <x:v>SHJ-14-029-2</x:v>
      </x:c>
      <x:c r="B1546" s="399" t="str">
        <x:v>卷十四 《大荒東經》</x:v>
      </x:c>
      <x:c r="C1546" s="400"/>
      <x:c r="D1546" s="399" t="str">
        <x:v>壎民國</x:v>
      </x:c>
      <x:c r="E1546" s="399" t="str">
        <x:v>國家／族群</x:v>
      </x:c>
      <x:c r="F1546" s="401"/>
      <x:c r="G1546" s="400" t="str">
        <x:v>标点与分段参考《山海经校注》；正文对读：https://ctext.org/shan-hai-jing/da-huang-dong-jing/zh</x:v>
      </x:c>
      <x:c r="H1546" s="402" t="e">
        <x:f>HYPERLINK("#'山海经原文总库'!A3","↩ 返回目录")</x:f>
        <x:v>HYPERLINK is not implemented. linkLocation=#'山海经原文总库'!A3, friendlyName=↩ 返回目录</x:v>
      </x:c>
      <x:c r="I1546" s="400"/>
      <x:c r="J1546" s="400"/>
      <x:c r="K1546" s="400" t="str">
        <x:v>待同名检索｜待建档</x:v>
      </x:c>
    </x:row>
    <x:row r="1547" ht="52" hidden="0" customHeight="1">
      <x:c r="A1547" s="399" t="str">
        <x:v>SHJ-14-030-1</x:v>
      </x:c>
      <x:c r="B1547" s="399" t="str">
        <x:v>卷十四 《大荒東經》</x:v>
      </x:c>
      <x:c r="C1547" s="400" t="str">
        <x:v>有綦山。又有搖山。有（鬲曾）山。又有門戶山。又有盛山。又有待山。有五採之鳥。</x:v>
      </x:c>
      <x:c r="D1547" s="399" t="str">
        <x:v>綦山</x:v>
      </x:c>
      <x:c r="E1547" s="399" t="str">
        <x:v>山／丘</x:v>
      </x:c>
      <x:c r="F1547" s="401"/>
      <x:c r="G1547" s="400" t="str">
        <x:v>标点与分段参考《山海经校注》；正文对读：https://ctext.org/shan-hai-jing/da-huang-dong-jing/zh</x:v>
      </x:c>
      <x:c r="H1547" s="402" t="e">
        <x:f>HYPERLINK("#'山海经原文总库'!A3","↩ 返回目录")</x:f>
        <x:v>HYPERLINK is not implemented. linkLocation=#'山海经原文总库'!A3, friendlyName=↩ 返回目录</x:v>
      </x:c>
      <x:c r="I1547" s="400"/>
      <x:c r="J1547" s="400"/>
      <x:c r="K1547" s="400" t="str">
        <x:v>待同名检索｜待建档</x:v>
      </x:c>
    </x:row>
    <x:row r="1548" ht="52" hidden="0" customHeight="1">
      <x:c r="A1548" s="399" t="str">
        <x:v>SHJ-14-030-2</x:v>
      </x:c>
      <x:c r="B1548" s="399" t="str">
        <x:v>卷十四 《大荒東經》</x:v>
      </x:c>
      <x:c r="C1548" s="400"/>
      <x:c r="D1548" s="399" t="str">
        <x:v>搖山</x:v>
      </x:c>
      <x:c r="E1548" s="399" t="str">
        <x:v>山／丘</x:v>
      </x:c>
      <x:c r="F1548" s="401"/>
      <x:c r="G1548" s="400" t="str">
        <x:v>标点与分段参考《山海经校注》；正文对读：https://ctext.org/shan-hai-jing/da-huang-dong-jing/zh</x:v>
      </x:c>
      <x:c r="H1548" s="402" t="e">
        <x:f>HYPERLINK("#'山海经原文总库'!A3","↩ 返回目录")</x:f>
        <x:v>HYPERLINK is not implemented. linkLocation=#'山海经原文总库'!A3, friendlyName=↩ 返回目录</x:v>
      </x:c>
      <x:c r="I1548" s="400"/>
      <x:c r="J1548" s="400"/>
      <x:c r="K1548" s="400" t="str">
        <x:v>待同名检索｜待建档</x:v>
      </x:c>
    </x:row>
    <x:row r="1549" ht="52" hidden="0" customHeight="1">
      <x:c r="A1549" s="399" t="str">
        <x:v>SHJ-14-030-3</x:v>
      </x:c>
      <x:c r="B1549" s="399" t="str">
        <x:v>卷十四 《大荒東經》</x:v>
      </x:c>
      <x:c r="C1549" s="400"/>
      <x:c r="D1549" s="399" t="str">
        <x:v>䰝山</x:v>
      </x:c>
      <x:c r="E1549" s="399" t="str">
        <x:v>山／丘</x:v>
      </x:c>
      <x:c r="F1549" s="401"/>
      <x:c r="G1549" s="400" t="str">
        <x:v>标点与分段参考《山海经校注》；正文对读：https://ctext.org/shan-hai-jing/da-huang-dong-jing/zh</x:v>
      </x:c>
      <x:c r="H1549" s="402" t="e">
        <x:f>HYPERLINK("#'山海经原文总库'!A3","↩ 返回目录")</x:f>
        <x:v>HYPERLINK is not implemented. linkLocation=#'山海经原文总库'!A3, friendlyName=↩ 返回目录</x:v>
      </x:c>
      <x:c r="I1549" s="400"/>
      <x:c r="J1549" s="400"/>
      <x:c r="K1549" s="400" t="str">
        <x:v>待同名检索｜待建档</x:v>
      </x:c>
    </x:row>
    <x:row r="1550" ht="52" hidden="0" customHeight="1">
      <x:c r="A1550" s="399" t="str">
        <x:v>SHJ-14-030-4</x:v>
      </x:c>
      <x:c r="B1550" s="399" t="str">
        <x:v>卷十四 《大荒東經》</x:v>
      </x:c>
      <x:c r="C1550" s="400"/>
      <x:c r="D1550" s="399" t="str">
        <x:v>門戶山</x:v>
      </x:c>
      <x:c r="E1550" s="399" t="str">
        <x:v>山／丘</x:v>
      </x:c>
      <x:c r="F1550" s="401"/>
      <x:c r="G1550" s="400" t="str">
        <x:v>标点与分段参考《山海经校注》；正文对读：https://ctext.org/shan-hai-jing/da-huang-dong-jing/zh</x:v>
      </x:c>
      <x:c r="H1550" s="402" t="e">
        <x:f>HYPERLINK("#'山海经原文总库'!A3","↩ 返回目录")</x:f>
        <x:v>HYPERLINK is not implemented. linkLocation=#'山海经原文总库'!A3, friendlyName=↩ 返回目录</x:v>
      </x:c>
      <x:c r="I1550" s="400"/>
      <x:c r="J1550" s="400"/>
      <x:c r="K1550" s="400" t="str">
        <x:v>待同名检索｜待建档</x:v>
      </x:c>
    </x:row>
    <x:row r="1551" ht="52" hidden="0" customHeight="1">
      <x:c r="A1551" s="399" t="str">
        <x:v>SHJ-14-030-5</x:v>
      </x:c>
      <x:c r="B1551" s="399" t="str">
        <x:v>卷十四 《大荒東經》</x:v>
      </x:c>
      <x:c r="C1551" s="400"/>
      <x:c r="D1551" s="399" t="str">
        <x:v>盛山</x:v>
      </x:c>
      <x:c r="E1551" s="399" t="str">
        <x:v>山／丘</x:v>
      </x:c>
      <x:c r="F1551" s="401"/>
      <x:c r="G1551" s="400" t="str">
        <x:v>标点与分段参考《山海经校注》；正文对读：https://ctext.org/shan-hai-jing/da-huang-dong-jing/zh</x:v>
      </x:c>
      <x:c r="H1551" s="402" t="e">
        <x:f>HYPERLINK("#'山海经原文总库'!A3","↩ 返回目录")</x:f>
        <x:v>HYPERLINK is not implemented. linkLocation=#'山海经原文总库'!A3, friendlyName=↩ 返回目录</x:v>
      </x:c>
      <x:c r="I1551" s="400"/>
      <x:c r="J1551" s="400"/>
      <x:c r="K1551" s="400" t="str">
        <x:v>待同名检索｜待建档</x:v>
      </x:c>
    </x:row>
    <x:row r="1552" ht="52" hidden="0" customHeight="1">
      <x:c r="A1552" s="399" t="str">
        <x:v>SHJ-14-030-6</x:v>
      </x:c>
      <x:c r="B1552" s="399" t="str">
        <x:v>卷十四 《大荒東經》</x:v>
      </x:c>
      <x:c r="C1552" s="400"/>
      <x:c r="D1552" s="399" t="str">
        <x:v>待山</x:v>
      </x:c>
      <x:c r="E1552" s="399" t="str">
        <x:v>山／丘</x:v>
      </x:c>
      <x:c r="F1552" s="401"/>
      <x:c r="G1552" s="400" t="str">
        <x:v>标点与分段参考《山海经校注》；正文对读：https://ctext.org/shan-hai-jing/da-huang-dong-jing/zh</x:v>
      </x:c>
      <x:c r="H1552" s="402" t="e">
        <x:f>HYPERLINK("#'山海经原文总库'!A3","↩ 返回目录")</x:f>
        <x:v>HYPERLINK is not implemented. linkLocation=#'山海经原文总库'!A3, friendlyName=↩ 返回目录</x:v>
      </x:c>
      <x:c r="I1552" s="400"/>
      <x:c r="J1552" s="400"/>
      <x:c r="K1552" s="400" t="str">
        <x:v>待同名检索｜待建档</x:v>
      </x:c>
    </x:row>
    <x:row r="1553" ht="52" hidden="0" customHeight="1">
      <x:c r="A1553" s="399" t="str">
        <x:v>SHJ-14-031-1</x:v>
      </x:c>
      <x:c r="B1553" s="399" t="str">
        <x:v>卷十四 《大荒東經》</x:v>
      </x:c>
      <x:c r="C1553" s="400" t="str">
        <x:v>東荒之中，有山名曰壑明俊疾，日月所出。有中容之國。</x:v>
      </x:c>
      <x:c r="D1553" s="399" t="str">
        <x:v>壑明俊疾山</x:v>
      </x:c>
      <x:c r="E1553" s="399" t="str">
        <x:v>山／丘</x:v>
      </x:c>
      <x:c r="F1553" s="401"/>
      <x:c r="G1553" s="400" t="str">
        <x:v>标点与分段参考《山海经校注》；正文对读：https://ctext.org/shan-hai-jing/da-huang-dong-jing/zh</x:v>
      </x:c>
      <x:c r="H1553" s="402" t="e">
        <x:f t="shared" ref="H1553:H1558" si="19">HYPERLINK("#'山海经原文总库'!A3","↩ 返回目录")</x:f>
        <x:v>HYPERLINK is not implemented. linkLocation=#'山海经原文总库'!A3, friendlyName=↩ 返回目录</x:v>
      </x:c>
      <x:c r="I1553" s="400"/>
      <x:c r="J1553" s="400"/>
      <x:c r="K1553" s="400" t="str">
        <x:v>待同名检索｜待建档</x:v>
      </x:c>
    </x:row>
    <x:row r="1554" ht="52" hidden="0" customHeight="1">
      <x:c r="A1554" s="399" t="str">
        <x:v>SHJ-14-031-2</x:v>
      </x:c>
      <x:c r="B1554" s="399" t="str">
        <x:v>卷十四 《大荒東經》</x:v>
      </x:c>
      <x:c r="C1554" s="400"/>
      <x:c r="D1554" s="399" t="str">
        <x:v>中容國</x:v>
      </x:c>
      <x:c r="E1554" s="399" t="str">
        <x:v>國家／族群</x:v>
      </x:c>
      <x:c r="F1554" s="401"/>
      <x:c r="G1554" s="400" t="str">
        <x:v>标点与分段参考《山海经校注》；正文对读：https://ctext.org/shan-hai-jing/da-huang-dong-jing/zh</x:v>
      </x:c>
      <x:c r="H1554" s="402" t="e">
        <x:f t="shared" si="19">HYPERLINK("#'山海经原文总库'!A3","↩ 返回目录")</x:f>
        <x:v>HYPERLINK is not implemented. linkLocation=#'山海经原文总库'!A3, friendlyName=↩ 返回目录</x:v>
      </x:c>
      <x:c r="I1554" s="400"/>
      <x:c r="J1554" s="400"/>
      <x:c r="K1554" s="400" t="str">
        <x:v>待同名检索｜待建档</x:v>
      </x:c>
    </x:row>
    <x:row r="1555" ht="52" hidden="0" customHeight="1">
      <x:c r="A1555" s="399" t="str">
        <x:v>SHJ-14-032-1</x:v>
      </x:c>
      <x:c r="B1555" s="399" t="str">
        <x:v>卷十四 《大荒東經》</x:v>
      </x:c>
      <x:c r="C1555" s="400" t="str">
        <x:v>東北海外，又有三青馬、三騅、甘華。爰有遺玉、三青鳥、三騅、視肉、甘華、甘柤，百穀所在。</x:v>
      </x:c>
      <x:c r="D1555" s="399" t="str">
        <x:v>東北海外</x:v>
      </x:c>
      <x:c r="E1555" s="399" t="str">
        <x:v>區域</x:v>
      </x:c>
      <x:c r="F1555" s="401"/>
      <x:c r="G1555" s="400" t="str">
        <x:v>标点与分段参考《山海经校注》；正文对读：https://ctext.org/shan-hai-jing/da-huang-dong-jing/zh</x:v>
      </x:c>
      <x:c r="H1555" s="402" t="e">
        <x:f t="shared" si="19">HYPERLINK("#'山海经原文总库'!A3","↩ 返回目录")</x:f>
        <x:v>HYPERLINK is not implemented. linkLocation=#'山海经原文总库'!A3, friendlyName=↩ 返回目录</x:v>
      </x:c>
      <x:c r="I1555" s="400"/>
      <x:c r="J1555" s="400"/>
      <x:c r="K1555" s="400" t="str">
        <x:v>待同名检索｜待建档</x:v>
      </x:c>
    </x:row>
    <x:row r="1556" ht="52" hidden="0" customHeight="1">
      <x:c r="A1556" s="399" t="str">
        <x:v>SHJ-14-033-1</x:v>
      </x:c>
      <x:c r="B1556" s="399" t="str">
        <x:v>卷十四 《大荒東經》</x:v>
      </x:c>
      <x:c r="C1556" s="400" t="str">
        <x:v>有女和月母之國。有人名曰鵷，北方曰鵷，來之風曰（犬炎），是處東極隅以止日月，使無相間出沒，司其短長。</x:v>
      </x:c>
      <x:c r="D1556" s="399" t="str">
        <x:v>女和月母國</x:v>
      </x:c>
      <x:c r="E1556" s="399" t="str">
        <x:v>國家／族群</x:v>
      </x:c>
      <x:c r="F1556" s="401"/>
      <x:c r="G1556" s="400" t="str">
        <x:v>标点与分段参考《山海经校注》；正文对读：https://ctext.org/shan-hai-jing/da-huang-dong-jing/zh</x:v>
      </x:c>
      <x:c r="H1556" s="402" t="e">
        <x:f t="shared" si="19">HYPERLINK("#'山海经原文总库'!A3","↩ 返回目录")</x:f>
        <x:v>HYPERLINK is not implemented. linkLocation=#'山海经原文总库'!A3, friendlyName=↩ 返回目录</x:v>
      </x:c>
      <x:c r="I1556" s="400"/>
      <x:c r="J1556" s="400"/>
      <x:c r="K1556" s="400" t="str">
        <x:v>待同名检索｜待建档</x:v>
      </x:c>
    </x:row>
    <x:row r="1557" ht="52" hidden="0" customHeight="1">
      <x:c r="A1557" s="399" t="str">
        <x:v>SHJ-14-033-2</x:v>
      </x:c>
      <x:c r="B1557" s="399" t="str">
        <x:v>卷十四 《大荒東經》</x:v>
      </x:c>
      <x:c r="C1557" s="400"/>
      <x:c r="D1557" s="399" t="str">
        <x:v>東極隅</x:v>
      </x:c>
      <x:c r="E1557" s="399" t="str">
        <x:v>區域</x:v>
      </x:c>
      <x:c r="F1557" s="401"/>
      <x:c r="G1557" s="400" t="str">
        <x:v>标点与分段参考《山海经校注》；正文对读：https://ctext.org/shan-hai-jing/da-huang-dong-jing/zh</x:v>
      </x:c>
      <x:c r="H1557" s="402" t="e">
        <x:f t="shared" si="19">HYPERLINK("#'山海经原文总库'!A3","↩ 返回目录")</x:f>
        <x:v>HYPERLINK is not implemented. linkLocation=#'山海经原文总库'!A3, friendlyName=↩ 返回目录</x:v>
      </x:c>
      <x:c r="I1557" s="400"/>
      <x:c r="J1557" s="400"/>
      <x:c r="K1557" s="400" t="str">
        <x:v>待同名检索｜待建档</x:v>
      </x:c>
    </x:row>
    <x:row r="1558" ht="52" hidden="0" customHeight="1">
      <x:c r="A1558" s="399" t="str">
        <x:v>SHJ-14-034-1</x:v>
      </x:c>
      <x:c r="B1558" s="399" t="str">
        <x:v>卷十四 《大荒東經》</x:v>
      </x:c>
      <x:c r="C1558" s="400" t="str">
        <x:v>大荒東北隅中，有山名曰兇犁土丘。應龍處南極，殺蚩尤與誇父，不得復上。故下數旱，旱而爲應龍之狀，乃得大雨。</x:v>
      </x:c>
      <x:c r="D1558" s="399" t="str">
        <x:v>凶犁土丘</x:v>
      </x:c>
      <x:c r="E1558" s="399" t="str">
        <x:v>山／丘</x:v>
      </x:c>
      <x:c r="F1558" s="401"/>
      <x:c r="G1558" s="400" t="str">
        <x:v>标点与分段参考《山海经校注》；正文对读：https://ctext.org/shan-hai-jing/da-huang-dong-jing/zh</x:v>
      </x:c>
      <x:c r="H1558" s="402" t="e">
        <x:f t="shared" si="19">HYPERLINK("#'山海经原文总库'!A3","↩ 返回目录")</x:f>
        <x:v>HYPERLINK is not implemented. linkLocation=#'山海经原文总库'!A3, friendlyName=↩ 返回目录</x:v>
      </x:c>
      <x:c r="I1558" s="400"/>
      <x:c r="J1558" s="400"/>
      <x:c r="K1558" s="400" t="str">
        <x:v>待同名检索｜待建档</x:v>
      </x:c>
    </x:row>
    <x:row r="1559" ht="52" hidden="0" customHeight="1">
      <x:c r="A1559" s="399" t="str">
        <x:v>SHJ-14-034-2</x:v>
      </x:c>
      <x:c r="B1559" s="399" t="str">
        <x:v>卷十四 《大荒東經》</x:v>
      </x:c>
      <x:c r="C1559" s="400"/>
      <x:c r="D1559" s="399" t="str">
        <x:v>南極</x:v>
      </x:c>
      <x:c r="E1559" s="399" t="str">
        <x:v>區域</x:v>
      </x:c>
      <x:c r="F1559" s="401"/>
      <x:c r="G1559" s="400" t="str">
        <x:v>标点与分段参考《山海经校注》；正文对读：https://ctext.org/shan-hai-jing/da-huang-dong-jing/zh</x:v>
      </x:c>
      <x:c r="H1559" s="402" t="e">
        <x:f>HYPERLINK("#'山海经原文总库'!A3","↩ 返回目录")</x:f>
        <x:v>HYPERLINK is not implemented. linkLocation=#'山海经原文总库'!A3, friendlyName=↩ 返回目录</x:v>
      </x:c>
      <x:c r="I1559" s="400"/>
      <x:c r="J1559" s="400"/>
      <x:c r="K1559" s="400" t="str">
        <x:v>待同名检索｜待建档</x:v>
      </x:c>
    </x:row>
    <x:row r="1560" ht="52" hidden="0" customHeight="1">
      <x:c r="A1560" s="399" t="str">
        <x:v>SHJ-14-035-1</x:v>
      </x:c>
      <x:c r="B1560" s="399" t="str">
        <x:v>卷十四 《大荒東經》</x:v>
      </x:c>
      <x:c r="C1560" s="400" t="str">
        <x:v>東海中有流波山，入海七千里。其上有獸，狀如牛，蒼身而無角，一足，出入水則必風雨，其光如日月，其聲如雷，其名曰夔。黃帝得之，以其皮爲鼓，橛以雷獸之骨，聲聞五百里，以威天下。</x:v>
      </x:c>
      <x:c r="D1560" s="399" t="str">
        <x:v>流波山</x:v>
      </x:c>
      <x:c r="E1560" s="399" t="str">
        <x:v>山／丘</x:v>
      </x:c>
      <x:c r="F1560" s="401"/>
      <x:c r="G1560" s="400" t="str">
        <x:v>标点与分段参考《山海经校注》；正文对读：https://ctext.org/shan-hai-jing/da-huang-dong-jing/zh</x:v>
      </x:c>
      <x:c r="H1560" s="402" t="e">
        <x:f>HYPERLINK("#'山海经原文总库'!A3","↩ 返回目录")</x:f>
        <x:v>HYPERLINK is not implemented. linkLocation=#'山海经原文总库'!A3, friendlyName=↩ 返回目录</x:v>
      </x:c>
      <x:c r="I1560" s="400"/>
      <x:c r="J1560" s="400"/>
      <x:c r="K1560" s="400" t="str">
        <x:v>待同名检索｜待建档</x:v>
      </x:c>
    </x:row>
    <x:row r="1561" ht="52" hidden="0" customHeight="1">
      <x:c r="A1561" s="399" t="str">
        <x:v>SHJ-14-035-2</x:v>
      </x:c>
      <x:c r="B1561" s="399" t="str">
        <x:v>卷十四 《大荒東經》</x:v>
      </x:c>
      <x:c r="C1561" s="400"/>
      <x:c r="D1561" s="399" t="str">
        <x:v>東海</x:v>
      </x:c>
      <x:c r="E1561" s="399" t="str">
        <x:v>水系／水域</x:v>
      </x:c>
      <x:c r="F1561" s="401"/>
      <x:c r="G1561" s="400" t="str">
        <x:v>标点与分段参考《山海经校注》；正文对读：https://ctext.org/shan-hai-jing/da-huang-dong-jing/zh</x:v>
      </x:c>
      <x:c r="H1561" s="402" t="e">
        <x:f>HYPERLINK("#'山海经原文总库'!A3","↩ 返回目录")</x:f>
        <x:v>HYPERLINK is not implemented. linkLocation=#'山海经原文总库'!A3, friendlyName=↩ 返回目录</x:v>
      </x:c>
      <x:c r="I1561" s="400"/>
      <x:c r="J1561" s="400"/>
      <x:c r="K1561" s="400" t="str">
        <x:v>待同名检索｜待建档</x:v>
      </x:c>
    </x:row>
    <x:row r="1562" ht="52" hidden="0" customHeight="1">
      <x:c r="A1562" s="399" t="str">
        <x:v>SHJ-15-001-1</x:v>
      </x:c>
      <x:c r="B1562" s="399" t="str">
        <x:v>卷十五 《大荒南經》</x:v>
      </x:c>
      <x:c r="C1562" s="400" t="str">
        <x:v>南海之外，赤水之西，流沙之東，有獸，左右有首，名曰（足朮）踢。有三青獸相併，名曰雙雙。</x:v>
      </x:c>
      <x:c r="D1562" s="399" t="str">
        <x:v>南海之外</x:v>
      </x:c>
      <x:c r="E1562" s="399" t="str">
        <x:v>區域</x:v>
      </x:c>
      <x:c r="F1562" s="401"/>
      <x:c r="G1562" s="400" t="str">
        <x:v>标点与分段参考《山海经校注》；正文对读：https://ctext.org/shan-hai-jing/da-huang-nan-jing/zh</x:v>
      </x:c>
      <x:c r="H1562" s="402" t="e">
        <x:f>HYPERLINK("#'山海经原文总库'!A3","↩ 返回目录")</x:f>
        <x:v>HYPERLINK is not implemented. linkLocation=#'山海经原文总库'!A3, friendlyName=↩ 返回目录</x:v>
      </x:c>
      <x:c r="I1562" s="400"/>
      <x:c r="J1562" s="400"/>
      <x:c r="K1562" s="400" t="str">
        <x:v>待同名检索｜待建档</x:v>
      </x:c>
    </x:row>
    <x:row r="1563" ht="52" hidden="0" customHeight="1">
      <x:c r="A1563" s="399" t="str">
        <x:v>SHJ-15-001-2</x:v>
      </x:c>
      <x:c r="B1563" s="399" t="str">
        <x:v>卷十五 《大荒南經》</x:v>
      </x:c>
      <x:c r="C1563" s="400"/>
      <x:c r="D1563" s="399" t="str">
        <x:v>赤水</x:v>
      </x:c>
      <x:c r="E1563" s="399" t="str">
        <x:v>水系／水域</x:v>
      </x:c>
      <x:c r="F1563" s="401"/>
      <x:c r="G1563" s="400" t="str">
        <x:v>标点与分段参考《山海经校注》；正文对读：https://ctext.org/shan-hai-jing/da-huang-nan-jing/zh</x:v>
      </x:c>
      <x:c r="H1563" s="402" t="e">
        <x:f>HYPERLINK("#'山海经原文总库'!A3","↩ 返回目录")</x:f>
        <x:v>HYPERLINK is not implemented. linkLocation=#'山海经原文总库'!A3, friendlyName=↩ 返回目录</x:v>
      </x:c>
      <x:c r="I1563" s="400"/>
      <x:c r="J1563" s="400"/>
      <x:c r="K1563" s="400" t="str">
        <x:v>待同名检索｜待建档</x:v>
      </x:c>
    </x:row>
    <x:row r="1564" ht="52" hidden="0" customHeight="1">
      <x:c r="A1564" s="399" t="str">
        <x:v>SHJ-15-001-3</x:v>
      </x:c>
      <x:c r="B1564" s="399" t="str">
        <x:v>卷十五 《大荒南經》</x:v>
      </x:c>
      <x:c r="C1564" s="400"/>
      <x:c r="D1564" s="399" t="str">
        <x:v>流沙</x:v>
      </x:c>
      <x:c r="E1564" s="399" t="str">
        <x:v>區域</x:v>
      </x:c>
      <x:c r="F1564" s="401"/>
      <x:c r="G1564" s="400" t="str">
        <x:v>标点与分段参考《山海经校注》；正文对读：https://ctext.org/shan-hai-jing/da-huang-nan-jing/zh</x:v>
      </x:c>
      <x:c r="H1564" s="402" t="e">
        <x:f>HYPERLINK("#'山海经原文总库'!A3","↩ 返回目录")</x:f>
        <x:v>HYPERLINK is not implemented. linkLocation=#'山海经原文总库'!A3, friendlyName=↩ 返回目录</x:v>
      </x:c>
      <x:c r="I1564" s="400"/>
      <x:c r="J1564" s="400"/>
      <x:c r="K1564" s="400" t="str">
        <x:v>待同名检索｜待建档</x:v>
      </x:c>
    </x:row>
    <x:row r="1565" ht="52" hidden="0" customHeight="1">
      <x:c r="A1565" s="399" t="str">
        <x:v>SHJ-15-002-1</x:v>
      </x:c>
      <x:c r="B1565" s="399" t="str">
        <x:v>卷十五 《大荒南經》</x:v>
      </x:c>
      <x:c r="C1565" s="400" t="str">
        <x:v>有阿山者。南海之中，有泛天之山，赤水窮焉。赤水之東，有蒼梧之野，舜與叔均之所葬也。爰有文貝、離俞、（丘鳥）久、鷹、賈、委維、熊、羆、象、虎、豹、狼、視肉。</x:v>
      </x:c>
      <x:c r="D1565" s="399" t="str">
        <x:v>阿山</x:v>
      </x:c>
      <x:c r="E1565" s="399" t="str">
        <x:v>山／丘</x:v>
      </x:c>
      <x:c r="F1565" s="401"/>
      <x:c r="G1565" s="400" t="str">
        <x:v>标点与分段参考《山海经校注》；正文对读：https://ctext.org/shan-hai-jing/da-huang-nan-jing/zh</x:v>
      </x:c>
      <x:c r="H1565" s="402" t="e">
        <x:f>HYPERLINK("#'山海经原文总库'!A3","↩ 返回目录")</x:f>
        <x:v>HYPERLINK is not implemented. linkLocation=#'山海经原文总库'!A3, friendlyName=↩ 返回目录</x:v>
      </x:c>
      <x:c r="I1565" s="400" t="str"/>
      <x:c r="J1565" s="400" t="str"/>
      <x:c r="K1565" s="400" t="str">
        <x:v>待同名检索｜待建档</x:v>
      </x:c>
    </x:row>
    <x:row r="1566" ht="52" hidden="0" customHeight="1">
      <x:c r="A1566" s="399" t="str">
        <x:v>SHJ-15-002-2</x:v>
      </x:c>
      <x:c r="B1566" s="399" t="str">
        <x:v>卷十五 《大荒南經》</x:v>
      </x:c>
      <x:c r="C1566" s="400"/>
      <x:c r="D1566" s="399" t="str">
        <x:v>氾天山</x:v>
      </x:c>
      <x:c r="E1566" s="399" t="str">
        <x:v>山／丘</x:v>
      </x:c>
      <x:c r="F1566" s="401" t="e">
        <x:f>HYPERLINK("#'都广核心区总表'!B99","→ 查看条目")</x:f>
        <x:v>HYPERLINK is not implemented. linkLocation=#'都广核心区总表'!B99, friendlyName=→ 查看条目</x:v>
      </x:c>
      <x:c r="G1566" s="400" t="str">
        <x:v>标点与分段参考《山海经校注》；正文对读：https://ctext.org/shan-hai-jing/da-huang-nan-jing/zh</x:v>
      </x:c>
      <x:c r="H1566" s="402" t="e">
        <x:f>HYPERLINK("#'山海经原文总库'!A3","↩ 返回目录")</x:f>
        <x:v>HYPERLINK is not implemented. linkLocation=#'山海经原文总库'!A3, friendlyName=↩ 返回目录</x:v>
      </x:c>
      <x:c r="I1566" s="400" t="str">
        <x:v>是</x:v>
      </x:c>
      <x:c r="J1566" s="400" t="str">
        <x:v>总表第99行｜X=+200里，Y=-100里（+2，-1格）｜在南海中、赤水终止关系锁定</x:v>
      </x:c>
      <x:c r="K1566" s="400" t="str">
        <x:v>已检索｜已建档</x:v>
      </x:c>
    </x:row>
    <x:row r="1567" ht="52" hidden="0" customHeight="1">
      <x:c r="A1567" s="399" t="str">
        <x:v>SHJ-15-002-3</x:v>
      </x:c>
      <x:c r="B1567" s="399" t="str">
        <x:v>卷十五 《大荒南經》</x:v>
      </x:c>
      <x:c r="C1567" s="400"/>
      <x:c r="D1567" s="399" t="str">
        <x:v>赤水</x:v>
      </x:c>
      <x:c r="E1567" s="399" t="str">
        <x:v>水系／水域</x:v>
      </x:c>
      <x:c r="F1567" s="401" t="e">
        <x:f>HYPERLINK("#'都广核心区总表'!B98","→ 查看条目")</x:f>
        <x:v>HYPERLINK is not implemented. linkLocation=#'都广核心区总表'!B98, friendlyName=→ 查看条目</x:v>
      </x:c>
      <x:c r="G1567" s="400" t="str">
        <x:v>标点与分段参考《山海经校注》；正文对读：https://ctext.org/shan-hai-jing/da-huang-nan-jing/zh</x:v>
      </x:c>
      <x:c r="H1567" s="402" t="e">
        <x:f>HYPERLINK("#'山海经原文总库'!A3","↩ 返回目录")</x:f>
        <x:v>HYPERLINK is not implemented. linkLocation=#'山海经原文总库'!A3, friendlyName=↩ 返回目录</x:v>
      </x:c>
      <x:c r="I1567" s="400" t="str">
        <x:v>是</x:v>
      </x:c>
      <x:c r="J1567" s="400" t="str">
        <x:v>总表第98行｜X=+200里，Y=-100里（+2，-1格）｜赤水穷于氾天山关系锁定；昆仑源段为高强度候选</x:v>
      </x:c>
      <x:c r="K1567" s="400" t="str">
        <x:v>已检索｜已建档</x:v>
      </x:c>
    </x:row>
    <x:row r="1568" ht="52" hidden="0" customHeight="1">
      <x:c r="A1568" s="399" t="str">
        <x:v>SHJ-15-002-4</x:v>
      </x:c>
      <x:c r="B1568" s="399" t="str">
        <x:v>卷十五 《大荒南經》</x:v>
      </x:c>
      <x:c r="C1568" s="400"/>
      <x:c r="D1568" s="399" t="str">
        <x:v>蒼梧之野</x:v>
      </x:c>
      <x:c r="E1568" s="399" t="str">
        <x:v>區域</x:v>
      </x:c>
      <x:c r="F1568" s="401" t="e">
        <x:f>HYPERLINK("#'都广核心区总表'!B101","→ 查看条目")</x:f>
        <x:v>HYPERLINK is not implemented. linkLocation=#'都广核心区总表'!B101, friendlyName=→ 查看条目</x:v>
      </x:c>
      <x:c r="G1568" s="400" t="str">
        <x:v>标点与分段参考《山海经校注》；正文对读：https://ctext.org/shan-hai-jing/da-huang-nan-jing/zh</x:v>
      </x:c>
      <x:c r="H1568" s="402" t="e">
        <x:f>HYPERLINK("#'山海经原文总库'!A3","↩ 返回目录")</x:f>
        <x:v>HYPERLINK is not implemented. linkLocation=#'山海经原文总库'!A3, friendlyName=↩ 返回目录</x:v>
      </x:c>
      <x:c r="I1568" s="400" t="str">
        <x:v>是</x:v>
      </x:c>
      <x:c r="J1568" s="400" t="str">
        <x:v>总表第101行｜X=+300里，Y=-100里（+3，-1格）｜在赤水东关系锁定；与现有苍梧模块同地候选未合并</x:v>
      </x:c>
      <x:c r="K1568" s="400" t="str">
        <x:v>已检索｜已建档</x:v>
      </x:c>
    </x:row>
    <x:row r="1569" ht="52" hidden="0" customHeight="1">
      <x:c r="A1569" s="399" t="str">
        <x:v>SHJ-15-003-1</x:v>
      </x:c>
      <x:c r="B1569" s="399" t="str">
        <x:v>卷十五 《大荒南經》</x:v>
      </x:c>
      <x:c r="C1569" s="400" t="str">
        <x:v>有榮山，榮水出焉。黑水之南，有玄蛇，食麈。</x:v>
      </x:c>
      <x:c r="D1569" s="399" t="str">
        <x:v>滎山</x:v>
      </x:c>
      <x:c r="E1569" s="399" t="str">
        <x:v>山／丘</x:v>
      </x:c>
      <x:c r="F1569" s="401"/>
      <x:c r="G1569" s="400" t="str">
        <x:v>标点与分段参考《山海经校注》；正文对读：https://ctext.org/shan-hai-jing/da-huang-nan-jing/zh</x:v>
      </x:c>
      <x:c r="H1569" s="402" t="e">
        <x:f>HYPERLINK("#'山海经原文总库'!A3","↩ 返回目录")</x:f>
        <x:v>HYPERLINK is not implemented. linkLocation=#'山海经原文总库'!A3, friendlyName=↩ 返回目录</x:v>
      </x:c>
      <x:c r="I1569" s="400"/>
      <x:c r="J1569" s="400"/>
      <x:c r="K1569" s="400" t="str">
        <x:v>待同名检索｜待建档</x:v>
      </x:c>
    </x:row>
    <x:row r="1570" ht="52" hidden="0" customHeight="1">
      <x:c r="A1570" s="399" t="str">
        <x:v>SHJ-15-003-2</x:v>
      </x:c>
      <x:c r="B1570" s="399" t="str">
        <x:v>卷十五 《大荒南經》</x:v>
      </x:c>
      <x:c r="C1570" s="400"/>
      <x:c r="D1570" s="399" t="str">
        <x:v>滎水</x:v>
      </x:c>
      <x:c r="E1570" s="399" t="str">
        <x:v>水系／水域</x:v>
      </x:c>
      <x:c r="F1570" s="401"/>
      <x:c r="G1570" s="400" t="str">
        <x:v>标点与分段参考《山海经校注》；正文对读：https://ctext.org/shan-hai-jing/da-huang-nan-jing/zh</x:v>
      </x:c>
      <x:c r="H1570" s="402" t="e">
        <x:f>HYPERLINK("#'山海经原文总库'!A3","↩ 返回目录")</x:f>
        <x:v>HYPERLINK is not implemented. linkLocation=#'山海经原文总库'!A3, friendlyName=↩ 返回目录</x:v>
      </x:c>
      <x:c r="I1570" s="400"/>
      <x:c r="J1570" s="400"/>
      <x:c r="K1570" s="400" t="str">
        <x:v>待同名检索｜待建档</x:v>
      </x:c>
    </x:row>
    <x:row r="1571" ht="52" hidden="0" customHeight="1">
      <x:c r="A1571" s="399" t="str">
        <x:v>SHJ-15-003-3</x:v>
      </x:c>
      <x:c r="B1571" s="399" t="str">
        <x:v>卷十五 《大荒南經》</x:v>
      </x:c>
      <x:c r="C1571" s="400"/>
      <x:c r="D1571" s="399" t="str">
        <x:v>黑水</x:v>
      </x:c>
      <x:c r="E1571" s="399" t="str">
        <x:v>水系／水域</x:v>
      </x:c>
      <x:c r="F1571" s="401"/>
      <x:c r="G1571" s="400" t="str">
        <x:v>标点与分段参考《山海经校注》；正文对读：https://ctext.org/shan-hai-jing/da-huang-nan-jing/zh</x:v>
      </x:c>
      <x:c r="H1571" s="402" t="e">
        <x:f>HYPERLINK("#'山海经原文总库'!A3","↩ 返回目录")</x:f>
        <x:v>HYPERLINK is not implemented. linkLocation=#'山海经原文总库'!A3, friendlyName=↩ 返回目录</x:v>
      </x:c>
      <x:c r="I1571" s="400"/>
      <x:c r="J1571" s="400"/>
      <x:c r="K1571" s="400" t="str">
        <x:v>待同名检索｜待建档</x:v>
      </x:c>
    </x:row>
    <x:row r="1572" ht="52" hidden="0" customHeight="1">
      <x:c r="A1572" s="399" t="str">
        <x:v>SHJ-15-004-1</x:v>
      </x:c>
      <x:c r="B1572" s="399" t="str">
        <x:v>卷十五 《大荒南經》</x:v>
      </x:c>
      <x:c r="C1572" s="400" t="str">
        <x:v>有巫山者，西有黃鳥。帝藥，八齋。黃鳥於巫山，司此玄蛇。</x:v>
      </x:c>
      <x:c r="D1572" s="399" t="str">
        <x:v>巫山</x:v>
      </x:c>
      <x:c r="E1572" s="399" t="str">
        <x:v>山／丘</x:v>
      </x:c>
      <x:c r="F1572" s="401"/>
      <x:c r="G1572" s="400" t="str">
        <x:v>标点与分段参考《山海经校注》；正文对读：https://ctext.org/shan-hai-jing/da-huang-nan-jing/zh</x:v>
      </x:c>
      <x:c r="H1572" s="402" t="e">
        <x:f>HYPERLINK("#'山海经原文总库'!A3","↩ 返回目录")</x:f>
        <x:v>HYPERLINK is not implemented. linkLocation=#'山海经原文总库'!A3, friendlyName=↩ 返回目录</x:v>
      </x:c>
      <x:c r="I1572" s="400"/>
      <x:c r="J1572" s="400"/>
      <x:c r="K1572" s="400" t="str">
        <x:v>待同名检索｜待建档</x:v>
      </x:c>
    </x:row>
    <x:row r="1573" ht="52" hidden="0" customHeight="1">
      <x:c r="A1573" s="399" t="str">
        <x:v>SHJ-15-005-1</x:v>
      </x:c>
      <x:c r="B1573" s="399" t="str">
        <x:v>卷十五 《大荒南經》</x:v>
      </x:c>
      <x:c r="C1573" s="400" t="str">
        <x:v>大荒之中，有不庭之山，榮水窮焉。有人三身，帝俊妻娥皇，生此三身之國，姚姓，黍食，使四鳥。有淵四方，四隅皆達，北屬黑水，南屬大荒，北旁名曰少和之淵，南旁名曰從淵，舜之所浴也。</x:v>
      </x:c>
      <x:c r="D1573" s="399" t="str">
        <x:v>不庭山</x:v>
      </x:c>
      <x:c r="E1573" s="399" t="str">
        <x:v>山／丘</x:v>
      </x:c>
      <x:c r="F1573" s="401"/>
      <x:c r="G1573" s="400" t="str">
        <x:v>标点与分段参考《山海经校注》；正文对读：https://ctext.org/shan-hai-jing/da-huang-nan-jing/zh</x:v>
      </x:c>
      <x:c r="H1573" s="402" t="e">
        <x:f>HYPERLINK("#'山海经原文总库'!A3","↩ 返回目录")</x:f>
        <x:v>HYPERLINK is not implemented. linkLocation=#'山海经原文总库'!A3, friendlyName=↩ 返回目录</x:v>
      </x:c>
      <x:c r="I1573" s="400"/>
      <x:c r="J1573" s="400"/>
      <x:c r="K1573" s="400" t="str">
        <x:v>待同名检索｜待建档</x:v>
      </x:c>
    </x:row>
    <x:row r="1574" ht="52" hidden="0" customHeight="1">
      <x:c r="A1574" s="399" t="str">
        <x:v>SHJ-15-005-2</x:v>
      </x:c>
      <x:c r="B1574" s="399" t="str">
        <x:v>卷十五 《大荒南經》</x:v>
      </x:c>
      <x:c r="C1574" s="400"/>
      <x:c r="D1574" s="399" t="str">
        <x:v>滎水</x:v>
      </x:c>
      <x:c r="E1574" s="399" t="str">
        <x:v>水系／水域</x:v>
      </x:c>
      <x:c r="F1574" s="401"/>
      <x:c r="G1574" s="400" t="str">
        <x:v>标点与分段参考《山海经校注》；正文对读：https://ctext.org/shan-hai-jing/da-huang-nan-jing/zh</x:v>
      </x:c>
      <x:c r="H1574" s="402" t="e">
        <x:f>HYPERLINK("#'山海经原文总库'!A3","↩ 返回目录")</x:f>
        <x:v>HYPERLINK is not implemented. linkLocation=#'山海经原文总库'!A3, friendlyName=↩ 返回目录</x:v>
      </x:c>
      <x:c r="I1574" s="400"/>
      <x:c r="J1574" s="400"/>
      <x:c r="K1574" s="400" t="str">
        <x:v>待同名检索｜待建档</x:v>
      </x:c>
    </x:row>
    <x:row r="1575" ht="52" hidden="0" customHeight="1">
      <x:c r="A1575" s="399" t="str">
        <x:v>SHJ-15-005-3</x:v>
      </x:c>
      <x:c r="B1575" s="399" t="str">
        <x:v>卷十五 《大荒南經》</x:v>
      </x:c>
      <x:c r="C1575" s="400"/>
      <x:c r="D1575" s="399" t="str">
        <x:v>三身國</x:v>
      </x:c>
      <x:c r="E1575" s="399" t="str">
        <x:v>國家／族群</x:v>
      </x:c>
      <x:c r="F1575" s="401"/>
      <x:c r="G1575" s="400" t="str">
        <x:v>标点与分段参考《山海经校注》；正文对读：https://ctext.org/shan-hai-jing/da-huang-nan-jing/zh</x:v>
      </x:c>
      <x:c r="H1575" s="402" t="e">
        <x:f>HYPERLINK("#'山海经原文总库'!A3","↩ 返回目录")</x:f>
        <x:v>HYPERLINK is not implemented. linkLocation=#'山海经原文总库'!A3, friendlyName=↩ 返回目录</x:v>
      </x:c>
      <x:c r="I1575" s="400"/>
      <x:c r="J1575" s="400"/>
      <x:c r="K1575" s="400" t="str">
        <x:v>待同名检索｜待建档</x:v>
      </x:c>
    </x:row>
    <x:row r="1576" ht="52" hidden="0" customHeight="1">
      <x:c r="A1576" s="399" t="str">
        <x:v>SHJ-15-005-4</x:v>
      </x:c>
      <x:c r="B1576" s="399" t="str">
        <x:v>卷十五 《大荒南經》</x:v>
      </x:c>
      <x:c r="C1576" s="400"/>
      <x:c r="D1576" s="399" t="str">
        <x:v>四方淵</x:v>
      </x:c>
      <x:c r="E1576" s="399" t="str">
        <x:v>水系／水域</x:v>
      </x:c>
      <x:c r="F1576" s="401"/>
      <x:c r="G1576" s="400" t="str">
        <x:v>标点与分段参考《山海经校注》；正文对读：https://ctext.org/shan-hai-jing/da-huang-nan-jing/zh</x:v>
      </x:c>
      <x:c r="H1576" s="402" t="e">
        <x:f>HYPERLINK("#'山海经原文总库'!A3","↩ 返回目录")</x:f>
        <x:v>HYPERLINK is not implemented. linkLocation=#'山海经原文总库'!A3, friendlyName=↩ 返回目录</x:v>
      </x:c>
      <x:c r="I1576" s="400"/>
      <x:c r="J1576" s="400"/>
      <x:c r="K1576" s="400" t="str">
        <x:v>待同名检索｜待建档</x:v>
      </x:c>
    </x:row>
    <x:row r="1577" ht="52" hidden="0" customHeight="1">
      <x:c r="A1577" s="399" t="str">
        <x:v>SHJ-15-005-5</x:v>
      </x:c>
      <x:c r="B1577" s="399" t="str">
        <x:v>卷十五 《大荒南經》</x:v>
      </x:c>
      <x:c r="C1577" s="400"/>
      <x:c r="D1577" s="399" t="str">
        <x:v>黑水</x:v>
      </x:c>
      <x:c r="E1577" s="399" t="str">
        <x:v>水系／水域</x:v>
      </x:c>
      <x:c r="F1577" s="401"/>
      <x:c r="G1577" s="400" t="str">
        <x:v>标点与分段参考《山海经校注》；正文对读：https://ctext.org/shan-hai-jing/da-huang-nan-jing/zh</x:v>
      </x:c>
      <x:c r="H1577" s="402" t="e">
        <x:f>HYPERLINK("#'山海经原文总库'!A3","↩ 返回目录")</x:f>
        <x:v>HYPERLINK is not implemented. linkLocation=#'山海经原文总库'!A3, friendlyName=↩ 返回目录</x:v>
      </x:c>
      <x:c r="I1577" s="400"/>
      <x:c r="J1577" s="400"/>
      <x:c r="K1577" s="400" t="str">
        <x:v>待同名检索｜待建档</x:v>
      </x:c>
    </x:row>
    <x:row r="1578" ht="52" hidden="0" customHeight="1">
      <x:c r="A1578" s="399" t="str">
        <x:v>SHJ-15-005-6</x:v>
      </x:c>
      <x:c r="B1578" s="399" t="str">
        <x:v>卷十五 《大荒南經》</x:v>
      </x:c>
      <x:c r="C1578" s="400"/>
      <x:c r="D1578" s="399" t="str">
        <x:v>大荒</x:v>
      </x:c>
      <x:c r="E1578" s="399" t="str">
        <x:v>區域</x:v>
      </x:c>
      <x:c r="F1578" s="401"/>
      <x:c r="G1578" s="400" t="str">
        <x:v>标点与分段参考《山海经校注》；正文对读：https://ctext.org/shan-hai-jing/da-huang-nan-jing/zh</x:v>
      </x:c>
      <x:c r="H1578" s="402" t="e">
        <x:f>HYPERLINK("#'山海经原文总库'!A3","↩ 返回目录")</x:f>
        <x:v>HYPERLINK is not implemented. linkLocation=#'山海经原文总库'!A3, friendlyName=↩ 返回目录</x:v>
      </x:c>
      <x:c r="I1578" s="400"/>
      <x:c r="J1578" s="400"/>
      <x:c r="K1578" s="400" t="str">
        <x:v>待同名检索｜待建档</x:v>
      </x:c>
    </x:row>
    <x:row r="1579" ht="52" hidden="0" customHeight="1">
      <x:c r="A1579" s="399" t="str">
        <x:v>SHJ-15-005-7</x:v>
      </x:c>
      <x:c r="B1579" s="399" t="str">
        <x:v>卷十五 《大荒南經》</x:v>
      </x:c>
      <x:c r="C1579" s="400"/>
      <x:c r="D1579" s="399" t="str">
        <x:v>少和淵</x:v>
      </x:c>
      <x:c r="E1579" s="399" t="str">
        <x:v>水系／水域</x:v>
      </x:c>
      <x:c r="F1579" s="401"/>
      <x:c r="G1579" s="400" t="str">
        <x:v>标点与分段参考《山海经校注》；正文对读：https://ctext.org/shan-hai-jing/da-huang-nan-jing/zh</x:v>
      </x:c>
      <x:c r="H1579" s="402" t="e">
        <x:f>HYPERLINK("#'山海经原文总库'!A3","↩ 返回目录")</x:f>
        <x:v>HYPERLINK is not implemented. linkLocation=#'山海经原文总库'!A3, friendlyName=↩ 返回目录</x:v>
      </x:c>
      <x:c r="I1579" s="400"/>
      <x:c r="J1579" s="400"/>
      <x:c r="K1579" s="400" t="str">
        <x:v>待同名检索｜待建档</x:v>
      </x:c>
    </x:row>
    <x:row r="1580" ht="52" hidden="0" customHeight="1">
      <x:c r="A1580" s="399" t="str">
        <x:v>SHJ-15-005-8</x:v>
      </x:c>
      <x:c r="B1580" s="399" t="str">
        <x:v>卷十五 《大荒南經》</x:v>
      </x:c>
      <x:c r="C1580" s="400"/>
      <x:c r="D1580" s="399" t="str">
        <x:v>從淵</x:v>
      </x:c>
      <x:c r="E1580" s="399" t="str">
        <x:v>水系／水域</x:v>
      </x:c>
      <x:c r="F1580" s="401"/>
      <x:c r="G1580" s="400" t="str">
        <x:v>标点与分段参考《山海经校注》；正文对读：https://ctext.org/shan-hai-jing/da-huang-nan-jing/zh</x:v>
      </x:c>
      <x:c r="H1580" s="402" t="e">
        <x:f>HYPERLINK("#'山海经原文总库'!A3","↩ 返回目录")</x:f>
        <x:v>HYPERLINK is not implemented. linkLocation=#'山海经原文总库'!A3, friendlyName=↩ 返回目录</x:v>
      </x:c>
      <x:c r="I1580" s="400"/>
      <x:c r="J1580" s="400"/>
      <x:c r="K1580" s="400" t="str">
        <x:v>待同名检索｜待建档</x:v>
      </x:c>
    </x:row>
    <x:row r="1581" ht="52" hidden="0" customHeight="1">
      <x:c r="A1581" s="399" t="str">
        <x:v>SHJ-15-006-1</x:v>
      </x:c>
      <x:c r="B1581" s="399" t="str">
        <x:v>卷十五 《大荒南經》</x:v>
      </x:c>
      <x:c r="C1581" s="400" t="str">
        <x:v>又有成山，甘水窮焉。有季禺之國，顓頊之子，食黍。有羽民之國，其民皆生毛羽。有卵民之國，其民皆生卵。</x:v>
      </x:c>
      <x:c r="D1581" s="399" t="str">
        <x:v>成山</x:v>
      </x:c>
      <x:c r="E1581" s="399" t="str">
        <x:v>山／丘</x:v>
      </x:c>
      <x:c r="F1581" s="401"/>
      <x:c r="G1581" s="400" t="str">
        <x:v>标点与分段参考《山海经校注》；正文对读：https://ctext.org/shan-hai-jing/da-huang-nan-jing/zh</x:v>
      </x:c>
      <x:c r="H1581" s="402" t="e">
        <x:f>HYPERLINK("#'山海经原文总库'!A3","↩ 返回目录")</x:f>
        <x:v>HYPERLINK is not implemented. linkLocation=#'山海经原文总库'!A3, friendlyName=↩ 返回目录</x:v>
      </x:c>
      <x:c r="I1581" s="400"/>
      <x:c r="J1581" s="400"/>
      <x:c r="K1581" s="400" t="str">
        <x:v>待同名检索｜待建档</x:v>
      </x:c>
    </x:row>
    <x:row r="1582" ht="52" hidden="0" customHeight="1">
      <x:c r="A1582" s="399" t="str">
        <x:v>SHJ-15-006-2</x:v>
      </x:c>
      <x:c r="B1582" s="399" t="str">
        <x:v>卷十五 《大荒南經》</x:v>
      </x:c>
      <x:c r="C1582" s="400"/>
      <x:c r="D1582" s="399" t="str">
        <x:v>甘水</x:v>
      </x:c>
      <x:c r="E1582" s="399" t="str">
        <x:v>水系／水域</x:v>
      </x:c>
      <x:c r="F1582" s="401"/>
      <x:c r="G1582" s="400" t="str">
        <x:v>标点与分段参考《山海经校注》；正文对读：https://ctext.org/shan-hai-jing/da-huang-nan-jing/zh</x:v>
      </x:c>
      <x:c r="H1582" s="402" t="e">
        <x:f>HYPERLINK("#'山海经原文总库'!A3","↩ 返回目录")</x:f>
        <x:v>HYPERLINK is not implemented. linkLocation=#'山海经原文总库'!A3, friendlyName=↩ 返回目录</x:v>
      </x:c>
      <x:c r="I1582" s="400"/>
      <x:c r="J1582" s="400"/>
      <x:c r="K1582" s="400" t="str">
        <x:v>待同名检索｜待建档</x:v>
      </x:c>
    </x:row>
    <x:row r="1583" ht="52" hidden="0" customHeight="1">
      <x:c r="A1583" s="399" t="str">
        <x:v>SHJ-15-006-3</x:v>
      </x:c>
      <x:c r="B1583" s="399" t="str">
        <x:v>卷十五 《大荒南經》</x:v>
      </x:c>
      <x:c r="C1583" s="400"/>
      <x:c r="D1583" s="399" t="str">
        <x:v>季禺國</x:v>
      </x:c>
      <x:c r="E1583" s="399" t="str">
        <x:v>國家／族群</x:v>
      </x:c>
      <x:c r="F1583" s="401"/>
      <x:c r="G1583" s="400" t="str">
        <x:v>标点与分段参考《山海经校注》；正文对读：https://ctext.org/shan-hai-jing/da-huang-nan-jing/zh</x:v>
      </x:c>
      <x:c r="H1583" s="402" t="e">
        <x:f>HYPERLINK("#'山海经原文总库'!A3","↩ 返回目录")</x:f>
        <x:v>HYPERLINK is not implemented. linkLocation=#'山海经原文总库'!A3, friendlyName=↩ 返回目录</x:v>
      </x:c>
      <x:c r="I1583" s="400"/>
      <x:c r="J1583" s="400"/>
      <x:c r="K1583" s="400" t="str">
        <x:v>待同名检索｜待建档</x:v>
      </x:c>
    </x:row>
    <x:row r="1584" ht="52" hidden="0" customHeight="1">
      <x:c r="A1584" s="399" t="str">
        <x:v>SHJ-15-006-4</x:v>
      </x:c>
      <x:c r="B1584" s="399" t="str">
        <x:v>卷十五 《大荒南經》</x:v>
      </x:c>
      <x:c r="C1584" s="400"/>
      <x:c r="D1584" s="399" t="str">
        <x:v>羽民國</x:v>
      </x:c>
      <x:c r="E1584" s="399" t="str">
        <x:v>國家／族群</x:v>
      </x:c>
      <x:c r="F1584" s="401" t="e">
        <x:f>HYPERLINK("#'都广核心区总表'!B95","→ 查看条目")</x:f>
        <x:v>HYPERLINK is not implemented. linkLocation=#'都广核心区总表'!B95, friendlyName=→ 查看条目</x:v>
      </x:c>
      <x:c r="G1584" s="400" t="str">
        <x:v>标点与分段参考《山海经校注》；正文对读：https://ctext.org/shan-hai-jing/da-huang-nan-jing/zh</x:v>
      </x:c>
      <x:c r="H1584" s="402" t="e">
        <x:f>HYPERLINK("#'山海经原文总库'!A3","↩ 返回目录")</x:f>
        <x:v>HYPERLINK is not implemented. linkLocation=#'山海经原文总库'!A3, friendlyName=↩ 返回目录</x:v>
      </x:c>
      <x:c r="I1584" s="400" t="str">
        <x:v>是</x:v>
      </x:c>
      <x:c r="J1584" s="400" t="str">
        <x:v>总表第95行｜X=-1179.3里，Y=+1120.7里（-11.8，+11.2格）｜跨篇羽民同名候选；水系南北关系锁定</x:v>
      </x:c>
      <x:c r="K1584" s="400" t="str">
        <x:v>已检索｜已建档</x:v>
      </x:c>
    </x:row>
    <x:row r="1585" ht="52" hidden="0" customHeight="1">
      <x:c r="A1585" s="399" t="str">
        <x:v>SHJ-15-006-5</x:v>
      </x:c>
      <x:c r="B1585" s="399" t="str">
        <x:v>卷十五 《大荒南經》</x:v>
      </x:c>
      <x:c r="C1585" s="400"/>
      <x:c r="D1585" s="399" t="str">
        <x:v>卵民國</x:v>
      </x:c>
      <x:c r="E1585" s="399" t="str">
        <x:v>國家／族群</x:v>
      </x:c>
      <x:c r="F1585" s="401"/>
      <x:c r="G1585" s="400" t="str">
        <x:v>标点与分段参考《山海经校注》；正文对读：https://ctext.org/shan-hai-jing/da-huang-nan-jing/zh</x:v>
      </x:c>
      <x:c r="H1585" s="402" t="e">
        <x:f>HYPERLINK("#'山海经原文总库'!A3","↩ 返回目录")</x:f>
        <x:v>HYPERLINK is not implemented. linkLocation=#'山海经原文总库'!A3, friendlyName=↩ 返回目录</x:v>
      </x:c>
      <x:c r="I1585" s="400"/>
      <x:c r="J1585" s="400"/>
      <x:c r="K1585" s="400" t="str">
        <x:v>待同名检索｜待建档</x:v>
      </x:c>
    </x:row>
    <x:row r="1586" ht="52" hidden="0" customHeight="1">
      <x:c r="A1586" s="399" t="str">
        <x:v>SHJ-15-007-1</x:v>
      </x:c>
      <x:c r="B1586" s="399" t="str">
        <x:v>卷十五 《大荒南經》</x:v>
      </x:c>
      <x:c r="C1586" s="400" t="str">
        <x:v>大荒之中，有不姜之山，黑水窮焉。又有賈山，汔水出焉。又有言山。又有登備之山。有恝恝之山。又有蒲山，澧水出焉。又有隗山，其西有丹，其東有玉。又南有山，漂水出焉。有尾山。有翠山。</x:v>
      </x:c>
      <x:c r="D1586" s="399" t="str">
        <x:v>不姜山</x:v>
      </x:c>
      <x:c r="E1586" s="399" t="str">
        <x:v>山／丘</x:v>
      </x:c>
      <x:c r="F1586" s="401"/>
      <x:c r="G1586" s="400" t="str">
        <x:v>标点与分段参考《山海经校注》；正文对读：https://ctext.org/shan-hai-jing/da-huang-nan-jing/zh</x:v>
      </x:c>
      <x:c r="H1586" s="402" t="e">
        <x:f>HYPERLINK("#'山海经原文总库'!A3","↩ 返回目录")</x:f>
        <x:v>HYPERLINK is not implemented. linkLocation=#'山海经原文总库'!A3, friendlyName=↩ 返回目录</x:v>
      </x:c>
      <x:c r="I1586" s="400"/>
      <x:c r="J1586" s="400"/>
      <x:c r="K1586" s="400" t="str">
        <x:v>待同名检索｜待建档</x:v>
      </x:c>
    </x:row>
    <x:row r="1587" ht="52" hidden="0" customHeight="1">
      <x:c r="A1587" s="399" t="str">
        <x:v>SHJ-15-007-2</x:v>
      </x:c>
      <x:c r="B1587" s="399" t="str">
        <x:v>卷十五 《大荒南經》</x:v>
      </x:c>
      <x:c r="C1587" s="400"/>
      <x:c r="D1587" s="399" t="str">
        <x:v>黑水</x:v>
      </x:c>
      <x:c r="E1587" s="399" t="str">
        <x:v>水系／水域</x:v>
      </x:c>
      <x:c r="F1587" s="401"/>
      <x:c r="G1587" s="400" t="str">
        <x:v>标点与分段参考《山海经校注》；正文对读：https://ctext.org/shan-hai-jing/da-huang-nan-jing/zh</x:v>
      </x:c>
      <x:c r="H1587" s="402" t="e">
        <x:f>HYPERLINK("#'山海经原文总库'!A3","↩ 返回目录")</x:f>
        <x:v>HYPERLINK is not implemented. linkLocation=#'山海经原文总库'!A3, friendlyName=↩ 返回目录</x:v>
      </x:c>
      <x:c r="I1587" s="400"/>
      <x:c r="J1587" s="400"/>
      <x:c r="K1587" s="400" t="str">
        <x:v>待同名检索｜待建档</x:v>
      </x:c>
    </x:row>
    <x:row r="1588" ht="52" hidden="0" customHeight="1">
      <x:c r="A1588" s="399" t="str">
        <x:v>SHJ-15-007-3</x:v>
      </x:c>
      <x:c r="B1588" s="399" t="str">
        <x:v>卷十五 《大荒南經》</x:v>
      </x:c>
      <x:c r="C1588" s="400"/>
      <x:c r="D1588" s="399" t="str">
        <x:v>賈山</x:v>
      </x:c>
      <x:c r="E1588" s="399" t="str">
        <x:v>山／丘</x:v>
      </x:c>
      <x:c r="F1588" s="401"/>
      <x:c r="G1588" s="400" t="str">
        <x:v>标点与分段参考《山海经校注》；正文对读：https://ctext.org/shan-hai-jing/da-huang-nan-jing/zh</x:v>
      </x:c>
      <x:c r="H1588" s="402" t="e">
        <x:f>HYPERLINK("#'山海经原文总库'!A3","↩ 返回目录")</x:f>
        <x:v>HYPERLINK is not implemented. linkLocation=#'山海经原文总库'!A3, friendlyName=↩ 返回目录</x:v>
      </x:c>
      <x:c r="I1588" s="400"/>
      <x:c r="J1588" s="400"/>
      <x:c r="K1588" s="400" t="str">
        <x:v>待同名检索｜待建档</x:v>
      </x:c>
    </x:row>
    <x:row r="1589" ht="52" hidden="0" customHeight="1">
      <x:c r="A1589" s="399" t="str">
        <x:v>SHJ-15-007-4</x:v>
      </x:c>
      <x:c r="B1589" s="399" t="str">
        <x:v>卷十五 《大荒南經》</x:v>
      </x:c>
      <x:c r="C1589" s="400"/>
      <x:c r="D1589" s="399" t="str">
        <x:v>汔水</x:v>
      </x:c>
      <x:c r="E1589" s="399" t="str">
        <x:v>水系／水域</x:v>
      </x:c>
      <x:c r="F1589" s="401"/>
      <x:c r="G1589" s="400" t="str">
        <x:v>标点与分段参考《山海经校注》；正文对读：https://ctext.org/shan-hai-jing/da-huang-nan-jing/zh</x:v>
      </x:c>
      <x:c r="H1589" s="402" t="e">
        <x:f>HYPERLINK("#'山海经原文总库'!A3","↩ 返回目录")</x:f>
        <x:v>HYPERLINK is not implemented. linkLocation=#'山海经原文总库'!A3, friendlyName=↩ 返回目录</x:v>
      </x:c>
      <x:c r="I1589" s="400"/>
      <x:c r="J1589" s="400"/>
      <x:c r="K1589" s="400" t="str">
        <x:v>待同名检索｜待建档</x:v>
      </x:c>
    </x:row>
    <x:row r="1590" ht="52" hidden="0" customHeight="1">
      <x:c r="A1590" s="399" t="str">
        <x:v>SHJ-15-007-5</x:v>
      </x:c>
      <x:c r="B1590" s="399" t="str">
        <x:v>卷十五 《大荒南經》</x:v>
      </x:c>
      <x:c r="C1590" s="400"/>
      <x:c r="D1590" s="399" t="str">
        <x:v>言山</x:v>
      </x:c>
      <x:c r="E1590" s="399" t="str">
        <x:v>山／丘</x:v>
      </x:c>
      <x:c r="F1590" s="401"/>
      <x:c r="G1590" s="400" t="str">
        <x:v>标点与分段参考《山海经校注》；正文对读：https://ctext.org/shan-hai-jing/da-huang-nan-jing/zh</x:v>
      </x:c>
      <x:c r="H1590" s="402" t="e">
        <x:f>HYPERLINK("#'山海经原文总库'!A3","↩ 返回目录")</x:f>
        <x:v>HYPERLINK is not implemented. linkLocation=#'山海经原文总库'!A3, friendlyName=↩ 返回目录</x:v>
      </x:c>
      <x:c r="I1590" s="400"/>
      <x:c r="J1590" s="400"/>
      <x:c r="K1590" s="400" t="str">
        <x:v>待同名检索｜待建档</x:v>
      </x:c>
    </x:row>
    <x:row r="1591" ht="52" hidden="0" customHeight="1">
      <x:c r="A1591" s="399" t="str">
        <x:v>SHJ-15-007-6</x:v>
      </x:c>
      <x:c r="B1591" s="399" t="str">
        <x:v>卷十五 《大荒南經》</x:v>
      </x:c>
      <x:c r="C1591" s="400"/>
      <x:c r="D1591" s="399" t="str">
        <x:v>登備山</x:v>
      </x:c>
      <x:c r="E1591" s="399" t="str">
        <x:v>山／丘</x:v>
      </x:c>
      <x:c r="F1591" s="401"/>
      <x:c r="G1591" s="400" t="str">
        <x:v>标点与分段参考《山海经校注》；正文对读：https://ctext.org/shan-hai-jing/da-huang-nan-jing/zh</x:v>
      </x:c>
      <x:c r="H1591" s="402" t="e">
        <x:f>HYPERLINK("#'山海经原文总库'!A3","↩ 返回目录")</x:f>
        <x:v>HYPERLINK is not implemented. linkLocation=#'山海经原文总库'!A3, friendlyName=↩ 返回目录</x:v>
      </x:c>
      <x:c r="I1591" s="400"/>
      <x:c r="J1591" s="400"/>
      <x:c r="K1591" s="400" t="str">
        <x:v>待同名检索｜待建档</x:v>
      </x:c>
    </x:row>
    <x:row r="1592" ht="52" hidden="0" customHeight="1">
      <x:c r="A1592" s="399" t="str">
        <x:v>SHJ-15-007-7</x:v>
      </x:c>
      <x:c r="B1592" s="399" t="str">
        <x:v>卷十五 《大荒南經》</x:v>
      </x:c>
      <x:c r="C1592" s="400"/>
      <x:c r="D1592" s="399" t="str">
        <x:v>恝恝山</x:v>
      </x:c>
      <x:c r="E1592" s="399" t="str">
        <x:v>山／丘</x:v>
      </x:c>
      <x:c r="F1592" s="401"/>
      <x:c r="G1592" s="400" t="str">
        <x:v>标点与分段参考《山海经校注》；正文对读：https://ctext.org/shan-hai-jing/da-huang-nan-jing/zh</x:v>
      </x:c>
      <x:c r="H1592" s="402" t="e">
        <x:f>HYPERLINK("#'山海经原文总库'!A3","↩ 返回目录")</x:f>
        <x:v>HYPERLINK is not implemented. linkLocation=#'山海经原文总库'!A3, friendlyName=↩ 返回目录</x:v>
      </x:c>
      <x:c r="I1592" s="400"/>
      <x:c r="J1592" s="400"/>
      <x:c r="K1592" s="400" t="str">
        <x:v>待同名检索｜待建档</x:v>
      </x:c>
    </x:row>
    <x:row r="1593" ht="52" hidden="0" customHeight="1">
      <x:c r="A1593" s="399" t="str">
        <x:v>SHJ-15-007-8</x:v>
      </x:c>
      <x:c r="B1593" s="399" t="str">
        <x:v>卷十五 《大荒南經》</x:v>
      </x:c>
      <x:c r="C1593" s="400"/>
      <x:c r="D1593" s="399" t="str">
        <x:v>蒲山</x:v>
      </x:c>
      <x:c r="E1593" s="399" t="str">
        <x:v>山／丘</x:v>
      </x:c>
      <x:c r="F1593" s="401"/>
      <x:c r="G1593" s="400" t="str">
        <x:v>标点与分段参考《山海经校注》；正文对读：https://ctext.org/shan-hai-jing/da-huang-nan-jing/zh</x:v>
      </x:c>
      <x:c r="H1593" s="402" t="e">
        <x:f>HYPERLINK("#'山海经原文总库'!A3","↩ 返回目录")</x:f>
        <x:v>HYPERLINK is not implemented. linkLocation=#'山海经原文总库'!A3, friendlyName=↩ 返回目录</x:v>
      </x:c>
      <x:c r="I1593" s="400"/>
      <x:c r="J1593" s="400"/>
      <x:c r="K1593" s="400" t="str">
        <x:v>待同名检索｜待建档</x:v>
      </x:c>
    </x:row>
    <x:row r="1594" ht="52" hidden="0" customHeight="1">
      <x:c r="A1594" s="399" t="str">
        <x:v>SHJ-15-007-9</x:v>
      </x:c>
      <x:c r="B1594" s="399" t="str">
        <x:v>卷十五 《大荒南經》</x:v>
      </x:c>
      <x:c r="C1594" s="400"/>
      <x:c r="D1594" s="399" t="str">
        <x:v>澧水</x:v>
      </x:c>
      <x:c r="E1594" s="399" t="str">
        <x:v>水系／水域</x:v>
      </x:c>
      <x:c r="F1594" s="401"/>
      <x:c r="G1594" s="400" t="str">
        <x:v>标点与分段参考《山海经校注》；正文对读：https://ctext.org/shan-hai-jing/da-huang-nan-jing/zh</x:v>
      </x:c>
      <x:c r="H1594" s="402" t="e">
        <x:f>HYPERLINK("#'山海经原文总库'!A3","↩ 返回目录")</x:f>
        <x:v>HYPERLINK is not implemented. linkLocation=#'山海经原文总库'!A3, friendlyName=↩ 返回目录</x:v>
      </x:c>
      <x:c r="I1594" s="400"/>
      <x:c r="J1594" s="400"/>
      <x:c r="K1594" s="400" t="str">
        <x:v>待同名检索｜待建档</x:v>
      </x:c>
    </x:row>
    <x:row r="1595" ht="52" hidden="0" customHeight="1">
      <x:c r="A1595" s="399" t="str">
        <x:v>SHJ-15-007-10</x:v>
      </x:c>
      <x:c r="B1595" s="399" t="str">
        <x:v>卷十五 《大荒南經》</x:v>
      </x:c>
      <x:c r="C1595" s="400"/>
      <x:c r="D1595" s="399" t="str">
        <x:v>隗山</x:v>
      </x:c>
      <x:c r="E1595" s="399" t="str">
        <x:v>山／丘</x:v>
      </x:c>
      <x:c r="F1595" s="401"/>
      <x:c r="G1595" s="400" t="str">
        <x:v>标点与分段参考《山海经校注》；正文对读：https://ctext.org/shan-hai-jing/da-huang-nan-jing/zh</x:v>
      </x:c>
      <x:c r="H1595" s="402" t="e">
        <x:f>HYPERLINK("#'山海经原文总库'!A3","↩ 返回目录")</x:f>
        <x:v>HYPERLINK is not implemented. linkLocation=#'山海经原文总库'!A3, friendlyName=↩ 返回目录</x:v>
      </x:c>
      <x:c r="I1595" s="400"/>
      <x:c r="J1595" s="400"/>
      <x:c r="K1595" s="400" t="str">
        <x:v>待同名检索｜待建档</x:v>
      </x:c>
    </x:row>
    <x:row r="1596" ht="52" hidden="0" customHeight="1">
      <x:c r="A1596" s="399" t="str">
        <x:v>SHJ-15-007-11</x:v>
      </x:c>
      <x:c r="B1596" s="399" t="str">
        <x:v>卷十五 《大荒南經》</x:v>
      </x:c>
      <x:c r="C1596" s="400"/>
      <x:c r="D1596" s="399" t="str">
        <x:v>南有山</x:v>
      </x:c>
      <x:c r="E1596" s="399" t="str">
        <x:v>山／丘</x:v>
      </x:c>
      <x:c r="F1596" s="401"/>
      <x:c r="G1596" s="400" t="str">
        <x:v>标点与分段参考《山海经校注》；正文对读：https://ctext.org/shan-hai-jing/da-huang-nan-jing/zh</x:v>
      </x:c>
      <x:c r="H1596" s="402" t="e">
        <x:f>HYPERLINK("#'山海经原文总库'!A3","↩ 返回目录")</x:f>
        <x:v>HYPERLINK is not implemented. linkLocation=#'山海经原文总库'!A3, friendlyName=↩ 返回目录</x:v>
      </x:c>
      <x:c r="I1596" s="400"/>
      <x:c r="J1596" s="400"/>
      <x:c r="K1596" s="400" t="str">
        <x:v>待同名检索｜待建档</x:v>
      </x:c>
    </x:row>
    <x:row r="1597" ht="52" hidden="0" customHeight="1">
      <x:c r="A1597" s="399" t="str">
        <x:v>SHJ-15-007-12</x:v>
      </x:c>
      <x:c r="B1597" s="399" t="str">
        <x:v>卷十五 《大荒南經》</x:v>
      </x:c>
      <x:c r="C1597" s="400"/>
      <x:c r="D1597" s="399" t="str">
        <x:v>漂水</x:v>
      </x:c>
      <x:c r="E1597" s="399" t="str">
        <x:v>水系／水域</x:v>
      </x:c>
      <x:c r="F1597" s="401"/>
      <x:c r="G1597" s="400" t="str">
        <x:v>标点与分段参考《山海经校注》；正文对读：https://ctext.org/shan-hai-jing/da-huang-nan-jing/zh</x:v>
      </x:c>
      <x:c r="H1597" s="402" t="e">
        <x:f>HYPERLINK("#'山海经原文总库'!A3","↩ 返回目录")</x:f>
        <x:v>HYPERLINK is not implemented. linkLocation=#'山海经原文总库'!A3, friendlyName=↩ 返回目录</x:v>
      </x:c>
      <x:c r="I1597" s="400"/>
      <x:c r="J1597" s="400"/>
      <x:c r="K1597" s="400" t="str">
        <x:v>待同名检索｜待建档</x:v>
      </x:c>
    </x:row>
    <x:row r="1598" ht="52" hidden="0" customHeight="1">
      <x:c r="A1598" s="399" t="str">
        <x:v>SHJ-15-007-13</x:v>
      </x:c>
      <x:c r="B1598" s="399" t="str">
        <x:v>卷十五 《大荒南經》</x:v>
      </x:c>
      <x:c r="C1598" s="400"/>
      <x:c r="D1598" s="399" t="str">
        <x:v>尾山</x:v>
      </x:c>
      <x:c r="E1598" s="399" t="str">
        <x:v>山／丘</x:v>
      </x:c>
      <x:c r="F1598" s="401"/>
      <x:c r="G1598" s="400" t="str">
        <x:v>标点与分段参考《山海经校注》；正文对读：https://ctext.org/shan-hai-jing/da-huang-nan-jing/zh</x:v>
      </x:c>
      <x:c r="H1598" s="402" t="e">
        <x:f>HYPERLINK("#'山海经原文总库'!A3","↩ 返回目录")</x:f>
        <x:v>HYPERLINK is not implemented. linkLocation=#'山海经原文总库'!A3, friendlyName=↩ 返回目录</x:v>
      </x:c>
      <x:c r="I1598" s="400"/>
      <x:c r="J1598" s="400"/>
      <x:c r="K1598" s="400" t="str">
        <x:v>待同名检索｜待建档</x:v>
      </x:c>
    </x:row>
    <x:row r="1599" ht="52" hidden="0" customHeight="1">
      <x:c r="A1599" s="399" t="str">
        <x:v>SHJ-15-007-14</x:v>
      </x:c>
      <x:c r="B1599" s="399" t="str">
        <x:v>卷十五 《大荒南經》</x:v>
      </x:c>
      <x:c r="C1599" s="400"/>
      <x:c r="D1599" s="399" t="str">
        <x:v>翠山</x:v>
      </x:c>
      <x:c r="E1599" s="399" t="str">
        <x:v>山／丘</x:v>
      </x:c>
      <x:c r="F1599" s="401"/>
      <x:c r="G1599" s="400" t="str">
        <x:v>标点与分段参考《山海经校注》；正文对读：https://ctext.org/shan-hai-jing/da-huang-nan-jing/zh</x:v>
      </x:c>
      <x:c r="H1599" s="402" t="e">
        <x:f>HYPERLINK("#'山海经原文总库'!A3","↩ 返回目录")</x:f>
        <x:v>HYPERLINK is not implemented. linkLocation=#'山海经原文总库'!A3, friendlyName=↩ 返回目录</x:v>
      </x:c>
      <x:c r="I1599" s="400"/>
      <x:c r="J1599" s="400"/>
      <x:c r="K1599" s="400" t="str">
        <x:v>待同名检索｜待建档</x:v>
      </x:c>
    </x:row>
    <x:row r="1600" ht="52" hidden="0" customHeight="1">
      <x:c r="A1600" s="399" t="str">
        <x:v>SHJ-15-008-1</x:v>
      </x:c>
      <x:c r="B1600" s="399" t="str">
        <x:v>卷十五 《大荒南經》</x:v>
      </x:c>
      <x:c r="C1600" s="400" t="str">
        <x:v>有盈民之國，於姓，黍食。又有人方食木葉。</x:v>
      </x:c>
      <x:c r="D1600" s="399" t="str">
        <x:v>盈民國</x:v>
      </x:c>
      <x:c r="E1600" s="399" t="str">
        <x:v>國家／族群</x:v>
      </x:c>
      <x:c r="F1600" s="401"/>
      <x:c r="G1600" s="400" t="str">
        <x:v>标点与分段参考《山海经校注》；正文对读：https://ctext.org/shan-hai-jing/da-huang-nan-jing/zh</x:v>
      </x:c>
      <x:c r="H1600" s="402" t="e">
        <x:f>HYPERLINK("#'山海经原文总库'!A3","↩ 返回目录")</x:f>
        <x:v>HYPERLINK is not implemented. linkLocation=#'山海经原文总库'!A3, friendlyName=↩ 返回目录</x:v>
      </x:c>
      <x:c r="I1600" s="400"/>
      <x:c r="J1600" s="400"/>
      <x:c r="K1600" s="400" t="str">
        <x:v>待同名检索｜待建档</x:v>
      </x:c>
    </x:row>
    <x:row r="1601" ht="52" hidden="0" customHeight="1">
      <x:c r="A1601" s="399" t="str">
        <x:v>SHJ-15-009-1</x:v>
      </x:c>
      <x:c r="B1601" s="399" t="str">
        <x:v>卷十五 《大荒南經》</x:v>
      </x:c>
      <x:c r="C1601" s="400" t="str">
        <x:v>有不死之國，阿姓，甘木是食。</x:v>
      </x:c>
      <x:c r="D1601" s="399" t="str">
        <x:v>不死國</x:v>
      </x:c>
      <x:c r="E1601" s="399" t="str">
        <x:v>國家／族群</x:v>
      </x:c>
      <x:c r="F1601" s="401"/>
      <x:c r="G1601" s="400" t="str">
        <x:v>标点与分段参考《山海经校注》；正文对读：https://ctext.org/shan-hai-jing/da-huang-nan-jing/zh</x:v>
      </x:c>
      <x:c r="H1601" s="402" t="e">
        <x:f>HYPERLINK("#'山海经原文总库'!A3","↩ 返回目录")</x:f>
        <x:v>HYPERLINK is not implemented. linkLocation=#'山海经原文总库'!A3, friendlyName=↩ 返回目录</x:v>
      </x:c>
      <x:c r="I1601" s="400"/>
      <x:c r="J1601" s="400"/>
      <x:c r="K1601" s="400" t="str">
        <x:v>待同名检索｜待建档</x:v>
      </x:c>
    </x:row>
    <x:row r="1602" ht="52" hidden="0" customHeight="1">
      <x:c r="A1602" s="399" t="str">
        <x:v>SHJ-15-010-1</x:v>
      </x:c>
      <x:c r="B1602" s="399" t="str">
        <x:v>卷十五 《大荒南經》</x:v>
      </x:c>
      <x:c r="C1602" s="400" t="str">
        <x:v>大荒之中，有山名曰去痓。南極果，北不成，去痓果。</x:v>
      </x:c>
      <x:c r="D1602" s="399" t="str">
        <x:v>去痓山</x:v>
      </x:c>
      <x:c r="E1602" s="399" t="str">
        <x:v>山／丘</x:v>
      </x:c>
      <x:c r="F1602" s="401"/>
      <x:c r="G1602" s="400" t="str">
        <x:v>标点与分段参考《山海经校注》；正文对读：https://ctext.org/shan-hai-jing/da-huang-nan-jing/zh</x:v>
      </x:c>
      <x:c r="H1602" s="402" t="e">
        <x:f>HYPERLINK("#'山海经原文总库'!A3","↩ 返回目录")</x:f>
        <x:v>HYPERLINK is not implemented. linkLocation=#'山海经原文总库'!A3, friendlyName=↩ 返回目录</x:v>
      </x:c>
      <x:c r="I1602" s="400"/>
      <x:c r="J1602" s="400"/>
      <x:c r="K1602" s="400" t="str">
        <x:v>待同名检索｜待建档</x:v>
      </x:c>
    </x:row>
    <x:row r="1603" ht="52" hidden="0" customHeight="1">
      <x:c r="A1603" s="399" t="str">
        <x:v>SHJ-15-010-2</x:v>
      </x:c>
      <x:c r="B1603" s="399" t="str">
        <x:v>卷十五 《大荒南經》</x:v>
      </x:c>
      <x:c r="C1603" s="400"/>
      <x:c r="D1603" s="399" t="str">
        <x:v>南極</x:v>
      </x:c>
      <x:c r="E1603" s="399" t="str">
        <x:v>區域</x:v>
      </x:c>
      <x:c r="F1603" s="401"/>
      <x:c r="G1603" s="400" t="str">
        <x:v>标点与分段参考《山海经校注》；正文对读：https://ctext.org/shan-hai-jing/da-huang-nan-jing/zh</x:v>
      </x:c>
      <x:c r="H1603" s="402" t="e">
        <x:f>HYPERLINK("#'山海经原文总库'!A3","↩ 返回目录")</x:f>
        <x:v>HYPERLINK is not implemented. linkLocation=#'山海经原文总库'!A3, friendlyName=↩ 返回目录</x:v>
      </x:c>
      <x:c r="I1603" s="400"/>
      <x:c r="J1603" s="400"/>
      <x:c r="K1603" s="400" t="str">
        <x:v>待同名检索｜待建档</x:v>
      </x:c>
    </x:row>
    <x:row r="1604" ht="52" hidden="0" customHeight="1">
      <x:c r="A1604" s="399" t="str">
        <x:v>SHJ-15-011-1</x:v>
      </x:c>
      <x:c r="B1604" s="399" t="str">
        <x:v>卷十五 《大荒南經》</x:v>
      </x:c>
      <x:c r="C1604" s="400" t="str">
        <x:v>南海渚中，有神，人面，珥兩青蛇，踐兩赤蛇，曰不廷胡餘。</x:v>
      </x:c>
      <x:c r="D1604" s="399" t="str">
        <x:v>南海之渚</x:v>
      </x:c>
      <x:c r="E1604" s="399" t="str">
        <x:v>水系／水域</x:v>
      </x:c>
      <x:c r="F1604" s="401"/>
      <x:c r="G1604" s="400" t="str">
        <x:v>标点与分段参考《山海经校注》；正文对读：https://ctext.org/shan-hai-jing/da-huang-nan-jing/zh</x:v>
      </x:c>
      <x:c r="H1604" s="402" t="e">
        <x:f>HYPERLINK("#'山海经原文总库'!A3","↩ 返回目录")</x:f>
        <x:v>HYPERLINK is not implemented. linkLocation=#'山海经原文总库'!A3, friendlyName=↩ 返回目录</x:v>
      </x:c>
      <x:c r="I1604" s="400"/>
      <x:c r="J1604" s="400"/>
      <x:c r="K1604" s="400" t="str">
        <x:v>待同名检索｜待建档</x:v>
      </x:c>
    </x:row>
    <x:row r="1605" ht="52" hidden="0" customHeight="1">
      <x:c r="A1605" s="399" t="str">
        <x:v>SHJ-15-012-1</x:v>
      </x:c>
      <x:c r="B1605" s="399" t="str">
        <x:v>卷十五 《大荒南經》</x:v>
      </x:c>
      <x:c r="C1605" s="400" t="str">
        <x:v>有神名曰因因乎，南方曰因乎，誇風曰乎民，處南極以出入風。</x:v>
      </x:c>
      <x:c r="D1605" s="399" t="str">
        <x:v>南極</x:v>
      </x:c>
      <x:c r="E1605" s="399" t="str">
        <x:v>區域</x:v>
      </x:c>
      <x:c r="F1605" s="401"/>
      <x:c r="G1605" s="400" t="str">
        <x:v>标点与分段参考《山海经校注》；正文对读：https://ctext.org/shan-hai-jing/da-huang-nan-jing/zh</x:v>
      </x:c>
      <x:c r="H1605" s="402" t="e">
        <x:f>HYPERLINK("#'山海经原文总库'!A3","↩ 返回目录")</x:f>
        <x:v>HYPERLINK is not implemented. linkLocation=#'山海经原文总库'!A3, friendlyName=↩ 返回目录</x:v>
      </x:c>
      <x:c r="I1605" s="400"/>
      <x:c r="J1605" s="400"/>
      <x:c r="K1605" s="400" t="str">
        <x:v>待同名检索｜待建档</x:v>
      </x:c>
    </x:row>
    <x:row r="1606" ht="52" hidden="0" customHeight="1">
      <x:c r="A1606" s="399" t="str">
        <x:v>SHJ-15-013-1</x:v>
      </x:c>
      <x:c r="B1606" s="399" t="str">
        <x:v>卷十五 《大荒南經》</x:v>
      </x:c>
      <x:c r="C1606" s="400" t="str">
        <x:v>有襄山。又有重陰之山。有人食獸，曰季釐。帝俊生季釐，故曰季釐之國。有緡淵。少昊生倍伐，倍伐降處緡淵。有水四方，名曰俊壇。</x:v>
      </x:c>
      <x:c r="D1606" s="399" t="str">
        <x:v>襄山</x:v>
      </x:c>
      <x:c r="E1606" s="399" t="str">
        <x:v>山／丘</x:v>
      </x:c>
      <x:c r="F1606" s="401"/>
      <x:c r="G1606" s="400" t="str">
        <x:v>标点与分段参考《山海经校注》；正文对读：https://ctext.org/shan-hai-jing/da-huang-nan-jing/zh</x:v>
      </x:c>
      <x:c r="H1606" s="402" t="e">
        <x:f>HYPERLINK("#'山海经原文总库'!A3","↩ 返回目录")</x:f>
        <x:v>HYPERLINK is not implemented. linkLocation=#'山海经原文总库'!A3, friendlyName=↩ 返回目录</x:v>
      </x:c>
      <x:c r="I1606" s="400"/>
      <x:c r="J1606" s="400"/>
      <x:c r="K1606" s="400" t="str">
        <x:v>待同名检索｜待建档</x:v>
      </x:c>
    </x:row>
    <x:row r="1607" ht="52" hidden="0" customHeight="1">
      <x:c r="A1607" s="399" t="str">
        <x:v>SHJ-15-013-2</x:v>
      </x:c>
      <x:c r="B1607" s="399" t="str">
        <x:v>卷十五 《大荒南經》</x:v>
      </x:c>
      <x:c r="C1607" s="400"/>
      <x:c r="D1607" s="399" t="str">
        <x:v>重陰山</x:v>
      </x:c>
      <x:c r="E1607" s="399" t="str">
        <x:v>山／丘</x:v>
      </x:c>
      <x:c r="F1607" s="401"/>
      <x:c r="G1607" s="400" t="str">
        <x:v>标点与分段参考《山海经校注》；正文对读：https://ctext.org/shan-hai-jing/da-huang-nan-jing/zh</x:v>
      </x:c>
      <x:c r="H1607" s="402" t="e">
        <x:f>HYPERLINK("#'山海经原文总库'!A3","↩ 返回目录")</x:f>
        <x:v>HYPERLINK is not implemented. linkLocation=#'山海经原文总库'!A3, friendlyName=↩ 返回目录</x:v>
      </x:c>
      <x:c r="I1607" s="400"/>
      <x:c r="J1607" s="400"/>
      <x:c r="K1607" s="400" t="str">
        <x:v>待同名检索｜待建档</x:v>
      </x:c>
    </x:row>
    <x:row r="1608" ht="52" hidden="0" customHeight="1">
      <x:c r="A1608" s="399" t="str">
        <x:v>SHJ-15-013-3</x:v>
      </x:c>
      <x:c r="B1608" s="399" t="str">
        <x:v>卷十五 《大荒南經》</x:v>
      </x:c>
      <x:c r="C1608" s="400"/>
      <x:c r="D1608" s="399" t="str">
        <x:v>季釐國</x:v>
      </x:c>
      <x:c r="E1608" s="399" t="str">
        <x:v>國家／族群</x:v>
      </x:c>
      <x:c r="F1608" s="401"/>
      <x:c r="G1608" s="400" t="str">
        <x:v>标点与分段参考《山海经校注》；正文对读：https://ctext.org/shan-hai-jing/da-huang-nan-jing/zh</x:v>
      </x:c>
      <x:c r="H1608" s="402" t="e">
        <x:f>HYPERLINK("#'山海经原文总库'!A3","↩ 返回目录")</x:f>
        <x:v>HYPERLINK is not implemented. linkLocation=#'山海经原文总库'!A3, friendlyName=↩ 返回目录</x:v>
      </x:c>
      <x:c r="I1608" s="400"/>
      <x:c r="J1608" s="400"/>
      <x:c r="K1608" s="400" t="str">
        <x:v>待同名检索｜待建档</x:v>
      </x:c>
    </x:row>
    <x:row r="1609" ht="52" hidden="0" customHeight="1">
      <x:c r="A1609" s="399" t="str">
        <x:v>SHJ-15-013-4</x:v>
      </x:c>
      <x:c r="B1609" s="399" t="str">
        <x:v>卷十五 《大荒南經》</x:v>
      </x:c>
      <x:c r="C1609" s="400"/>
      <x:c r="D1609" s="399" t="str">
        <x:v>緡淵</x:v>
      </x:c>
      <x:c r="E1609" s="399" t="str">
        <x:v>水系／水域</x:v>
      </x:c>
      <x:c r="F1609" s="401"/>
      <x:c r="G1609" s="400" t="str">
        <x:v>标点与分段参考《山海经校注》；正文对读：https://ctext.org/shan-hai-jing/da-huang-nan-jing/zh</x:v>
      </x:c>
      <x:c r="H1609" s="402" t="e">
        <x:f>HYPERLINK("#'山海经原文总库'!A3","↩ 返回目录")</x:f>
        <x:v>HYPERLINK is not implemented. linkLocation=#'山海经原文总库'!A3, friendlyName=↩ 返回目录</x:v>
      </x:c>
      <x:c r="I1609" s="400"/>
      <x:c r="J1609" s="400"/>
      <x:c r="K1609" s="400" t="str">
        <x:v>待同名检索｜待建档</x:v>
      </x:c>
    </x:row>
    <x:row r="1610" ht="52" hidden="0" customHeight="1">
      <x:c r="A1610" s="399" t="str">
        <x:v>SHJ-15-013-5</x:v>
      </x:c>
      <x:c r="B1610" s="399" t="str">
        <x:v>卷十五 《大荒南經》</x:v>
      </x:c>
      <x:c r="C1610" s="400"/>
      <x:c r="D1610" s="399" t="str">
        <x:v>俊壇</x:v>
      </x:c>
      <x:c r="E1610" s="399" t="str">
        <x:v>臺／壇</x:v>
      </x:c>
      <x:c r="F1610" s="401"/>
      <x:c r="G1610" s="400" t="str">
        <x:v>标点与分段参考《山海经校注》；正文对读：https://ctext.org/shan-hai-jing/da-huang-nan-jing/zh</x:v>
      </x:c>
      <x:c r="H1610" s="402" t="e">
        <x:f>HYPERLINK("#'山海经原文总库'!A3","↩ 返回目录")</x:f>
        <x:v>HYPERLINK is not implemented. linkLocation=#'山海经原文总库'!A3, friendlyName=↩ 返回目录</x:v>
      </x:c>
      <x:c r="I1610" s="400"/>
      <x:c r="J1610" s="400"/>
      <x:c r="K1610" s="400" t="str">
        <x:v>待同名检索｜待建档</x:v>
      </x:c>
    </x:row>
    <x:row r="1611" ht="52" hidden="0" customHeight="1">
      <x:c r="A1611" s="399" t="str">
        <x:v>SHJ-15-014-1</x:v>
      </x:c>
      <x:c r="B1611" s="399" t="str">
        <x:v>卷十五 《大荒南經》</x:v>
      </x:c>
      <x:c r="C1611" s="400" t="str">
        <x:v>有臷民之國。帝舜生無淫，降臷處，是謂巫臷民。巫臷民？姓，食谷，不績不經，服也；不稼不穡，食也。爰有歌舞之鳥，鸞鳥自歌，鳳鳥自舞。爰有百獸，相羣爰處。百穀所聚。</x:v>
      </x:c>
      <x:c r="D1611" s="399" t="str">
        <x:v>臷民國</x:v>
      </x:c>
      <x:c r="E1611" s="399" t="str">
        <x:v>國家／族群</x:v>
      </x:c>
      <x:c r="F1611" s="401"/>
      <x:c r="G1611" s="400" t="str">
        <x:v>标点与分段参考《山海经校注》；正文对读：https://ctext.org/shan-hai-jing/da-huang-nan-jing/zh</x:v>
      </x:c>
      <x:c r="H1611" s="402" t="e">
        <x:f>HYPERLINK("#'山海经原文总库'!A3","↩ 返回目录")</x:f>
        <x:v>HYPERLINK is not implemented. linkLocation=#'山海经原文总库'!A3, friendlyName=↩ 返回目录</x:v>
      </x:c>
      <x:c r="I1611" s="400"/>
      <x:c r="J1611" s="400"/>
      <x:c r="K1611" s="400" t="str">
        <x:v>待同名检索｜待建档</x:v>
      </x:c>
    </x:row>
    <x:row r="1612" ht="52" hidden="0" customHeight="1">
      <x:c r="A1612" s="399" t="str">
        <x:v>SHJ-15-015-1</x:v>
      </x:c>
      <x:c r="B1612" s="399" t="str">
        <x:v>卷十五 《大荒南經》</x:v>
      </x:c>
      <x:c r="C1612" s="400" t="str">
        <x:v>大荒之中，有山名曰融天，海水南入焉。</x:v>
      </x:c>
      <x:c r="D1612" s="399" t="str">
        <x:v>融天山</x:v>
      </x:c>
      <x:c r="E1612" s="399" t="str">
        <x:v>山／丘</x:v>
      </x:c>
      <x:c r="F1612" s="401"/>
      <x:c r="G1612" s="400" t="str">
        <x:v>标点与分段参考《山海经校注》；正文对读：https://ctext.org/shan-hai-jing/da-huang-nan-jing/zh</x:v>
      </x:c>
      <x:c r="H1612" s="402" t="e">
        <x:f>HYPERLINK("#'山海经原文总库'!A3","↩ 返回目录")</x:f>
        <x:v>HYPERLINK is not implemented. linkLocation=#'山海经原文总库'!A3, friendlyName=↩ 返回目录</x:v>
      </x:c>
      <x:c r="I1612" s="400"/>
      <x:c r="J1612" s="400"/>
      <x:c r="K1612" s="400" t="str">
        <x:v>待同名检索｜待建档</x:v>
      </x:c>
    </x:row>
    <x:row r="1613" ht="52" hidden="0" customHeight="1">
      <x:c r="A1613" s="399" t="str">
        <x:v>SHJ-15-015-2</x:v>
      </x:c>
      <x:c r="B1613" s="399" t="str">
        <x:v>卷十五 《大荒南經》</x:v>
      </x:c>
      <x:c r="C1613" s="400"/>
      <x:c r="D1613" s="399" t="str">
        <x:v>海水</x:v>
      </x:c>
      <x:c r="E1613" s="399" t="str">
        <x:v>水系／水域</x:v>
      </x:c>
      <x:c r="F1613" s="401"/>
      <x:c r="G1613" s="400" t="str">
        <x:v>标点与分段参考《山海经校注》；正文对读：https://ctext.org/shan-hai-jing/da-huang-nan-jing/zh</x:v>
      </x:c>
      <x:c r="H1613" s="402" t="e">
        <x:f>HYPERLINK("#'山海经原文总库'!A3","↩ 返回目录")</x:f>
        <x:v>HYPERLINK is not implemented. linkLocation=#'山海经原文总库'!A3, friendlyName=↩ 返回目录</x:v>
      </x:c>
      <x:c r="I1613" s="400"/>
      <x:c r="J1613" s="400"/>
      <x:c r="K1613" s="400" t="str">
        <x:v>待同名检索｜待建档</x:v>
      </x:c>
    </x:row>
    <x:row r="1614" ht="52" hidden="0" customHeight="1">
      <x:c r="A1614" s="399" t="str">
        <x:v>SHJ-15-016-1</x:v>
      </x:c>
      <x:c r="B1614" s="399" t="str">
        <x:v>卷十五 《大荒南經》</x:v>
      </x:c>
      <x:c r="C1614" s="400" t="str">
        <x:v>有人曰鑿齒，羿殺之。</x:v>
      </x:c>
      <x:c r="D1614" s="399"/>
      <x:c r="E1614" s="399"/>
      <x:c r="F1614" s="401"/>
      <x:c r="G1614" s="400" t="str">
        <x:v>标点与分段参考《山海经校注》；正文对读：https://ctext.org/shan-hai-jing/da-huang-nan-jing/zh</x:v>
      </x:c>
      <x:c r="H1614" s="402" t="e">
        <x:f>HYPERLINK("#'山海经原文总库'!A3","↩ 返回目录")</x:f>
        <x:v>HYPERLINK is not implemented. linkLocation=#'山海经原文总库'!A3, friendlyName=↩ 返回目录</x:v>
      </x:c>
      <x:c r="I1614" s="400"/>
      <x:c r="J1614" s="400"/>
      <x:c r="K1614" s="400" t="str">
        <x:v>经文已收录｜非地点行</x:v>
      </x:c>
    </x:row>
    <x:row r="1615" ht="52" hidden="0" customHeight="1">
      <x:c r="A1615" s="399" t="str">
        <x:v>SHJ-15-017-1</x:v>
      </x:c>
      <x:c r="B1615" s="399" t="str">
        <x:v>卷十五 《大荒南經》</x:v>
      </x:c>
      <x:c r="C1615" s="400" t="str">
        <x:v>有蜮山者，有蜮民之國，桑姓，食黍，射蜮是食。有人方扜弓射黃蛇，名曰蜮人。</x:v>
      </x:c>
      <x:c r="D1615" s="399" t="str">
        <x:v>蜮山</x:v>
      </x:c>
      <x:c r="E1615" s="399" t="str">
        <x:v>山／丘</x:v>
      </x:c>
      <x:c r="F1615" s="401"/>
      <x:c r="G1615" s="400" t="str">
        <x:v>标点与分段参考《山海经校注》；正文对读：https://ctext.org/shan-hai-jing/da-huang-nan-jing/zh</x:v>
      </x:c>
      <x:c r="H1615" s="402" t="e">
        <x:f>HYPERLINK("#'山海经原文总库'!A3","↩ 返回目录")</x:f>
        <x:v>HYPERLINK is not implemented. linkLocation=#'山海经原文总库'!A3, friendlyName=↩ 返回目录</x:v>
      </x:c>
      <x:c r="I1615" s="400"/>
      <x:c r="J1615" s="400"/>
      <x:c r="K1615" s="400" t="str">
        <x:v>待同名检索｜待建档</x:v>
      </x:c>
    </x:row>
    <x:row r="1616" ht="52" hidden="0" customHeight="1">
      <x:c r="A1616" s="399" t="str">
        <x:v>SHJ-15-017-2</x:v>
      </x:c>
      <x:c r="B1616" s="399" t="str">
        <x:v>卷十五 《大荒南經》</x:v>
      </x:c>
      <x:c r="C1616" s="400"/>
      <x:c r="D1616" s="399" t="str">
        <x:v>蜮民國</x:v>
      </x:c>
      <x:c r="E1616" s="399" t="str">
        <x:v>國家／族群</x:v>
      </x:c>
      <x:c r="F1616" s="401"/>
      <x:c r="G1616" s="400" t="str">
        <x:v>标点与分段参考《山海经校注》；正文对读：https://ctext.org/shan-hai-jing/da-huang-nan-jing/zh</x:v>
      </x:c>
      <x:c r="H1616" s="402" t="e">
        <x:f>HYPERLINK("#'山海经原文总库'!A3","↩ 返回目录")</x:f>
        <x:v>HYPERLINK is not implemented. linkLocation=#'山海经原文总库'!A3, friendlyName=↩ 返回目录</x:v>
      </x:c>
      <x:c r="I1616" s="400"/>
      <x:c r="J1616" s="400"/>
      <x:c r="K1616" s="400" t="str">
        <x:v>待同名检索｜待建档</x:v>
      </x:c>
    </x:row>
    <x:row r="1617" ht="52" hidden="0" customHeight="1">
      <x:c r="A1617" s="399" t="str">
        <x:v>SHJ-15-018-1</x:v>
      </x:c>
      <x:c r="B1617" s="399" t="str">
        <x:v>卷十五 《大荒南經》</x:v>
      </x:c>
      <x:c r="C1617" s="400" t="str">
        <x:v>有宋山者，有赤蛇，名曰育蛇。有木生山上，名曰楓木。楓木，蚩尤所棄其桎梏，是爲楓木。</x:v>
      </x:c>
      <x:c r="D1617" s="399" t="str">
        <x:v>宋山</x:v>
      </x:c>
      <x:c r="E1617" s="399" t="str">
        <x:v>山／丘</x:v>
      </x:c>
      <x:c r="F1617" s="401"/>
      <x:c r="G1617" s="400" t="str">
        <x:v>标点与分段参考《山海经校注》；正文对读：https://ctext.org/shan-hai-jing/da-huang-nan-jing/zh</x:v>
      </x:c>
      <x:c r="H1617" s="402" t="e">
        <x:f>HYPERLINK("#'山海经原文总库'!A3","↩ 返回目录")</x:f>
        <x:v>HYPERLINK is not implemented. linkLocation=#'山海经原文总库'!A3, friendlyName=↩ 返回目录</x:v>
      </x:c>
      <x:c r="I1617" s="400"/>
      <x:c r="J1617" s="400"/>
      <x:c r="K1617" s="400" t="str">
        <x:v>待同名检索｜待建档</x:v>
      </x:c>
    </x:row>
    <x:row r="1618" ht="52" hidden="0" customHeight="1">
      <x:c r="A1618" s="399" t="str">
        <x:v>SHJ-15-019-1</x:v>
      </x:c>
      <x:c r="B1618" s="399" t="str">
        <x:v>卷十五 《大荒南經》</x:v>
      </x:c>
      <x:c r="C1618" s="400" t="str">
        <x:v>有人方齒虎尾，名曰祖狀之屍。</x:v>
      </x:c>
      <x:c r="D1618" s="399"/>
      <x:c r="E1618" s="399"/>
      <x:c r="F1618" s="401"/>
      <x:c r="G1618" s="400" t="str">
        <x:v>标点与分段参考《山海经校注》；正文对读：https://ctext.org/shan-hai-jing/da-huang-nan-jing/zh</x:v>
      </x:c>
      <x:c r="H1618" s="402" t="e">
        <x:f>HYPERLINK("#'山海经原文总库'!A3","↩ 返回目录")</x:f>
        <x:v>HYPERLINK is not implemented. linkLocation=#'山海经原文总库'!A3, friendlyName=↩ 返回目录</x:v>
      </x:c>
      <x:c r="I1618" s="400"/>
      <x:c r="J1618" s="400"/>
      <x:c r="K1618" s="400" t="str">
        <x:v>经文已收录｜非地点行</x:v>
      </x:c>
    </x:row>
    <x:row r="1619" ht="52" hidden="0" customHeight="1">
      <x:c r="A1619" s="399" t="str">
        <x:v>SHJ-15-020-1</x:v>
      </x:c>
      <x:c r="B1619" s="399" t="str">
        <x:v>卷十五 《大荒南經》</x:v>
      </x:c>
      <x:c r="C1619" s="400" t="str">
        <x:v>有小人，名曰焦僥之國，幾姓，嘉穀是食。</x:v>
      </x:c>
      <x:c r="D1619" s="399" t="str">
        <x:v>焦僥國</x:v>
      </x:c>
      <x:c r="E1619" s="399" t="str">
        <x:v>國家／族群</x:v>
      </x:c>
      <x:c r="F1619" s="401"/>
      <x:c r="G1619" s="400" t="str">
        <x:v>标点与分段参考《山海经校注》；正文对读：https://ctext.org/shan-hai-jing/da-huang-nan-jing/zh</x:v>
      </x:c>
      <x:c r="H1619" s="402" t="e">
        <x:f>HYPERLINK("#'山海经原文总库'!A3","↩ 返回目录")</x:f>
        <x:v>HYPERLINK is not implemented. linkLocation=#'山海经原文总库'!A3, friendlyName=↩ 返回目录</x:v>
      </x:c>
      <x:c r="I1619" s="400"/>
      <x:c r="J1619" s="400"/>
      <x:c r="K1619" s="400" t="str">
        <x:v>待同名检索｜待建档</x:v>
      </x:c>
    </x:row>
    <x:row r="1620" ht="52" hidden="0" customHeight="1">
      <x:c r="A1620" s="399" t="str">
        <x:v>SHJ-15-021-1</x:v>
      </x:c>
      <x:c r="B1620" s="399" t="str">
        <x:v>卷十五 《大荒南經》</x:v>
      </x:c>
      <x:c r="C1620" s="400" t="str">
        <x:v>大荒之中，有山名（歹ㄎ）塗之山，青水窮焉。有雲雨之山，有木名曰欒。禹攻雲雨，有赤石焉生欒，黃本，赤枝，青葉，羣帝焉取藥。</x:v>
      </x:c>
      <x:c r="D1620" s="399" t="str">
        <x:v>㱙塗山</x:v>
      </x:c>
      <x:c r="E1620" s="399" t="str">
        <x:v>山／丘</x:v>
      </x:c>
      <x:c r="F1620" s="401"/>
      <x:c r="G1620" s="400" t="str">
        <x:v>标点与分段参考《山海经校注》；正文对读：https://ctext.org/shan-hai-jing/da-huang-nan-jing/zh</x:v>
      </x:c>
      <x:c r="H1620" s="402" t="e">
        <x:f>HYPERLINK("#'山海经原文总库'!A3","↩ 返回目录")</x:f>
        <x:v>HYPERLINK is not implemented. linkLocation=#'山海经原文总库'!A3, friendlyName=↩ 返回目录</x:v>
      </x:c>
      <x:c r="I1620" s="400"/>
      <x:c r="J1620" s="400"/>
      <x:c r="K1620" s="400" t="str">
        <x:v>待同名检索｜待建档</x:v>
      </x:c>
    </x:row>
    <x:row r="1621" ht="52" hidden="0" customHeight="1">
      <x:c r="A1621" s="399" t="str">
        <x:v>SHJ-15-021-2</x:v>
      </x:c>
      <x:c r="B1621" s="399" t="str">
        <x:v>卷十五 《大荒南經》</x:v>
      </x:c>
      <x:c r="C1621" s="400"/>
      <x:c r="D1621" s="399" t="str">
        <x:v>青水</x:v>
      </x:c>
      <x:c r="E1621" s="399" t="str">
        <x:v>水系／水域</x:v>
      </x:c>
      <x:c r="F1621" s="401"/>
      <x:c r="G1621" s="400" t="str">
        <x:v>标点与分段参考《山海经校注》；正文对读：https://ctext.org/shan-hai-jing/da-huang-nan-jing/zh</x:v>
      </x:c>
      <x:c r="H1621" s="402" t="e">
        <x:f>HYPERLINK("#'山海经原文总库'!A3","↩ 返回目录")</x:f>
        <x:v>HYPERLINK is not implemented. linkLocation=#'山海经原文总库'!A3, friendlyName=↩ 返回目录</x:v>
      </x:c>
      <x:c r="I1621" s="400"/>
      <x:c r="J1621" s="400"/>
      <x:c r="K1621" s="400" t="str">
        <x:v>待同名检索｜待建档</x:v>
      </x:c>
    </x:row>
    <x:row r="1622" ht="52" hidden="0" customHeight="1">
      <x:c r="A1622" s="399" t="str">
        <x:v>SHJ-15-021-3</x:v>
      </x:c>
      <x:c r="B1622" s="399" t="str">
        <x:v>卷十五 《大荒南經》</x:v>
      </x:c>
      <x:c r="C1622" s="400"/>
      <x:c r="D1622" s="399" t="str">
        <x:v>雲雨山</x:v>
      </x:c>
      <x:c r="E1622" s="399" t="str">
        <x:v>山／丘</x:v>
      </x:c>
      <x:c r="F1622" s="401"/>
      <x:c r="G1622" s="400" t="str">
        <x:v>标点与分段参考《山海经校注》；正文对读：https://ctext.org/shan-hai-jing/da-huang-nan-jing/zh</x:v>
      </x:c>
      <x:c r="H1622" s="402" t="e">
        <x:f>HYPERLINK("#'山海经原文总库'!A3","↩ 返回目录")</x:f>
        <x:v>HYPERLINK is not implemented. linkLocation=#'山海经原文总库'!A3, friendlyName=↩ 返回目录</x:v>
      </x:c>
      <x:c r="I1622" s="400"/>
      <x:c r="J1622" s="400"/>
      <x:c r="K1622" s="400" t="str">
        <x:v>待同名检索｜待建档</x:v>
      </x:c>
    </x:row>
    <x:row r="1623" ht="52" hidden="0" customHeight="1">
      <x:c r="A1623" s="399" t="str">
        <x:v>SHJ-15-022-1</x:v>
      </x:c>
      <x:c r="B1623" s="399" t="str">
        <x:v>卷十五 《大荒南經》</x:v>
      </x:c>
      <x:c r="C1623" s="400" t="str">
        <x:v>有國曰顓頊，生伯服，食黍。有鼬姓之國。有苕山。又有宗山。又有姓山。又有壑山。又有陳州山。又有東州山。又有白水山，白水出焉，而生白淵，昆吾之師所浴也。</x:v>
      </x:c>
      <x:c r="D1623" s="399" t="str">
        <x:v>顓頊國</x:v>
      </x:c>
      <x:c r="E1623" s="399" t="str">
        <x:v>國家／族群</x:v>
      </x:c>
      <x:c r="F1623" s="401"/>
      <x:c r="G1623" s="400" t="str">
        <x:v>标点与分段参考《山海经校注》；正文对读：https://ctext.org/shan-hai-jing/da-huang-nan-jing/zh</x:v>
      </x:c>
      <x:c r="H1623" s="402" t="e">
        <x:f>HYPERLINK("#'山海经原文总库'!A3","↩ 返回目录")</x:f>
        <x:v>HYPERLINK is not implemented. linkLocation=#'山海经原文总库'!A3, friendlyName=↩ 返回目录</x:v>
      </x:c>
      <x:c r="I1623" s="400"/>
      <x:c r="J1623" s="400"/>
      <x:c r="K1623" s="400" t="str">
        <x:v>待同名检索｜待建档</x:v>
      </x:c>
    </x:row>
    <x:row r="1624" ht="52" hidden="0" customHeight="1">
      <x:c r="A1624" s="399" t="str">
        <x:v>SHJ-15-022-2</x:v>
      </x:c>
      <x:c r="B1624" s="399" t="str">
        <x:v>卷十五 《大荒南經》</x:v>
      </x:c>
      <x:c r="C1624" s="400"/>
      <x:c r="D1624" s="399" t="str">
        <x:v>鼬姓國</x:v>
      </x:c>
      <x:c r="E1624" s="399" t="str">
        <x:v>國家／族群</x:v>
      </x:c>
      <x:c r="F1624" s="401"/>
      <x:c r="G1624" s="400" t="str">
        <x:v>标点与分段参考《山海经校注》；正文对读：https://ctext.org/shan-hai-jing/da-huang-nan-jing/zh</x:v>
      </x:c>
      <x:c r="H1624" s="402" t="e">
        <x:f>HYPERLINK("#'山海经原文总库'!A3","↩ 返回目录")</x:f>
        <x:v>HYPERLINK is not implemented. linkLocation=#'山海经原文总库'!A3, friendlyName=↩ 返回目录</x:v>
      </x:c>
      <x:c r="I1624" s="400"/>
      <x:c r="J1624" s="400"/>
      <x:c r="K1624" s="400" t="str">
        <x:v>待同名检索｜待建档</x:v>
      </x:c>
    </x:row>
    <x:row r="1625" ht="52" hidden="0" customHeight="1">
      <x:c r="A1625" s="399" t="str">
        <x:v>SHJ-15-022-3</x:v>
      </x:c>
      <x:c r="B1625" s="399" t="str">
        <x:v>卷十五 《大荒南經》</x:v>
      </x:c>
      <x:c r="C1625" s="400"/>
      <x:c r="D1625" s="399" t="str">
        <x:v>苕山</x:v>
      </x:c>
      <x:c r="E1625" s="399" t="str">
        <x:v>山／丘</x:v>
      </x:c>
      <x:c r="F1625" s="401"/>
      <x:c r="G1625" s="400" t="str">
        <x:v>标点与分段参考《山海经校注》；正文对读：https://ctext.org/shan-hai-jing/da-huang-nan-jing/zh</x:v>
      </x:c>
      <x:c r="H1625" s="402" t="e">
        <x:f>HYPERLINK("#'山海经原文总库'!A3","↩ 返回目录")</x:f>
        <x:v>HYPERLINK is not implemented. linkLocation=#'山海经原文总库'!A3, friendlyName=↩ 返回目录</x:v>
      </x:c>
      <x:c r="I1625" s="400"/>
      <x:c r="J1625" s="400"/>
      <x:c r="K1625" s="400" t="str">
        <x:v>待同名检索｜待建档</x:v>
      </x:c>
    </x:row>
    <x:row r="1626" ht="52" hidden="0" customHeight="1">
      <x:c r="A1626" s="399" t="str">
        <x:v>SHJ-15-022-4</x:v>
      </x:c>
      <x:c r="B1626" s="399" t="str">
        <x:v>卷十五 《大荒南經》</x:v>
      </x:c>
      <x:c r="C1626" s="400"/>
      <x:c r="D1626" s="399" t="str">
        <x:v>宗山</x:v>
      </x:c>
      <x:c r="E1626" s="399" t="str">
        <x:v>山／丘</x:v>
      </x:c>
      <x:c r="F1626" s="401"/>
      <x:c r="G1626" s="400" t="str">
        <x:v>标点与分段参考《山海经校注》；正文对读：https://ctext.org/shan-hai-jing/da-huang-nan-jing/zh</x:v>
      </x:c>
      <x:c r="H1626" s="402" t="e">
        <x:f>HYPERLINK("#'山海经原文总库'!A3","↩ 返回目录")</x:f>
        <x:v>HYPERLINK is not implemented. linkLocation=#'山海经原文总库'!A3, friendlyName=↩ 返回目录</x:v>
      </x:c>
      <x:c r="I1626" s="400"/>
      <x:c r="J1626" s="400"/>
      <x:c r="K1626" s="400" t="str">
        <x:v>待同名检索｜待建档</x:v>
      </x:c>
    </x:row>
    <x:row r="1627" ht="52" hidden="0" customHeight="1">
      <x:c r="A1627" s="407" t="str">
        <x:v>SHJ-15-022-5</x:v>
      </x:c>
      <x:c r="B1627" s="407" t="str">
        <x:v>卷十五 《大荒南經》</x:v>
      </x:c>
      <x:c r="C1627" s="408"/>
      <x:c r="D1627" s="407" t="str">
        <x:v>姓山</x:v>
      </x:c>
      <x:c r="E1627" s="407" t="str">
        <x:v>山／丘</x:v>
      </x:c>
      <x:c r="F1627" s="409"/>
      <x:c r="G1627" s="408" t="str">
        <x:v>标点与分段参考《山海经校注》；正文对读：https://ctext.org/shan-hai-jing/da-huang-nan-jing/zh</x:v>
      </x:c>
      <x:c r="H1627" s="410" t="e">
        <x:f>HYPERLINK("#'山海经原文总库'!A3","↩ 返回目录")</x:f>
        <x:v>HYPERLINK is not implemented. linkLocation=#'山海经原文总库'!A3, friendlyName=↩ 返回目录</x:v>
      </x:c>
      <x:c r="I1627" s="408"/>
      <x:c r="J1627" s="408"/>
      <x:c r="K1627" s="408" t="str">
        <x:v>待同名检索｜待建档</x:v>
      </x:c>
    </x:row>
    <x:row r="1628" ht="52" hidden="0" customHeight="1">
      <x:c r="A1628" s="407" t="str">
        <x:v>SHJ-15-022-6</x:v>
      </x:c>
      <x:c r="B1628" s="407" t="str">
        <x:v>卷十五 《大荒南經》</x:v>
      </x:c>
      <x:c r="C1628" s="408"/>
      <x:c r="D1628" s="407" t="str">
        <x:v>壑山</x:v>
      </x:c>
      <x:c r="E1628" s="407" t="str">
        <x:v>山／丘</x:v>
      </x:c>
      <x:c r="F1628" s="409"/>
      <x:c r="G1628" s="408" t="str">
        <x:v>标点与分段参考《山海经校注》；正文对读：https://ctext.org/shan-hai-jing/da-huang-nan-jing/zh</x:v>
      </x:c>
      <x:c r="H1628" s="410" t="e">
        <x:f>HYPERLINK("#'山海经原文总库'!A3","↩ 返回目录")</x:f>
        <x:v>HYPERLINK is not implemented. linkLocation=#'山海经原文总库'!A3, friendlyName=↩ 返回目录</x:v>
      </x:c>
      <x:c r="I1628" s="408"/>
      <x:c r="J1628" s="408"/>
      <x:c r="K1628" s="408" t="str">
        <x:v>待同名检索｜待建档</x:v>
      </x:c>
    </x:row>
    <x:row r="1629" ht="52" hidden="0" customHeight="1">
      <x:c r="A1629" s="407" t="str">
        <x:v>SHJ-15-022-7</x:v>
      </x:c>
      <x:c r="B1629" s="407" t="str">
        <x:v>卷十五 《大荒南經》</x:v>
      </x:c>
      <x:c r="C1629" s="408"/>
      <x:c r="D1629" s="407" t="str">
        <x:v>陳州山</x:v>
      </x:c>
      <x:c r="E1629" s="407" t="str">
        <x:v>山／丘</x:v>
      </x:c>
      <x:c r="F1629" s="409"/>
      <x:c r="G1629" s="408" t="str">
        <x:v>标点与分段参考《山海经校注》；正文对读：https://ctext.org/shan-hai-jing/da-huang-nan-jing/zh</x:v>
      </x:c>
      <x:c r="H1629" s="410" t="e">
        <x:f>HYPERLINK("#'山海经原文总库'!A3","↩ 返回目录")</x:f>
        <x:v>HYPERLINK is not implemented. linkLocation=#'山海经原文总库'!A3, friendlyName=↩ 返回目录</x:v>
      </x:c>
      <x:c r="I1629" s="408"/>
      <x:c r="J1629" s="408"/>
      <x:c r="K1629" s="408" t="str">
        <x:v>待同名检索｜待建档</x:v>
      </x:c>
    </x:row>
    <x:row r="1630" ht="52" hidden="0" customHeight="1">
      <x:c r="A1630" s="407" t="str">
        <x:v>SHJ-15-022-8</x:v>
      </x:c>
      <x:c r="B1630" s="407" t="str">
        <x:v>卷十五 《大荒南經》</x:v>
      </x:c>
      <x:c r="C1630" s="408"/>
      <x:c r="D1630" s="407" t="str">
        <x:v>東州山</x:v>
      </x:c>
      <x:c r="E1630" s="407" t="str">
        <x:v>山／丘</x:v>
      </x:c>
      <x:c r="F1630" s="409"/>
      <x:c r="G1630" s="408" t="str">
        <x:v>标点与分段参考《山海经校注》；正文对读：https://ctext.org/shan-hai-jing/da-huang-nan-jing/zh</x:v>
      </x:c>
      <x:c r="H1630" s="410" t="e">
        <x:f>HYPERLINK("#'山海经原文总库'!A3","↩ 返回目录")</x:f>
        <x:v>HYPERLINK is not implemented. linkLocation=#'山海经原文总库'!A3, friendlyName=↩ 返回目录</x:v>
      </x:c>
      <x:c r="I1630" s="408"/>
      <x:c r="J1630" s="408"/>
      <x:c r="K1630" s="408" t="str">
        <x:v>待同名检索｜待建档</x:v>
      </x:c>
    </x:row>
    <x:row r="1631" ht="52" hidden="0" customHeight="1">
      <x:c r="A1631" s="407" t="str">
        <x:v>SHJ-15-022-9</x:v>
      </x:c>
      <x:c r="B1631" s="407" t="str">
        <x:v>卷十五 《大荒南經》</x:v>
      </x:c>
      <x:c r="C1631" s="408"/>
      <x:c r="D1631" s="407" t="str">
        <x:v>白水山</x:v>
      </x:c>
      <x:c r="E1631" s="407" t="str">
        <x:v>山／丘</x:v>
      </x:c>
      <x:c r="F1631" s="409"/>
      <x:c r="G1631" s="408" t="str">
        <x:v>标点与分段参考《山海经校注》；正文对读：https://ctext.org/shan-hai-jing/da-huang-nan-jing/zh</x:v>
      </x:c>
      <x:c r="H1631" s="410" t="e">
        <x:f>HYPERLINK("#'山海经原文总库'!A3","↩ 返回目录")</x:f>
        <x:v>HYPERLINK is not implemented. linkLocation=#'山海经原文总库'!A3, friendlyName=↩ 返回目录</x:v>
      </x:c>
      <x:c r="I1631" s="408"/>
      <x:c r="J1631" s="408"/>
      <x:c r="K1631" s="408" t="str">
        <x:v>待同名检索｜待建档</x:v>
      </x:c>
    </x:row>
    <x:row r="1632" ht="52" hidden="0" customHeight="1">
      <x:c r="A1632" s="407" t="str">
        <x:v>SHJ-15-022-10</x:v>
      </x:c>
      <x:c r="B1632" s="407" t="str">
        <x:v>卷十五 《大荒南經》</x:v>
      </x:c>
      <x:c r="C1632" s="408"/>
      <x:c r="D1632" s="407" t="str">
        <x:v>白水</x:v>
      </x:c>
      <x:c r="E1632" s="407" t="str">
        <x:v>水系／水域</x:v>
      </x:c>
      <x:c r="F1632" s="409"/>
      <x:c r="G1632" s="408" t="str">
        <x:v>标点与分段参考《山海经校注》；正文对读：https://ctext.org/shan-hai-jing/da-huang-nan-jing/zh</x:v>
      </x:c>
      <x:c r="H1632" s="410" t="e">
        <x:f>HYPERLINK("#'山海经原文总库'!A3","↩ 返回目录")</x:f>
        <x:v>HYPERLINK is not implemented. linkLocation=#'山海经原文总库'!A3, friendlyName=↩ 返回目录</x:v>
      </x:c>
      <x:c r="I1632" s="408"/>
      <x:c r="J1632" s="408"/>
      <x:c r="K1632" s="408" t="str">
        <x:v>待同名检索｜待建档</x:v>
      </x:c>
    </x:row>
    <x:row r="1633" ht="52" hidden="0" customHeight="1">
      <x:c r="A1633" s="407" t="str">
        <x:v>SHJ-15-022-11</x:v>
      </x:c>
      <x:c r="B1633" s="407" t="str">
        <x:v>卷十五 《大荒南經》</x:v>
      </x:c>
      <x:c r="C1633" s="408"/>
      <x:c r="D1633" s="407" t="str">
        <x:v>白淵</x:v>
      </x:c>
      <x:c r="E1633" s="407" t="str">
        <x:v>水系／水域</x:v>
      </x:c>
      <x:c r="F1633" s="409"/>
      <x:c r="G1633" s="408" t="str">
        <x:v>标点与分段参考《山海经校注》；正文对读：https://ctext.org/shan-hai-jing/da-huang-nan-jing/zh</x:v>
      </x:c>
      <x:c r="H1633" s="410" t="e">
        <x:f>HYPERLINK("#'山海经原文总库'!A3","↩ 返回目录")</x:f>
        <x:v>HYPERLINK is not implemented. linkLocation=#'山海经原文总库'!A3, friendlyName=↩ 返回目录</x:v>
      </x:c>
      <x:c r="I1633" s="408"/>
      <x:c r="J1633" s="408"/>
      <x:c r="K1633" s="408" t="str">
        <x:v>待同名检索｜待建档</x:v>
      </x:c>
    </x:row>
    <x:row r="1634" ht="52" hidden="0" customHeight="1">
      <x:c r="A1634" s="407" t="str">
        <x:v>SHJ-15-023-1</x:v>
      </x:c>
      <x:c r="B1634" s="407" t="str">
        <x:v>卷十五 《大荒南經》</x:v>
      </x:c>
      <x:c r="C1634" s="408" t="str">
        <x:v>有人曰張弘，在海上捕魚。海中有張弘之國，食魚，使四鳥。</x:v>
      </x:c>
      <x:c r="D1634" s="407" t="str">
        <x:v>海上</x:v>
      </x:c>
      <x:c r="E1634" s="407" t="str">
        <x:v>水系／水域</x:v>
      </x:c>
      <x:c r="F1634" s="409"/>
      <x:c r="G1634" s="408" t="str">
        <x:v>标点与分段参考《山海经校注》；正文对读：https://ctext.org/shan-hai-jing/da-huang-nan-jing/zh</x:v>
      </x:c>
      <x:c r="H1634" s="410" t="e">
        <x:f>HYPERLINK("#'山海经原文总库'!A3","↩ 返回目录")</x:f>
        <x:v>HYPERLINK is not implemented. linkLocation=#'山海经原文总库'!A3, friendlyName=↩ 返回目录</x:v>
      </x:c>
      <x:c r="I1634" s="408"/>
      <x:c r="J1634" s="408"/>
      <x:c r="K1634" s="408" t="str">
        <x:v>待同名检索｜待建档</x:v>
      </x:c>
    </x:row>
    <x:row r="1635" ht="52" hidden="0" customHeight="1">
      <x:c r="A1635" s="407" t="str">
        <x:v>SHJ-15-023-2</x:v>
      </x:c>
      <x:c r="B1635" s="407" t="str">
        <x:v>卷十五 《大荒南經》</x:v>
      </x:c>
      <x:c r="C1635" s="408"/>
      <x:c r="D1635" s="407" t="str">
        <x:v>張弘國</x:v>
      </x:c>
      <x:c r="E1635" s="407" t="str">
        <x:v>國家／族群</x:v>
      </x:c>
      <x:c r="F1635" s="409"/>
      <x:c r="G1635" s="408" t="str">
        <x:v>标点与分段参考《山海经校注》；正文对读：https://ctext.org/shan-hai-jing/da-huang-nan-jing/zh</x:v>
      </x:c>
      <x:c r="H1635" s="410" t="e">
        <x:f>HYPERLINK("#'山海经原文总库'!A3","↩ 返回目录")</x:f>
        <x:v>HYPERLINK is not implemented. linkLocation=#'山海经原文总库'!A3, friendlyName=↩ 返回目录</x:v>
      </x:c>
      <x:c r="I1635" s="408"/>
      <x:c r="J1635" s="408"/>
      <x:c r="K1635" s="408" t="str">
        <x:v>待同名检索｜待建档</x:v>
      </x:c>
    </x:row>
    <x:row r="1636" ht="52" hidden="0" customHeight="1">
      <x:c r="A1636" s="407" t="str">
        <x:v>SHJ-15-024-1</x:v>
      </x:c>
      <x:c r="B1636" s="407" t="str">
        <x:v>卷十五 《大荒南經》</x:v>
      </x:c>
      <x:c r="C1636" s="408" t="str">
        <x:v>有人焉，鳥喙，有翼，方捕魚於海。大荒之中，有人名曰驩頭。鯀妻士敬，士敬子曰炎融，生驩頭。驩頭人面鳥喙，有翼，食海中魚，杖翼而行。維宜芑苣，穋楊是食。有驩頭之國。</x:v>
      </x:c>
      <x:c r="D1636" s="407" t="str">
        <x:v>大荒</x:v>
      </x:c>
      <x:c r="E1636" s="407" t="str">
        <x:v>區域</x:v>
      </x:c>
      <x:c r="F1636" s="409"/>
      <x:c r="G1636" s="408" t="str">
        <x:v>标点与分段参考《山海经校注》；正文对读：https://ctext.org/shan-hai-jing/da-huang-nan-jing/zh</x:v>
      </x:c>
      <x:c r="H1636" s="410" t="e">
        <x:f>HYPERLINK("#'山海经原文总库'!A3","↩ 返回目录")</x:f>
        <x:v>HYPERLINK is not implemented. linkLocation=#'山海经原文总库'!A3, friendlyName=↩ 返回目录</x:v>
      </x:c>
      <x:c r="I1636" s="408"/>
      <x:c r="J1636" s="408"/>
      <x:c r="K1636" s="408" t="str">
        <x:v>待同名检索｜待建档</x:v>
      </x:c>
    </x:row>
    <x:row r="1637" ht="52" hidden="0" customHeight="1">
      <x:c r="A1637" s="407" t="str">
        <x:v>SHJ-15-024-2</x:v>
      </x:c>
      <x:c r="B1637" s="407" t="str">
        <x:v>卷十五 《大荒南經》</x:v>
      </x:c>
      <x:c r="C1637" s="408"/>
      <x:c r="D1637" s="407" t="str">
        <x:v>驩頭國</x:v>
      </x:c>
      <x:c r="E1637" s="407" t="str">
        <x:v>國家／族群</x:v>
      </x:c>
      <x:c r="F1637" s="409"/>
      <x:c r="G1637" s="408" t="str">
        <x:v>标点与分段参考《山海经校注》；正文对读：https://ctext.org/shan-hai-jing/da-huang-nan-jing/zh</x:v>
      </x:c>
      <x:c r="H1637" s="410" t="e">
        <x:f>HYPERLINK("#'山海经原文总库'!A3","↩ 返回目录")</x:f>
        <x:v>HYPERLINK is not implemented. linkLocation=#'山海经原文总库'!A3, friendlyName=↩ 返回目录</x:v>
      </x:c>
      <x:c r="I1637" s="408"/>
      <x:c r="J1637" s="408"/>
      <x:c r="K1637" s="408" t="str">
        <x:v>待同名检索｜待建档</x:v>
      </x:c>
    </x:row>
    <x:row r="1638" ht="52" hidden="0" customHeight="1">
      <x:c r="A1638" s="407" t="str">
        <x:v>SHJ-15-024-3</x:v>
      </x:c>
      <x:c r="B1638" s="407" t="str">
        <x:v>卷十五 《大荒南經》</x:v>
      </x:c>
      <x:c r="C1638" s="408"/>
      <x:c r="D1638" s="407" t="str">
        <x:v>海</x:v>
      </x:c>
      <x:c r="E1638" s="407" t="str">
        <x:v>水系／水域</x:v>
      </x:c>
      <x:c r="F1638" s="409"/>
      <x:c r="G1638" s="408" t="str">
        <x:v>标点与分段参考《山海经校注》；正文对读：https://ctext.org/shan-hai-jing/da-huang-nan-jing/zh</x:v>
      </x:c>
      <x:c r="H1638" s="410" t="e">
        <x:f>HYPERLINK("#'山海经原文总库'!A3","↩ 返回目录")</x:f>
        <x:v>HYPERLINK is not implemented. linkLocation=#'山海经原文总库'!A3, friendlyName=↩ 返回目录</x:v>
      </x:c>
      <x:c r="I1638" s="408"/>
      <x:c r="J1638" s="408"/>
      <x:c r="K1638" s="408" t="str">
        <x:v>待同名检索｜待建档</x:v>
      </x:c>
    </x:row>
    <x:row r="1639" ht="52" hidden="0" customHeight="1">
      <x:c r="A1639" s="407" t="str">
        <x:v>SHJ-15-025-1</x:v>
      </x:c>
      <x:c r="B1639" s="407" t="str">
        <x:v>卷十五 《大荒南經》</x:v>
      </x:c>
      <x:c r="C1639" s="408" t="str">
        <x:v>帝堯、帝嚳、帝舜葬於嶽山。爰有文貝、離俞、（丘鳥）久、鷹、延維、視肉、熊、羆、虎、豹；朱木，赤枝，青華，玄實。有申山者。</x:v>
      </x:c>
      <x:c r="D1639" s="407" t="str">
        <x:v>岳山</x:v>
      </x:c>
      <x:c r="E1639" s="407" t="str">
        <x:v>山／丘</x:v>
      </x:c>
      <x:c r="F1639" s="409"/>
      <x:c r="G1639" s="408" t="str">
        <x:v>标点与分段参考《山海经校注》；正文对读：https://ctext.org/shan-hai-jing/da-huang-nan-jing/zh</x:v>
      </x:c>
      <x:c r="H1639" s="410" t="e">
        <x:f>HYPERLINK("#'山海经原文总库'!A3","↩ 返回目录")</x:f>
        <x:v>HYPERLINK is not implemented. linkLocation=#'山海经原文总库'!A3, friendlyName=↩ 返回目录</x:v>
      </x:c>
      <x:c r="I1639" s="408"/>
      <x:c r="J1639" s="408"/>
      <x:c r="K1639" s="408" t="str">
        <x:v>待同名检索｜待建档</x:v>
      </x:c>
    </x:row>
    <x:row r="1640" ht="52" hidden="0" customHeight="1">
      <x:c r="A1640" s="407" t="str">
        <x:v>SHJ-15-025-2</x:v>
      </x:c>
      <x:c r="B1640" s="407" t="str">
        <x:v>卷十五 《大荒南經》</x:v>
      </x:c>
      <x:c r="C1640" s="408"/>
      <x:c r="D1640" s="407" t="str">
        <x:v>申山</x:v>
      </x:c>
      <x:c r="E1640" s="407" t="str">
        <x:v>山／丘</x:v>
      </x:c>
      <x:c r="F1640" s="409"/>
      <x:c r="G1640" s="408" t="str">
        <x:v>标点与分段参考《山海经校注》；正文对读：https://ctext.org/shan-hai-jing/da-huang-nan-jing/zh</x:v>
      </x:c>
      <x:c r="H1640" s="410" t="e">
        <x:f>HYPERLINK("#'山海经原文总库'!A3","↩ 返回目录")</x:f>
        <x:v>HYPERLINK is not implemented. linkLocation=#'山海经原文总库'!A3, friendlyName=↩ 返回目录</x:v>
      </x:c>
      <x:c r="I1640" s="408"/>
      <x:c r="J1640" s="408"/>
      <x:c r="K1640" s="408" t="str">
        <x:v>待同名检索｜待建档</x:v>
      </x:c>
    </x:row>
    <x:row r="1641" ht="52" hidden="0" customHeight="1">
      <x:c r="A1641" s="407" t="str">
        <x:v>SHJ-15-026-1</x:v>
      </x:c>
      <x:c r="B1641" s="407" t="str">
        <x:v>卷十五 《大荒南經》</x:v>
      </x:c>
      <x:c r="C1641" s="408" t="str">
        <x:v>大荒之中，有山名曰天臺高山，海水入焉。</x:v>
      </x:c>
      <x:c r="D1641" s="407" t="str">
        <x:v>天臺高山</x:v>
      </x:c>
      <x:c r="E1641" s="407" t="str">
        <x:v>臺／壇</x:v>
      </x:c>
      <x:c r="F1641" s="409"/>
      <x:c r="G1641" s="408" t="str">
        <x:v>标点与分段参考《山海经校注》；正文对读：https://ctext.org/shan-hai-jing/da-huang-nan-jing/zh</x:v>
      </x:c>
      <x:c r="H1641" s="410" t="e">
        <x:f>HYPERLINK("#'山海经原文总库'!A3","↩ 返回目录")</x:f>
        <x:v>HYPERLINK is not implemented. linkLocation=#'山海经原文总库'!A3, friendlyName=↩ 返回目录</x:v>
      </x:c>
      <x:c r="I1641" s="408"/>
      <x:c r="J1641" s="408"/>
      <x:c r="K1641" s="408" t="str">
        <x:v>待同名检索｜待建档</x:v>
      </x:c>
    </x:row>
    <x:row r="1642" ht="52" hidden="0" customHeight="1">
      <x:c r="A1642" s="407" t="str">
        <x:v>SHJ-15-026-2</x:v>
      </x:c>
      <x:c r="B1642" s="407" t="str">
        <x:v>卷十五 《大荒南經》</x:v>
      </x:c>
      <x:c r="C1642" s="408"/>
      <x:c r="D1642" s="407" t="str">
        <x:v>海水</x:v>
      </x:c>
      <x:c r="E1642" s="407" t="str">
        <x:v>水系／水域</x:v>
      </x:c>
      <x:c r="F1642" s="409"/>
      <x:c r="G1642" s="408" t="str">
        <x:v>标点与分段参考《山海经校注》；正文对读：https://ctext.org/shan-hai-jing/da-huang-nan-jing/zh</x:v>
      </x:c>
      <x:c r="H1642" s="410" t="e">
        <x:f>HYPERLINK("#'山海经原文总库'!A3","↩ 返回目录")</x:f>
        <x:v>HYPERLINK is not implemented. linkLocation=#'山海经原文总库'!A3, friendlyName=↩ 返回目录</x:v>
      </x:c>
      <x:c r="I1642" s="408"/>
      <x:c r="J1642" s="408"/>
      <x:c r="K1642" s="408" t="str">
        <x:v>待同名检索｜待建档</x:v>
      </x:c>
    </x:row>
    <x:row r="1643" ht="52" hidden="0" customHeight="1">
      <x:c r="A1643" s="407" t="str">
        <x:v>SHJ-15-027-1</x:v>
      </x:c>
      <x:c r="B1643" s="407" t="str">
        <x:v>卷十五 《大荒南經》</x:v>
      </x:c>
      <x:c r="C1643" s="408" t="str">
        <x:v>東南海之外，甘水之間，有羲和之國。有女子名曰羲和，方日浴於甘淵。羲和者，帝俊之妻，生十日。</x:v>
      </x:c>
      <x:c r="D1643" s="407" t="str">
        <x:v>東南海之外</x:v>
      </x:c>
      <x:c r="E1643" s="407" t="str">
        <x:v>區域</x:v>
      </x:c>
      <x:c r="F1643" s="409"/>
      <x:c r="G1643" s="408" t="str">
        <x:v>标点与分段参考《山海经校注》；正文对读：https://ctext.org/shan-hai-jing/da-huang-nan-jing/zh</x:v>
      </x:c>
      <x:c r="H1643" s="410" t="e">
        <x:f>HYPERLINK("#'山海经原文总库'!A3","↩ 返回目录")</x:f>
        <x:v>HYPERLINK is not implemented. linkLocation=#'山海经原文总库'!A3, friendlyName=↩ 返回目录</x:v>
      </x:c>
      <x:c r="I1643" s="408"/>
      <x:c r="J1643" s="408"/>
      <x:c r="K1643" s="408" t="str">
        <x:v>待同名检索｜待建档</x:v>
      </x:c>
    </x:row>
    <x:row r="1644" ht="52" hidden="0" customHeight="1">
      <x:c r="A1644" s="407" t="str">
        <x:v>SHJ-15-027-2</x:v>
      </x:c>
      <x:c r="B1644" s="407" t="str">
        <x:v>卷十五 《大荒南經》</x:v>
      </x:c>
      <x:c r="C1644" s="408"/>
      <x:c r="D1644" s="407" t="str">
        <x:v>甘水</x:v>
      </x:c>
      <x:c r="E1644" s="407" t="str">
        <x:v>水系／水域</x:v>
      </x:c>
      <x:c r="F1644" s="409"/>
      <x:c r="G1644" s="408" t="str">
        <x:v>标点与分段参考《山海经校注》；正文对读：https://ctext.org/shan-hai-jing/da-huang-nan-jing/zh</x:v>
      </x:c>
      <x:c r="H1644" s="410" t="e">
        <x:f>HYPERLINK("#'山海经原文总库'!A3","↩ 返回目录")</x:f>
        <x:v>HYPERLINK is not implemented. linkLocation=#'山海经原文总库'!A3, friendlyName=↩ 返回目录</x:v>
      </x:c>
      <x:c r="I1644" s="408"/>
      <x:c r="J1644" s="408"/>
      <x:c r="K1644" s="408" t="str">
        <x:v>待同名检索｜待建档</x:v>
      </x:c>
    </x:row>
    <x:row r="1645" ht="52" hidden="0" customHeight="1">
      <x:c r="A1645" s="407" t="str">
        <x:v>SHJ-15-027-3</x:v>
      </x:c>
      <x:c r="B1645" s="407" t="str">
        <x:v>卷十五 《大荒南經》</x:v>
      </x:c>
      <x:c r="C1645" s="408"/>
      <x:c r="D1645" s="407" t="str">
        <x:v>羲和國</x:v>
      </x:c>
      <x:c r="E1645" s="407" t="str">
        <x:v>國家／族群</x:v>
      </x:c>
      <x:c r="F1645" s="409"/>
      <x:c r="G1645" s="408" t="str">
        <x:v>标点与分段参考《山海经校注》；正文对读：https://ctext.org/shan-hai-jing/da-huang-nan-jing/zh</x:v>
      </x:c>
      <x:c r="H1645" s="410" t="e">
        <x:f>HYPERLINK("#'山海经原文总库'!A3","↩ 返回目录")</x:f>
        <x:v>HYPERLINK is not implemented. linkLocation=#'山海经原文总库'!A3, friendlyName=↩ 返回目录</x:v>
      </x:c>
      <x:c r="I1645" s="408"/>
      <x:c r="J1645" s="408"/>
      <x:c r="K1645" s="408" t="str">
        <x:v>待同名检索｜待建档</x:v>
      </x:c>
    </x:row>
    <x:row r="1646" ht="52" hidden="0" customHeight="1">
      <x:c r="A1646" s="407" t="str">
        <x:v>SHJ-15-027-4</x:v>
      </x:c>
      <x:c r="B1646" s="407" t="str">
        <x:v>卷十五 《大荒南經》</x:v>
      </x:c>
      <x:c r="C1646" s="408"/>
      <x:c r="D1646" s="407" t="str">
        <x:v>甘淵</x:v>
      </x:c>
      <x:c r="E1646" s="407" t="str">
        <x:v>水系／水域</x:v>
      </x:c>
      <x:c r="F1646" s="409"/>
      <x:c r="G1646" s="408" t="str">
        <x:v>标点与分段参考《山海经校注》；正文对读：https://ctext.org/shan-hai-jing/da-huang-nan-jing/zh</x:v>
      </x:c>
      <x:c r="H1646" s="410" t="e">
        <x:f>HYPERLINK("#'山海经原文总库'!A3","↩ 返回目录")</x:f>
        <x:v>HYPERLINK is not implemented. linkLocation=#'山海经原文总库'!A3, friendlyName=↩ 返回目录</x:v>
      </x:c>
      <x:c r="I1646" s="408"/>
      <x:c r="J1646" s="408"/>
      <x:c r="K1646" s="408" t="str">
        <x:v>待同名检索｜待建档</x:v>
      </x:c>
    </x:row>
    <x:row r="1647" ht="52" hidden="0" customHeight="1">
      <x:c r="A1647" s="407" t="str">
        <x:v>SHJ-15-028-1</x:v>
      </x:c>
      <x:c r="B1647" s="407" t="str">
        <x:v>卷十五 《大荒南經》</x:v>
      </x:c>
      <x:c r="C1647" s="408" t="str">
        <x:v>有蓋猶之山者，其上有甘柤，枝幹皆赤，黃葉，白華，黑實。東又有甘華，枝幹皆赤，黃葉。有青馬。有赤馬，名曰三騅。有視肉。</x:v>
      </x:c>
      <x:c r="D1647" s="407" t="str">
        <x:v>蓋猶山</x:v>
      </x:c>
      <x:c r="E1647" s="407" t="str">
        <x:v>山／丘</x:v>
      </x:c>
      <x:c r="F1647" s="409"/>
      <x:c r="G1647" s="408" t="str">
        <x:v>标点与分段参考《山海经校注》；正文对读：https://ctext.org/shan-hai-jing/da-huang-nan-jing/zh</x:v>
      </x:c>
      <x:c r="H1647" s="410" t="e">
        <x:f>HYPERLINK("#'山海经原文总库'!A3","↩ 返回目录")</x:f>
        <x:v>HYPERLINK is not implemented. linkLocation=#'山海经原文总库'!A3, friendlyName=↩ 返回目录</x:v>
      </x:c>
      <x:c r="I1647" s="408"/>
      <x:c r="J1647" s="408"/>
      <x:c r="K1647" s="408" t="str">
        <x:v>待同名检索｜待建档</x:v>
      </x:c>
    </x:row>
    <x:row r="1648" ht="52" hidden="0" customHeight="1">
      <x:c r="A1648" s="407" t="str">
        <x:v>SHJ-15-029-1</x:v>
      </x:c>
      <x:c r="B1648" s="407" t="str">
        <x:v>卷十五 《大荒南經》</x:v>
      </x:c>
      <x:c r="C1648" s="408" t="str">
        <x:v>有小人名曰菌人。</x:v>
      </x:c>
      <x:c r="D1648" s="407" t="str">
        <x:v>菌人</x:v>
      </x:c>
      <x:c r="E1648" s="407" t="str">
        <x:v>地理名稱</x:v>
      </x:c>
      <x:c r="F1648" s="409"/>
      <x:c r="G1648" s="408" t="str">
        <x:v>标点与分段参考《山海经校注》；正文对读：https://ctext.org/shan-hai-jing/da-huang-nan-jing/zh</x:v>
      </x:c>
      <x:c r="H1648" s="410" t="e">
        <x:f>HYPERLINK("#'山海经原文总库'!A3","↩ 返回目录")</x:f>
        <x:v>HYPERLINK is not implemented. linkLocation=#'山海经原文总库'!A3, friendlyName=↩ 返回目录</x:v>
      </x:c>
      <x:c r="I1648" s="408"/>
      <x:c r="J1648" s="408"/>
      <x:c r="K1648" s="408" t="str">
        <x:v>待同名检索｜待建档</x:v>
      </x:c>
    </x:row>
    <x:row r="1649" ht="52" hidden="0" customHeight="1">
      <x:c r="A1649" s="407" t="str">
        <x:v>SHJ-15-030-1</x:v>
      </x:c>
      <x:c r="B1649" s="407" t="str">
        <x:v>卷十五 《大荒南經》</x:v>
      </x:c>
      <x:c r="C1649" s="408" t="str">
        <x:v>有南類之山，爰有遺玉、青馬、三騅、視肉、甘華，百穀所在。</x:v>
      </x:c>
      <x:c r="D1649" s="407" t="str">
        <x:v>南類山</x:v>
      </x:c>
      <x:c r="E1649" s="407" t="str">
        <x:v>山／丘</x:v>
      </x:c>
      <x:c r="F1649" s="409"/>
      <x:c r="G1649" s="408" t="str">
        <x:v>标点与分段参考《山海经校注》；正文对读：https://ctext.org/shan-hai-jing/da-huang-nan-jing/zh</x:v>
      </x:c>
      <x:c r="H1649" s="410" t="e">
        <x:f>HYPERLINK("#'山海经原文总库'!A3","↩ 返回目录")</x:f>
        <x:v>HYPERLINK is not implemented. linkLocation=#'山海经原文总库'!A3, friendlyName=↩ 返回目录</x:v>
      </x:c>
      <x:c r="I1649" s="408"/>
      <x:c r="J1649" s="408"/>
      <x:c r="K1649" s="408" t="str">
        <x:v>待同名检索｜待建档</x:v>
      </x:c>
    </x:row>
    <x:row r="1650" ht="52" hidden="0" customHeight="1">
      <x:c r="A1650" s="407" t="str">
        <x:v>SHJ-16-001-1</x:v>
      </x:c>
      <x:c r="B1650" s="407" t="str">
        <x:v>卷十六 《大荒西經》</x:v>
      </x:c>
      <x:c r="C1650" s="408" t="str">
        <x:v>西北海之外，大荒之隅，有山而不合，名曰不周負子，有兩黃獸守之。有水曰寒暑之水。水西有溼山，水東有幕山。有禹攻共工國山。</x:v>
      </x:c>
      <x:c r="D1650" s="407" t="str">
        <x:v>西北海之外</x:v>
      </x:c>
      <x:c r="E1650" s="407" t="str">
        <x:v>區域</x:v>
      </x:c>
      <x:c r="F1650" s="409"/>
      <x:c r="G1650" s="408" t="str">
        <x:v>标点与分段参考《山海经校注》；正文对读：https://ctext.org/shan-hai-jing/da-huang-xi-jing/zh</x:v>
      </x:c>
      <x:c r="H1650" s="410" t="e">
        <x:f>HYPERLINK("#'山海经原文总库'!A3","↩ 返回目录")</x:f>
        <x:v>HYPERLINK is not implemented. linkLocation=#'山海经原文总库'!A3, friendlyName=↩ 返回目录</x:v>
      </x:c>
      <x:c r="I1650" s="408"/>
      <x:c r="J1650" s="408"/>
      <x:c r="K1650" s="408" t="str">
        <x:v>待同名检索｜待建档</x:v>
      </x:c>
    </x:row>
    <x:row r="1651" ht="52" hidden="0" customHeight="1">
      <x:c r="A1651" s="407" t="str">
        <x:v>SHJ-16-001-2</x:v>
      </x:c>
      <x:c r="B1651" s="407" t="str">
        <x:v>卷十六 《大荒西經》</x:v>
      </x:c>
      <x:c r="C1651" s="408"/>
      <x:c r="D1651" s="407" t="str">
        <x:v>大荒之隅</x:v>
      </x:c>
      <x:c r="E1651" s="407" t="str">
        <x:v>區域</x:v>
      </x:c>
      <x:c r="F1651" s="409"/>
      <x:c r="G1651" s="408" t="str">
        <x:v>标点与分段参考《山海经校注》；正文对读：https://ctext.org/shan-hai-jing/da-huang-xi-jing/zh</x:v>
      </x:c>
      <x:c r="H1651" s="410" t="e">
        <x:f>HYPERLINK("#'山海经原文总库'!A3","↩ 返回目录")</x:f>
        <x:v>HYPERLINK is not implemented. linkLocation=#'山海经原文总库'!A3, friendlyName=↩ 返回目录</x:v>
      </x:c>
      <x:c r="I1651" s="408"/>
      <x:c r="J1651" s="408"/>
      <x:c r="K1651" s="408" t="str">
        <x:v>待同名检索｜待建档</x:v>
      </x:c>
    </x:row>
    <x:row r="1652" ht="52" hidden="0" customHeight="1">
      <x:c r="A1652" s="407" t="str">
        <x:v>SHJ-16-001-3</x:v>
      </x:c>
      <x:c r="B1652" s="407" t="str">
        <x:v>卷十六 《大荒西經》</x:v>
      </x:c>
      <x:c r="C1652" s="408"/>
      <x:c r="D1652" s="407" t="str">
        <x:v>不周負子山</x:v>
      </x:c>
      <x:c r="E1652" s="407" t="str">
        <x:v>山／丘</x:v>
      </x:c>
      <x:c r="F1652" s="409"/>
      <x:c r="G1652" s="408" t="str">
        <x:v>标点与分段参考《山海经校注》；正文对读：https://ctext.org/shan-hai-jing/da-huang-xi-jing/zh</x:v>
      </x:c>
      <x:c r="H1652" s="410" t="e">
        <x:f>HYPERLINK("#'山海经原文总库'!A3","↩ 返回目录")</x:f>
        <x:v>HYPERLINK is not implemented. linkLocation=#'山海经原文总库'!A3, friendlyName=↩ 返回目录</x:v>
      </x:c>
      <x:c r="I1652" s="408"/>
      <x:c r="J1652" s="408"/>
      <x:c r="K1652" s="408" t="str">
        <x:v>待同名检索｜待建档</x:v>
      </x:c>
    </x:row>
    <x:row r="1653" ht="52" hidden="0" customHeight="1">
      <x:c r="A1653" s="407" t="str">
        <x:v>SHJ-16-001-4</x:v>
      </x:c>
      <x:c r="B1653" s="407" t="str">
        <x:v>卷十六 《大荒西經》</x:v>
      </x:c>
      <x:c r="C1653" s="408"/>
      <x:c r="D1653" s="407" t="str">
        <x:v>寒暑水</x:v>
      </x:c>
      <x:c r="E1653" s="407" t="str">
        <x:v>水系／水域</x:v>
      </x:c>
      <x:c r="F1653" s="409"/>
      <x:c r="G1653" s="408" t="str">
        <x:v>标点与分段参考《山海经校注》；正文对读：https://ctext.org/shan-hai-jing/da-huang-xi-jing/zh</x:v>
      </x:c>
      <x:c r="H1653" s="410" t="e">
        <x:f>HYPERLINK("#'山海经原文总库'!A3","↩ 返回目录")</x:f>
        <x:v>HYPERLINK is not implemented. linkLocation=#'山海经原文总库'!A3, friendlyName=↩ 返回目录</x:v>
      </x:c>
      <x:c r="I1653" s="408"/>
      <x:c r="J1653" s="408"/>
      <x:c r="K1653" s="408" t="str">
        <x:v>待同名检索｜待建档</x:v>
      </x:c>
    </x:row>
    <x:row r="1654" ht="52" hidden="0" customHeight="1">
      <x:c r="A1654" s="407" t="str">
        <x:v>SHJ-16-001-5</x:v>
      </x:c>
      <x:c r="B1654" s="407" t="str">
        <x:v>卷十六 《大荒西經》</x:v>
      </x:c>
      <x:c r="C1654" s="408"/>
      <x:c r="D1654" s="407" t="str">
        <x:v>濕山</x:v>
      </x:c>
      <x:c r="E1654" s="407" t="str">
        <x:v>山／丘</x:v>
      </x:c>
      <x:c r="F1654" s="409"/>
      <x:c r="G1654" s="408" t="str">
        <x:v>标点与分段参考《山海经校注》；正文对读：https://ctext.org/shan-hai-jing/da-huang-xi-jing/zh</x:v>
      </x:c>
      <x:c r="H1654" s="410" t="e">
        <x:f>HYPERLINK("#'山海经原文总库'!A3","↩ 返回目录")</x:f>
        <x:v>HYPERLINK is not implemented. linkLocation=#'山海经原文总库'!A3, friendlyName=↩ 返回目录</x:v>
      </x:c>
      <x:c r="I1654" s="408"/>
      <x:c r="J1654" s="408"/>
      <x:c r="K1654" s="408" t="str">
        <x:v>待同名检索｜待建档</x:v>
      </x:c>
    </x:row>
    <x:row r="1655" ht="52" hidden="0" customHeight="1">
      <x:c r="A1655" s="407" t="str">
        <x:v>SHJ-16-001-6</x:v>
      </x:c>
      <x:c r="B1655" s="407" t="str">
        <x:v>卷十六 《大荒西經》</x:v>
      </x:c>
      <x:c r="C1655" s="408"/>
      <x:c r="D1655" s="407" t="str">
        <x:v>幕山</x:v>
      </x:c>
      <x:c r="E1655" s="407" t="str">
        <x:v>山／丘</x:v>
      </x:c>
      <x:c r="F1655" s="409"/>
      <x:c r="G1655" s="408" t="str">
        <x:v>标点与分段参考《山海经校注》；正文对读：https://ctext.org/shan-hai-jing/da-huang-xi-jing/zh</x:v>
      </x:c>
      <x:c r="H1655" s="410" t="e">
        <x:f>HYPERLINK("#'山海经原文总库'!A3","↩ 返回目录")</x:f>
        <x:v>HYPERLINK is not implemented. linkLocation=#'山海经原文总库'!A3, friendlyName=↩ 返回目录</x:v>
      </x:c>
      <x:c r="I1655" s="408"/>
      <x:c r="J1655" s="408"/>
      <x:c r="K1655" s="408" t="str">
        <x:v>待同名检索｜待建档</x:v>
      </x:c>
    </x:row>
    <x:row r="1656" ht="52" hidden="0" customHeight="1">
      <x:c r="A1656" s="407" t="str">
        <x:v>SHJ-16-001-7</x:v>
      </x:c>
      <x:c r="B1656" s="407" t="str">
        <x:v>卷十六 《大荒西經》</x:v>
      </x:c>
      <x:c r="C1656" s="408"/>
      <x:c r="D1656" s="407" t="str">
        <x:v>禹攻共工國山</x:v>
      </x:c>
      <x:c r="E1656" s="407" t="str">
        <x:v>山／丘</x:v>
      </x:c>
      <x:c r="F1656" s="409"/>
      <x:c r="G1656" s="408" t="str">
        <x:v>标点与分段参考《山海经校注》；正文对读：https://ctext.org/shan-hai-jing/da-huang-xi-jing/zh</x:v>
      </x:c>
      <x:c r="H1656" s="410" t="e">
        <x:f>HYPERLINK("#'山海经原文总库'!A3","↩ 返回目录")</x:f>
        <x:v>HYPERLINK is not implemented. linkLocation=#'山海经原文总库'!A3, friendlyName=↩ 返回目录</x:v>
      </x:c>
      <x:c r="I1656" s="408"/>
      <x:c r="J1656" s="408"/>
      <x:c r="K1656" s="408" t="str">
        <x:v>待同名检索｜待建档</x:v>
      </x:c>
    </x:row>
    <x:row r="1657" ht="52" hidden="0" customHeight="1">
      <x:c r="A1657" s="407" t="str">
        <x:v>SHJ-16-002-1</x:v>
      </x:c>
      <x:c r="B1657" s="407" t="str">
        <x:v>卷十六 《大荒西經》</x:v>
      </x:c>
      <x:c r="C1657" s="408" t="str">
        <x:v>有國名曰淑士，顓頊之子。</x:v>
      </x:c>
      <x:c r="D1657" s="407" t="str">
        <x:v>淑士國</x:v>
      </x:c>
      <x:c r="E1657" s="407" t="str">
        <x:v>國家／族群</x:v>
      </x:c>
      <x:c r="F1657" s="409"/>
      <x:c r="G1657" s="408" t="str">
        <x:v>标点与分段参考《山海经校注》；正文对读：https://ctext.org/shan-hai-jing/da-huang-xi-jing/zh</x:v>
      </x:c>
      <x:c r="H1657" s="410" t="e">
        <x:f>HYPERLINK("#'山海经原文总库'!A3","↩ 返回目录")</x:f>
        <x:v>HYPERLINK is not implemented. linkLocation=#'山海经原文总库'!A3, friendlyName=↩ 返回目录</x:v>
      </x:c>
      <x:c r="I1657" s="408"/>
      <x:c r="J1657" s="408"/>
      <x:c r="K1657" s="408" t="str">
        <x:v>待同名检索｜待建档</x:v>
      </x:c>
    </x:row>
    <x:row r="1658" ht="52" hidden="0" customHeight="1">
      <x:c r="A1658" s="407" t="str">
        <x:v>SHJ-16-003-1</x:v>
      </x:c>
      <x:c r="B1658" s="407" t="str">
        <x:v>卷十六 《大荒西經》</x:v>
      </x:c>
      <x:c r="C1658" s="408" t="str">
        <x:v>有神十人，名曰女媧之腸，化爲神，處栗廣之野，橫道而處。</x:v>
      </x:c>
      <x:c r="D1658" s="407" t="str">
        <x:v>栗廣之野</x:v>
      </x:c>
      <x:c r="E1658" s="407" t="str">
        <x:v>區域</x:v>
      </x:c>
      <x:c r="F1658" s="409"/>
      <x:c r="G1658" s="408" t="str">
        <x:v>标点与分段参考《山海经校注》；正文对读：https://ctext.org/shan-hai-jing/da-huang-xi-jing/zh</x:v>
      </x:c>
      <x:c r="H1658" s="410" t="e">
        <x:f>HYPERLINK("#'山海经原文总库'!A3","↩ 返回目录")</x:f>
        <x:v>HYPERLINK is not implemented. linkLocation=#'山海经原文总库'!A3, friendlyName=↩ 返回目录</x:v>
      </x:c>
      <x:c r="I1658" s="408"/>
      <x:c r="J1658" s="408"/>
      <x:c r="K1658" s="408" t="str">
        <x:v>待同名检索｜待建档</x:v>
      </x:c>
    </x:row>
    <x:row r="1659" ht="52" hidden="0" customHeight="1">
      <x:c r="A1659" s="407" t="str">
        <x:v>SHJ-16-004-1</x:v>
      </x:c>
      <x:c r="B1659" s="407" t="str">
        <x:v>卷十六 《大荒西經》</x:v>
      </x:c>
      <x:c r="C1659" s="408" t="str">
        <x:v>有人名曰石夷，來風曰韋，處西北隅以司日月之長短。</x:v>
      </x:c>
      <x:c r="D1659" s="407" t="str">
        <x:v>西北隅</x:v>
      </x:c>
      <x:c r="E1659" s="407" t="str">
        <x:v>區域</x:v>
      </x:c>
      <x:c r="F1659" s="409"/>
      <x:c r="G1659" s="408" t="str">
        <x:v>标点与分段参考《山海经校注》；正文对读：https://ctext.org/shan-hai-jing/da-huang-xi-jing/zh</x:v>
      </x:c>
      <x:c r="H1659" s="410" t="e">
        <x:f>HYPERLINK("#'山海经原文总库'!A3","↩ 返回目录")</x:f>
        <x:v>HYPERLINK is not implemented. linkLocation=#'山海经原文总库'!A3, friendlyName=↩ 返回目录</x:v>
      </x:c>
      <x:c r="I1659" s="408"/>
      <x:c r="J1659" s="408"/>
      <x:c r="K1659" s="408" t="str">
        <x:v>待同名检索｜待建档</x:v>
      </x:c>
    </x:row>
    <x:row r="1660" ht="52" hidden="0" customHeight="1">
      <x:c r="A1660" s="407" t="str">
        <x:v>SHJ-16-005-1</x:v>
      </x:c>
      <x:c r="B1660" s="407" t="str">
        <x:v>卷十六 《大荒西經》</x:v>
      </x:c>
      <x:c r="C1660" s="408" t="str">
        <x:v>有五採之鳥，有冠，名曰狂鳥。</x:v>
      </x:c>
      <x:c r="D1660" s="407"/>
      <x:c r="E1660" s="407"/>
      <x:c r="F1660" s="409"/>
      <x:c r="G1660" s="408" t="str">
        <x:v>标点与分段参考《山海经校注》；正文对读：https://ctext.org/shan-hai-jing/da-huang-xi-jing/zh</x:v>
      </x:c>
      <x:c r="H1660" s="410" t="e">
        <x:f>HYPERLINK("#'山海经原文总库'!A3","↩ 返回目录")</x:f>
        <x:v>HYPERLINK is not implemented. linkLocation=#'山海经原文总库'!A3, friendlyName=↩ 返回目录</x:v>
      </x:c>
      <x:c r="I1660" s="408"/>
      <x:c r="J1660" s="408"/>
      <x:c r="K1660" s="408" t="str">
        <x:v>经文已收录｜非地点行</x:v>
      </x:c>
    </x:row>
    <x:row r="1661" ht="52" hidden="0" customHeight="1">
      <x:c r="A1661" s="407" t="str">
        <x:v>SHJ-16-006-1</x:v>
      </x:c>
      <x:c r="B1661" s="407" t="str">
        <x:v>卷十六 《大荒西經》</x:v>
      </x:c>
      <x:c r="C1661" s="408" t="str">
        <x:v>有大澤之長山。有白氏之國。</x:v>
      </x:c>
      <x:c r="D1661" s="407" t="str">
        <x:v>大澤長山</x:v>
      </x:c>
      <x:c r="E1661" s="407" t="str">
        <x:v>山／丘</x:v>
      </x:c>
      <x:c r="F1661" s="409"/>
      <x:c r="G1661" s="408" t="str">
        <x:v>标点与分段参考《山海经校注》；正文对读：https://ctext.org/shan-hai-jing/da-huang-xi-jing/zh</x:v>
      </x:c>
      <x:c r="H1661" s="410" t="e">
        <x:f>HYPERLINK("#'山海经原文总库'!A3","↩ 返回目录")</x:f>
        <x:v>HYPERLINK is not implemented. linkLocation=#'山海经原文总库'!A3, friendlyName=↩ 返回目录</x:v>
      </x:c>
      <x:c r="I1661" s="408"/>
      <x:c r="J1661" s="408"/>
      <x:c r="K1661" s="408" t="str">
        <x:v>待同名检索｜待建档</x:v>
      </x:c>
    </x:row>
    <x:row r="1662" ht="52" hidden="0" customHeight="1">
      <x:c r="A1662" s="407" t="str">
        <x:v>SHJ-16-006-2</x:v>
      </x:c>
      <x:c r="B1662" s="407" t="str">
        <x:v>卷十六 《大荒西經》</x:v>
      </x:c>
      <x:c r="C1662" s="408"/>
      <x:c r="D1662" s="407" t="str">
        <x:v>白民國</x:v>
      </x:c>
      <x:c r="E1662" s="407" t="str">
        <x:v>國家／族群</x:v>
      </x:c>
      <x:c r="F1662" s="409"/>
      <x:c r="G1662" s="408" t="str">
        <x:v>标点与分段参考《山海经校注》；正文对读：https://ctext.org/shan-hai-jing/da-huang-xi-jing/zh</x:v>
      </x:c>
      <x:c r="H1662" s="410" t="e">
        <x:f>HYPERLINK("#'山海经原文总库'!A3","↩ 返回目录")</x:f>
        <x:v>HYPERLINK is not implemented. linkLocation=#'山海经原文总库'!A3, friendlyName=↩ 返回目录</x:v>
      </x:c>
      <x:c r="I1662" s="408"/>
      <x:c r="J1662" s="408"/>
      <x:c r="K1662" s="408" t="str">
        <x:v>待同名检索｜待建档</x:v>
      </x:c>
    </x:row>
    <x:row r="1663" ht="52" hidden="0" customHeight="1">
      <x:c r="A1663" s="407" t="str">
        <x:v>SHJ-16-007-1</x:v>
      </x:c>
      <x:c r="B1663" s="407" t="str">
        <x:v>卷十六 《大荒西經》</x:v>
      </x:c>
      <x:c r="C1663" s="408" t="str">
        <x:v>西北海之外，赤水之東，有長脛之國。</x:v>
      </x:c>
      <x:c r="D1663" s="407" t="str">
        <x:v>長脛國</x:v>
      </x:c>
      <x:c r="E1663" s="407" t="str">
        <x:v>國家／族群</x:v>
      </x:c>
      <x:c r="F1663" s="409"/>
      <x:c r="G1663" s="408" t="str">
        <x:v>标点与分段参考《山海经校注》；正文对读：https://ctext.org/shan-hai-jing/da-huang-xi-jing/zh</x:v>
      </x:c>
      <x:c r="H1663" s="410" t="e">
        <x:f>HYPERLINK("#'山海经原文总库'!A3","↩ 返回目录")</x:f>
        <x:v>HYPERLINK is not implemented. linkLocation=#'山海经原文总库'!A3, friendlyName=↩ 返回目录</x:v>
      </x:c>
      <x:c r="I1663" s="408"/>
      <x:c r="J1663" s="408"/>
      <x:c r="K1663" s="408" t="str">
        <x:v>待同名检索｜待建档</x:v>
      </x:c>
    </x:row>
    <x:row r="1664" ht="52" hidden="0" customHeight="1">
      <x:c r="A1664" s="407" t="str">
        <x:v>SHJ-16-007-2</x:v>
      </x:c>
      <x:c r="B1664" s="407" t="str">
        <x:v>卷十六 《大荒西經》</x:v>
      </x:c>
      <x:c r="C1664" s="408"/>
      <x:c r="D1664" s="407" t="str">
        <x:v>赤水</x:v>
      </x:c>
      <x:c r="E1664" s="407" t="str">
        <x:v>水系／水域</x:v>
      </x:c>
      <x:c r="F1664" s="409"/>
      <x:c r="G1664" s="408" t="str">
        <x:v>标点与分段参考《山海经校注》；正文对读：https://ctext.org/shan-hai-jing/da-huang-xi-jing/zh</x:v>
      </x:c>
      <x:c r="H1664" s="410" t="e">
        <x:f>HYPERLINK("#'山海经原文总库'!A3","↩ 返回目录")</x:f>
        <x:v>HYPERLINK is not implemented. linkLocation=#'山海经原文总库'!A3, friendlyName=↩ 返回目录</x:v>
      </x:c>
      <x:c r="I1664" s="408"/>
      <x:c r="J1664" s="408"/>
      <x:c r="K1664" s="408" t="str">
        <x:v>待同名检索｜待建档</x:v>
      </x:c>
    </x:row>
    <x:row r="1665" ht="52" hidden="0" customHeight="1">
      <x:c r="A1665" s="407" t="str">
        <x:v>SHJ-16-008-1</x:v>
      </x:c>
      <x:c r="B1665" s="407" t="str">
        <x:v>卷十六 《大荒西經》</x:v>
      </x:c>
      <x:c r="C1665" s="408" t="str">
        <x:v>有西周之國，姬姓，食谷。有人方耕，名曰叔均。帝俊生后稷，稷降以百穀。稷之弟曰臺璽，生叔均。叔均是代其父及稷播百穀，始作耕。有赤國妻氏。有雙山。</x:v>
      </x:c>
      <x:c r="D1665" s="407" t="str">
        <x:v>西周國</x:v>
      </x:c>
      <x:c r="E1665" s="407" t="str">
        <x:v>國家／族群</x:v>
      </x:c>
      <x:c r="F1665" s="409"/>
      <x:c r="G1665" s="408" t="str">
        <x:v>标点与分段参考《山海经校注》；正文对读：https://ctext.org/shan-hai-jing/da-huang-xi-jing/zh</x:v>
      </x:c>
      <x:c r="H1665" s="410" t="e">
        <x:f>HYPERLINK("#'山海经原文总库'!A3","↩ 返回目录")</x:f>
        <x:v>HYPERLINK is not implemented. linkLocation=#'山海经原文总库'!A3, friendlyName=↩ 返回目录</x:v>
      </x:c>
      <x:c r="I1665" s="408"/>
      <x:c r="J1665" s="408"/>
      <x:c r="K1665" s="408" t="str">
        <x:v>待同名检索｜待建档</x:v>
      </x:c>
    </x:row>
    <x:row r="1666" ht="52" hidden="0" customHeight="1">
      <x:c r="A1666" s="407" t="str">
        <x:v>SHJ-16-008-2</x:v>
      </x:c>
      <x:c r="B1666" s="407" t="str">
        <x:v>卷十六 《大荒西經》</x:v>
      </x:c>
      <x:c r="C1666" s="408"/>
      <x:c r="D1666" s="407" t="str">
        <x:v>赤國妻氏</x:v>
      </x:c>
      <x:c r="E1666" s="407" t="str">
        <x:v>國家／族群</x:v>
      </x:c>
      <x:c r="F1666" s="409"/>
      <x:c r="G1666" s="408" t="str">
        <x:v>标点与分段参考《山海经校注》；正文对读：https://ctext.org/shan-hai-jing/da-huang-xi-jing/zh</x:v>
      </x:c>
      <x:c r="H1666" s="410" t="e">
        <x:f>HYPERLINK("#'山海经原文总库'!A3","↩ 返回目录")</x:f>
        <x:v>HYPERLINK is not implemented. linkLocation=#'山海经原文总库'!A3, friendlyName=↩ 返回目录</x:v>
      </x:c>
      <x:c r="I1666" s="408"/>
      <x:c r="J1666" s="408"/>
      <x:c r="K1666" s="408" t="str">
        <x:v>待同名检索｜待建档</x:v>
      </x:c>
    </x:row>
    <x:row r="1667" ht="52" hidden="0" customHeight="1">
      <x:c r="A1667" s="407" t="str">
        <x:v>SHJ-16-008-3</x:v>
      </x:c>
      <x:c r="B1667" s="407" t="str">
        <x:v>卷十六 《大荒西經》</x:v>
      </x:c>
      <x:c r="C1667" s="408"/>
      <x:c r="D1667" s="407" t="str">
        <x:v>雙山</x:v>
      </x:c>
      <x:c r="E1667" s="407" t="str">
        <x:v>山／丘</x:v>
      </x:c>
      <x:c r="F1667" s="409"/>
      <x:c r="G1667" s="408" t="str">
        <x:v>标点与分段参考《山海经校注》；正文对读：https://ctext.org/shan-hai-jing/da-huang-xi-jing/zh</x:v>
      </x:c>
      <x:c r="H1667" s="410" t="e">
        <x:f>HYPERLINK("#'山海经原文总库'!A3","↩ 返回目录")</x:f>
        <x:v>HYPERLINK is not implemented. linkLocation=#'山海经原文总库'!A3, friendlyName=↩ 返回目录</x:v>
      </x:c>
      <x:c r="I1667" s="408"/>
      <x:c r="J1667" s="408"/>
      <x:c r="K1667" s="408" t="str">
        <x:v>待同名检索｜待建档</x:v>
      </x:c>
    </x:row>
    <x:row r="1668" ht="52" hidden="0" customHeight="1">
      <x:c r="A1668" s="407" t="str">
        <x:v>SHJ-16-009-1</x:v>
      </x:c>
      <x:c r="B1668" s="407" t="str">
        <x:v>卷十六 《大荒西經》</x:v>
      </x:c>
      <x:c r="C1668" s="408" t="str">
        <x:v>西海之外，大荒之中，有方山者，上有青樹，名曰櫃格之松，日月所出入也。</x:v>
      </x:c>
      <x:c r="D1668" s="407" t="str">
        <x:v>方山</x:v>
      </x:c>
      <x:c r="E1668" s="407" t="str">
        <x:v>山／丘</x:v>
      </x:c>
      <x:c r="F1668" s="409"/>
      <x:c r="G1668" s="408" t="str">
        <x:v>标点与分段参考《山海经校注》；正文对读：https://ctext.org/shan-hai-jing/da-huang-xi-jing/zh</x:v>
      </x:c>
      <x:c r="H1668" s="410" t="e">
        <x:f>HYPERLINK("#'山海经原文总库'!A3","↩ 返回目录")</x:f>
        <x:v>HYPERLINK is not implemented. linkLocation=#'山海经原文总库'!A3, friendlyName=↩ 返回目录</x:v>
      </x:c>
      <x:c r="I1668" s="408"/>
      <x:c r="J1668" s="408"/>
      <x:c r="K1668" s="408" t="str">
        <x:v>待同名检索｜待建档</x:v>
      </x:c>
    </x:row>
    <x:row r="1669" ht="52" hidden="0" customHeight="1">
      <x:c r="A1669" s="407" t="str">
        <x:v>SHJ-16-010-1</x:v>
      </x:c>
      <x:c r="B1669" s="407" t="str">
        <x:v>卷十六 《大荒西經》</x:v>
      </x:c>
      <x:c r="C1669" s="408" t="str">
        <x:v>西北海之外，赤水之西，有先民之國，食谷，使四鳥。</x:v>
      </x:c>
      <x:c r="D1669" s="407" t="str">
        <x:v>先民國</x:v>
      </x:c>
      <x:c r="E1669" s="407" t="str">
        <x:v>國家／族群</x:v>
      </x:c>
      <x:c r="F1669" s="409"/>
      <x:c r="G1669" s="408" t="str">
        <x:v>标点与分段参考《山海经校注》；正文对读：https://ctext.org/shan-hai-jing/da-huang-xi-jing/zh</x:v>
      </x:c>
      <x:c r="H1669" s="410" t="e">
        <x:f>HYPERLINK("#'山海经原文总库'!A3","↩ 返回目录")</x:f>
        <x:v>HYPERLINK is not implemented. linkLocation=#'山海经原文总库'!A3, friendlyName=↩ 返回目录</x:v>
      </x:c>
      <x:c r="I1669" s="408"/>
      <x:c r="J1669" s="408"/>
      <x:c r="K1669" s="408" t="str">
        <x:v>待同名检索｜待建档</x:v>
      </x:c>
    </x:row>
    <x:row r="1670" ht="52" hidden="0" customHeight="1">
      <x:c r="A1670" s="407" t="str">
        <x:v>SHJ-16-010-2</x:v>
      </x:c>
      <x:c r="B1670" s="407" t="str">
        <x:v>卷十六 《大荒西經》</x:v>
      </x:c>
      <x:c r="C1670" s="408"/>
      <x:c r="D1670" s="407" t="str">
        <x:v>赤水</x:v>
      </x:c>
      <x:c r="E1670" s="407" t="str">
        <x:v>水系／水域</x:v>
      </x:c>
      <x:c r="F1670" s="409"/>
      <x:c r="G1670" s="408" t="str">
        <x:v>标点与分段参考《山海经校注》；正文对读：https://ctext.org/shan-hai-jing/da-huang-xi-jing/zh</x:v>
      </x:c>
      <x:c r="H1670" s="410" t="e">
        <x:f>HYPERLINK("#'山海经原文总库'!A3","↩ 返回目录")</x:f>
        <x:v>HYPERLINK is not implemented. linkLocation=#'山海经原文总库'!A3, friendlyName=↩ 返回目录</x:v>
      </x:c>
      <x:c r="I1670" s="408"/>
      <x:c r="J1670" s="408"/>
      <x:c r="K1670" s="408" t="str">
        <x:v>待同名检索｜待建档</x:v>
      </x:c>
    </x:row>
    <x:row r="1671" ht="52" hidden="0" customHeight="1">
      <x:c r="A1671" s="407" t="str">
        <x:v>SHJ-16-011-1</x:v>
      </x:c>
      <x:c r="B1671" s="407" t="str">
        <x:v>卷十六 《大荒西經》</x:v>
      </x:c>
      <x:c r="C1671" s="408" t="str">
        <x:v>有北狄之國。黃帝之孫曰始均，始均生北狄。</x:v>
      </x:c>
      <x:c r="D1671" s="407" t="str">
        <x:v>北狄國</x:v>
      </x:c>
      <x:c r="E1671" s="407" t="str">
        <x:v>國家／族群</x:v>
      </x:c>
      <x:c r="F1671" s="409"/>
      <x:c r="G1671" s="408" t="str">
        <x:v>标点与分段参考《山海经校注》；正文对读：https://ctext.org/shan-hai-jing/da-huang-xi-jing/zh</x:v>
      </x:c>
      <x:c r="H1671" s="410" t="e">
        <x:f>HYPERLINK("#'山海经原文总库'!A3","↩ 返回目录")</x:f>
        <x:v>HYPERLINK is not implemented. linkLocation=#'山海经原文总库'!A3, friendlyName=↩ 返回目录</x:v>
      </x:c>
      <x:c r="I1671" s="408"/>
      <x:c r="J1671" s="408"/>
      <x:c r="K1671" s="408" t="str">
        <x:v>待同名检索｜待建档</x:v>
      </x:c>
    </x:row>
    <x:row r="1672" ht="52" hidden="0" customHeight="1">
      <x:c r="A1672" s="407" t="str">
        <x:v>SHJ-16-012-1</x:v>
      </x:c>
      <x:c r="B1672" s="407" t="str">
        <x:v>卷十六 《大荒西經》</x:v>
      </x:c>
      <x:c r="C1672" s="408" t="str">
        <x:v>有芒山。有桂山。有榣山。其上有人，號曰太子長琴。顓頊生老童，老童生祝融，祝融生太子長琴，是處榣山，始作樂風。</x:v>
      </x:c>
      <x:c r="D1672" s="407" t="str">
        <x:v>芒山</x:v>
      </x:c>
      <x:c r="E1672" s="407" t="str">
        <x:v>山／丘</x:v>
      </x:c>
      <x:c r="F1672" s="409"/>
      <x:c r="G1672" s="408" t="str">
        <x:v>标点与分段参考《山海经校注》；正文对读：https://ctext.org/shan-hai-jing/da-huang-xi-jing/zh</x:v>
      </x:c>
      <x:c r="H1672" s="410" t="e">
        <x:f>HYPERLINK("#'山海经原文总库'!A3","↩ 返回目录")</x:f>
        <x:v>HYPERLINK is not implemented. linkLocation=#'山海经原文总库'!A3, friendlyName=↩ 返回目录</x:v>
      </x:c>
      <x:c r="I1672" s="408"/>
      <x:c r="J1672" s="408"/>
      <x:c r="K1672" s="408" t="str">
        <x:v>待同名检索｜待建档</x:v>
      </x:c>
    </x:row>
    <x:row r="1673" ht="52" hidden="0" customHeight="1">
      <x:c r="A1673" s="407" t="str">
        <x:v>SHJ-16-012-2</x:v>
      </x:c>
      <x:c r="B1673" s="407" t="str">
        <x:v>卷十六 《大荒西經》</x:v>
      </x:c>
      <x:c r="C1673" s="408"/>
      <x:c r="D1673" s="407" t="str">
        <x:v>桂山</x:v>
      </x:c>
      <x:c r="E1673" s="407" t="str">
        <x:v>山／丘</x:v>
      </x:c>
      <x:c r="F1673" s="409"/>
      <x:c r="G1673" s="408" t="str">
        <x:v>标点与分段参考《山海经校注》；正文对读：https://ctext.org/shan-hai-jing/da-huang-xi-jing/zh</x:v>
      </x:c>
      <x:c r="H1673" s="410" t="e">
        <x:f>HYPERLINK("#'山海经原文总库'!A3","↩ 返回目录")</x:f>
        <x:v>HYPERLINK is not implemented. linkLocation=#'山海经原文总库'!A3, friendlyName=↩ 返回目录</x:v>
      </x:c>
      <x:c r="I1673" s="408"/>
      <x:c r="J1673" s="408"/>
      <x:c r="K1673" s="408" t="str">
        <x:v>待同名检索｜待建档</x:v>
      </x:c>
    </x:row>
    <x:row r="1674" ht="52" hidden="0" customHeight="1">
      <x:c r="A1674" s="407" t="str">
        <x:v>SHJ-16-012-3</x:v>
      </x:c>
      <x:c r="B1674" s="407" t="str">
        <x:v>卷十六 《大荒西經》</x:v>
      </x:c>
      <x:c r="C1674" s="408"/>
      <x:c r="D1674" s="407" t="str">
        <x:v>榣山</x:v>
      </x:c>
      <x:c r="E1674" s="407" t="str">
        <x:v>山／丘</x:v>
      </x:c>
      <x:c r="F1674" s="409"/>
      <x:c r="G1674" s="408" t="str">
        <x:v>标点与分段参考《山海经校注》；正文对读：https://ctext.org/shan-hai-jing/da-huang-xi-jing/zh</x:v>
      </x:c>
      <x:c r="H1674" s="410" t="e">
        <x:f>HYPERLINK("#'山海经原文总库'!A3","↩ 返回目录")</x:f>
        <x:v>HYPERLINK is not implemented. linkLocation=#'山海经原文总库'!A3, friendlyName=↩ 返回目录</x:v>
      </x:c>
      <x:c r="I1674" s="408"/>
      <x:c r="J1674" s="408"/>
      <x:c r="K1674" s="408" t="str">
        <x:v>待同名检索｜待建档</x:v>
      </x:c>
    </x:row>
    <x:row r="1675" ht="52" hidden="0" customHeight="1">
      <x:c r="A1675" s="407" t="str">
        <x:v>SHJ-16-013-1</x:v>
      </x:c>
      <x:c r="B1675" s="407" t="str">
        <x:v>卷十六 《大荒西經》</x:v>
      </x:c>
      <x:c r="C1675" s="408" t="str">
        <x:v>有五採鳥三名：一曰皇鳥，一曰鸞鳥，一曰鳳鳥。</x:v>
      </x:c>
      <x:c r="D1675" s="407"/>
      <x:c r="E1675" s="407"/>
      <x:c r="F1675" s="409"/>
      <x:c r="G1675" s="408" t="str">
        <x:v>标点与分段参考《山海经校注》；正文对读：https://ctext.org/shan-hai-jing/da-huang-xi-jing/zh</x:v>
      </x:c>
      <x:c r="H1675" s="410" t="e">
        <x:f>HYPERLINK("#'山海经原文总库'!A3","↩ 返回目录")</x:f>
        <x:v>HYPERLINK is not implemented. linkLocation=#'山海经原文总库'!A3, friendlyName=↩ 返回目录</x:v>
      </x:c>
      <x:c r="I1675" s="408"/>
      <x:c r="J1675" s="408"/>
      <x:c r="K1675" s="408" t="str">
        <x:v>经文已收录｜非地点行</x:v>
      </x:c>
    </x:row>
    <x:row r="1676" ht="52" hidden="0" customHeight="1">
      <x:c r="A1676" s="407" t="str">
        <x:v>SHJ-16-014-1</x:v>
      </x:c>
      <x:c r="B1676" s="407" t="str">
        <x:v>卷十六 《大荒西經》</x:v>
      </x:c>
      <x:c r="C1676" s="408" t="str">
        <x:v>有蟲狀如菟，胸以後者裸不見，青如猨狀。</x:v>
      </x:c>
      <x:c r="D1676" s="407"/>
      <x:c r="E1676" s="407"/>
      <x:c r="F1676" s="409"/>
      <x:c r="G1676" s="408" t="str">
        <x:v>标点与分段参考《山海经校注》；正文对读：https://ctext.org/shan-hai-jing/da-huang-xi-jing/zh</x:v>
      </x:c>
      <x:c r="H1676" s="410" t="e">
        <x:f>HYPERLINK("#'山海经原文总库'!A3","↩ 返回目录")</x:f>
        <x:v>HYPERLINK is not implemented. linkLocation=#'山海经原文总库'!A3, friendlyName=↩ 返回目录</x:v>
      </x:c>
      <x:c r="I1676" s="408"/>
      <x:c r="J1676" s="408"/>
      <x:c r="K1676" s="408" t="str">
        <x:v>经文已收录｜非地点行</x:v>
      </x:c>
    </x:row>
    <x:row r="1677" ht="52" hidden="0" customHeight="1">
      <x:c r="A1677" s="407" t="str">
        <x:v>SHJ-16-015-1</x:v>
      </x:c>
      <x:c r="B1677" s="407" t="str">
        <x:v>卷十六 《大荒西經》</x:v>
      </x:c>
      <x:c r="C1677" s="408" t="str">
        <x:v>大荒之中，有山名曰豐沮玉門，日月所入。</x:v>
      </x:c>
      <x:c r="D1677" s="407" t="str">
        <x:v>豐沮玉門山</x:v>
      </x:c>
      <x:c r="E1677" s="407" t="str">
        <x:v>山／丘</x:v>
      </x:c>
      <x:c r="F1677" s="409"/>
      <x:c r="G1677" s="408" t="str">
        <x:v>标点与分段参考《山海经校注》；正文对读：https://ctext.org/shan-hai-jing/da-huang-xi-jing/zh</x:v>
      </x:c>
      <x:c r="H1677" s="410" t="e">
        <x:f>HYPERLINK("#'山海经原文总库'!A3","↩ 返回目录")</x:f>
        <x:v>HYPERLINK is not implemented. linkLocation=#'山海经原文总库'!A3, friendlyName=↩ 返回目录</x:v>
      </x:c>
      <x:c r="I1677" s="408"/>
      <x:c r="J1677" s="408"/>
      <x:c r="K1677" s="408" t="str">
        <x:v>待同名检索｜待建档</x:v>
      </x:c>
    </x:row>
    <x:row r="1678" ht="52" hidden="0" customHeight="1">
      <x:c r="A1678" s="407" t="str">
        <x:v>SHJ-16-016-1</x:v>
      </x:c>
      <x:c r="B1678" s="407" t="str">
        <x:v>卷十六 《大荒西經》</x:v>
      </x:c>
      <x:c r="C1678" s="408" t="str">
        <x:v>有靈山，巫鹹、巫即、巫？、巫彭、巫姑、巫真、巫禮、巫抵、巫謝、巫羅十巫，從此升降，百藥爰在。</x:v>
      </x:c>
      <x:c r="D1678" s="407" t="str">
        <x:v>靈山</x:v>
      </x:c>
      <x:c r="E1678" s="407" t="str">
        <x:v>山／丘</x:v>
      </x:c>
      <x:c r="F1678" s="409"/>
      <x:c r="G1678" s="408" t="str">
        <x:v>标点与分段参考《山海经校注》；正文对读：https://ctext.org/shan-hai-jing/da-huang-xi-jing/zh</x:v>
      </x:c>
      <x:c r="H1678" s="410" t="e">
        <x:f>HYPERLINK("#'山海经原文总库'!A3","↩ 返回目录")</x:f>
        <x:v>HYPERLINK is not implemented. linkLocation=#'山海经原文总库'!A3, friendlyName=↩ 返回目录</x:v>
      </x:c>
      <x:c r="I1678" s="408"/>
      <x:c r="J1678" s="408"/>
      <x:c r="K1678" s="408" t="str">
        <x:v>待同名检索｜待建档</x:v>
      </x:c>
    </x:row>
    <x:row r="1679" ht="52" hidden="0" customHeight="1">
      <x:c r="A1679" s="407" t="str">
        <x:v>SHJ-16-017-1</x:v>
      </x:c>
      <x:c r="B1679" s="407" t="str">
        <x:v>卷十六 《大荒西經》</x:v>
      </x:c>
      <x:c r="C1679" s="408" t="str">
        <x:v>西有王母之山、壑山、海山。有沃之國，沃民是處。沃之野，鳳鳥之卵是食，甘露是飲。凡其所欲，其味盡存。爰有甘華、甘柤、白柳、視肉、三騅、璇瑰、瑤碧、白木、琅玕、白丹、青丹，多銀鐵。鸞鳳自歌，鳳鳥自舞，爰有百獸，相羣是處，是謂沃之野。</x:v>
      </x:c>
      <x:c r="D1679" s="407" t="str">
        <x:v>王母山</x:v>
      </x:c>
      <x:c r="E1679" s="407" t="str">
        <x:v>山／丘</x:v>
      </x:c>
      <x:c r="F1679" s="409"/>
      <x:c r="G1679" s="408" t="str">
        <x:v>标点与分段参考《山海经校注》；正文对读：https://ctext.org/shan-hai-jing/da-huang-xi-jing/zh</x:v>
      </x:c>
      <x:c r="H1679" s="410" t="e">
        <x:f>HYPERLINK("#'山海经原文总库'!A3","↩ 返回目录")</x:f>
        <x:v>HYPERLINK is not implemented. linkLocation=#'山海经原文总库'!A3, friendlyName=↩ 返回目录</x:v>
      </x:c>
      <x:c r="I1679" s="408"/>
      <x:c r="J1679" s="408"/>
      <x:c r="K1679" s="408" t="str">
        <x:v>待同名检索｜待建档</x:v>
      </x:c>
    </x:row>
    <x:row r="1680" ht="52" hidden="0" customHeight="1">
      <x:c r="A1680" s="407" t="str">
        <x:v>SHJ-16-017-2</x:v>
      </x:c>
      <x:c r="B1680" s="407" t="str">
        <x:v>卷十六 《大荒西經》</x:v>
      </x:c>
      <x:c r="C1680" s="408"/>
      <x:c r="D1680" s="407" t="str">
        <x:v>壑山</x:v>
      </x:c>
      <x:c r="E1680" s="407" t="str">
        <x:v>山／丘</x:v>
      </x:c>
      <x:c r="F1680" s="409"/>
      <x:c r="G1680" s="408" t="str">
        <x:v>标点与分段参考《山海经校注》；正文对读：https://ctext.org/shan-hai-jing/da-huang-xi-jing/zh</x:v>
      </x:c>
      <x:c r="H1680" s="410" t="e">
        <x:f>HYPERLINK("#'山海经原文总库'!A3","↩ 返回目录")</x:f>
        <x:v>HYPERLINK is not implemented. linkLocation=#'山海经原文总库'!A3, friendlyName=↩ 返回目录</x:v>
      </x:c>
      <x:c r="I1680" s="408"/>
      <x:c r="J1680" s="408"/>
      <x:c r="K1680" s="408" t="str">
        <x:v>待同名检索｜待建档</x:v>
      </x:c>
    </x:row>
    <x:row r="1681" ht="52" hidden="0" customHeight="1">
      <x:c r="A1681" s="407" t="str">
        <x:v>SHJ-16-017-3</x:v>
      </x:c>
      <x:c r="B1681" s="407" t="str">
        <x:v>卷十六 《大荒西經》</x:v>
      </x:c>
      <x:c r="C1681" s="408"/>
      <x:c r="D1681" s="407" t="str">
        <x:v>海山</x:v>
      </x:c>
      <x:c r="E1681" s="407" t="str">
        <x:v>山／丘</x:v>
      </x:c>
      <x:c r="F1681" s="409"/>
      <x:c r="G1681" s="408" t="str">
        <x:v>标点与分段参考《山海经校注》；正文对读：https://ctext.org/shan-hai-jing/da-huang-xi-jing/zh</x:v>
      </x:c>
      <x:c r="H1681" s="410" t="e">
        <x:f>HYPERLINK("#'山海经原文总库'!A3","↩ 返回目录")</x:f>
        <x:v>HYPERLINK is not implemented. linkLocation=#'山海经原文总库'!A3, friendlyName=↩ 返回目录</x:v>
      </x:c>
      <x:c r="I1681" s="408"/>
      <x:c r="J1681" s="408"/>
      <x:c r="K1681" s="408" t="str">
        <x:v>待同名检索｜待建档</x:v>
      </x:c>
    </x:row>
    <x:row r="1682" ht="52" hidden="0" customHeight="1">
      <x:c r="A1682" s="407" t="str">
        <x:v>SHJ-16-017-4</x:v>
      </x:c>
      <x:c r="B1682" s="407" t="str">
        <x:v>卷十六 《大荒西經》</x:v>
      </x:c>
      <x:c r="C1682" s="408"/>
      <x:c r="D1682" s="407" t="str">
        <x:v>沃國</x:v>
      </x:c>
      <x:c r="E1682" s="407" t="str">
        <x:v>國家／族群</x:v>
      </x:c>
      <x:c r="F1682" s="409"/>
      <x:c r="G1682" s="408" t="str">
        <x:v>标点与分段参考《山海经校注》；正文对读：https://ctext.org/shan-hai-jing/da-huang-xi-jing/zh</x:v>
      </x:c>
      <x:c r="H1682" s="410" t="e">
        <x:f>HYPERLINK("#'山海经原文总库'!A3","↩ 返回目录")</x:f>
        <x:v>HYPERLINK is not implemented. linkLocation=#'山海经原文总库'!A3, friendlyName=↩ 返回目录</x:v>
      </x:c>
      <x:c r="I1682" s="408"/>
      <x:c r="J1682" s="408"/>
      <x:c r="K1682" s="408" t="str">
        <x:v>待同名检索｜待建档</x:v>
      </x:c>
    </x:row>
    <x:row r="1683" ht="52" hidden="0" customHeight="1">
      <x:c r="A1683" s="407" t="str">
        <x:v>SHJ-16-017-5</x:v>
      </x:c>
      <x:c r="B1683" s="407" t="str">
        <x:v>卷十六 《大荒西經》</x:v>
      </x:c>
      <x:c r="C1683" s="408"/>
      <x:c r="D1683" s="407" t="str">
        <x:v>沃野</x:v>
      </x:c>
      <x:c r="E1683" s="407" t="str">
        <x:v>區域</x:v>
      </x:c>
      <x:c r="F1683" s="409"/>
      <x:c r="G1683" s="408" t="str">
        <x:v>标点与分段参考《山海经校注》；正文对读：https://ctext.org/shan-hai-jing/da-huang-xi-jing/zh</x:v>
      </x:c>
      <x:c r="H1683" s="410" t="e">
        <x:f>HYPERLINK("#'山海经原文总库'!A3","↩ 返回目录")</x:f>
        <x:v>HYPERLINK is not implemented. linkLocation=#'山海经原文总库'!A3, friendlyName=↩ 返回目录</x:v>
      </x:c>
      <x:c r="I1683" s="408"/>
      <x:c r="J1683" s="408"/>
      <x:c r="K1683" s="408" t="str">
        <x:v>待同名检索｜待建档</x:v>
      </x:c>
    </x:row>
    <x:row r="1684" ht="52" hidden="0" customHeight="1">
      <x:c r="A1684" s="407" t="str">
        <x:v>SHJ-16-018-1</x:v>
      </x:c>
      <x:c r="B1684" s="407" t="str">
        <x:v>卷十六 《大荒西經》</x:v>
      </x:c>
      <x:c r="C1684" s="408" t="str">
        <x:v>有三青鳥，赤首黑目，一名曰大鵹，一名少鵹，一名曰青鳥。</x:v>
      </x:c>
      <x:c r="D1684" s="407"/>
      <x:c r="E1684" s="407"/>
      <x:c r="F1684" s="409"/>
      <x:c r="G1684" s="408" t="str">
        <x:v>标点与分段参考《山海经校注》；正文对读：https://ctext.org/shan-hai-jing/da-huang-xi-jing/zh</x:v>
      </x:c>
      <x:c r="H1684" s="410" t="e">
        <x:f>HYPERLINK("#'山海经原文总库'!A3","↩ 返回目录")</x:f>
        <x:v>HYPERLINK is not implemented. linkLocation=#'山海经原文总库'!A3, friendlyName=↩ 返回目录</x:v>
      </x:c>
      <x:c r="I1684" s="408"/>
      <x:c r="J1684" s="408"/>
      <x:c r="K1684" s="408" t="str">
        <x:v>经文已收录｜非地点行</x:v>
      </x:c>
    </x:row>
    <x:row r="1685" ht="52" hidden="0" customHeight="1">
      <x:c r="A1685" s="407" t="str">
        <x:v>SHJ-16-019-1</x:v>
      </x:c>
      <x:c r="B1685" s="407" t="str">
        <x:v>卷十六 《大荒西經》</x:v>
      </x:c>
      <x:c r="C1685" s="408" t="str">
        <x:v>有軒轅之臺，射者不敢西向射，畏軒轅之臺。</x:v>
      </x:c>
      <x:c r="D1685" s="407" t="str">
        <x:v>軒轅臺</x:v>
      </x:c>
      <x:c r="E1685" s="407" t="str">
        <x:v>臺／壇</x:v>
      </x:c>
      <x:c r="F1685" s="409"/>
      <x:c r="G1685" s="408" t="str">
        <x:v>标点与分段参考《山海经校注》；正文对读：https://ctext.org/shan-hai-jing/da-huang-xi-jing/zh</x:v>
      </x:c>
      <x:c r="H1685" s="410" t="e">
        <x:f>HYPERLINK("#'山海经原文总库'!A3","↩ 返回目录")</x:f>
        <x:v>HYPERLINK is not implemented. linkLocation=#'山海经原文总库'!A3, friendlyName=↩ 返回目录</x:v>
      </x:c>
      <x:c r="I1685" s="408"/>
      <x:c r="J1685" s="408"/>
      <x:c r="K1685" s="408" t="str">
        <x:v>待同名检索｜待建档</x:v>
      </x:c>
    </x:row>
    <x:row r="1686" ht="52" hidden="0" customHeight="1">
      <x:c r="A1686" s="407" t="str">
        <x:v>SHJ-16-020-1</x:v>
      </x:c>
      <x:c r="B1686" s="407" t="str">
        <x:v>卷十六 《大荒西經》</x:v>
      </x:c>
      <x:c r="C1686" s="408" t="str">
        <x:v>大荒之中，有龍山，日月所入。有三澤水，名曰三淖，昆吾之所食也。</x:v>
      </x:c>
      <x:c r="D1686" s="407" t="str">
        <x:v>龍山</x:v>
      </x:c>
      <x:c r="E1686" s="407" t="str">
        <x:v>山／丘</x:v>
      </x:c>
      <x:c r="F1686" s="409"/>
      <x:c r="G1686" s="408" t="str">
        <x:v>标点与分段参考《山海经校注》；正文对读：https://ctext.org/shan-hai-jing/da-huang-xi-jing/zh</x:v>
      </x:c>
      <x:c r="H1686" s="410" t="e">
        <x:f>HYPERLINK("#'山海经原文总库'!A3","↩ 返回目录")</x:f>
        <x:v>HYPERLINK is not implemented. linkLocation=#'山海经原文总库'!A3, friendlyName=↩ 返回目录</x:v>
      </x:c>
      <x:c r="I1686" s="408"/>
      <x:c r="J1686" s="408"/>
      <x:c r="K1686" s="408" t="str">
        <x:v>待同名检索｜待建档</x:v>
      </x:c>
    </x:row>
    <x:row r="1687" ht="52" hidden="0" customHeight="1">
      <x:c r="A1687" s="407" t="str">
        <x:v>SHJ-16-020-2</x:v>
      </x:c>
      <x:c r="B1687" s="407" t="str">
        <x:v>卷十六 《大荒西經》</x:v>
      </x:c>
      <x:c r="C1687" s="408"/>
      <x:c r="D1687" s="407" t="str">
        <x:v>三澤水</x:v>
      </x:c>
      <x:c r="E1687" s="407" t="str">
        <x:v>水系／水域</x:v>
      </x:c>
      <x:c r="F1687" s="409"/>
      <x:c r="G1687" s="408" t="str">
        <x:v>标点与分段参考《山海经校注》；正文对读：https://ctext.org/shan-hai-jing/da-huang-xi-jing/zh</x:v>
      </x:c>
      <x:c r="H1687" s="410" t="e">
        <x:f>HYPERLINK("#'山海经原文总库'!A3","↩ 返回目录")</x:f>
        <x:v>HYPERLINK is not implemented. linkLocation=#'山海经原文总库'!A3, friendlyName=↩ 返回目录</x:v>
      </x:c>
      <x:c r="I1687" s="408"/>
      <x:c r="J1687" s="408"/>
      <x:c r="K1687" s="408" t="str">
        <x:v>待同名检索｜待建档</x:v>
      </x:c>
    </x:row>
    <x:row r="1688" ht="52" hidden="0" customHeight="1">
      <x:c r="A1688" s="407" t="str">
        <x:v>SHJ-16-020-3</x:v>
      </x:c>
      <x:c r="B1688" s="407" t="str">
        <x:v>卷十六 《大荒西經》</x:v>
      </x:c>
      <x:c r="C1688" s="408"/>
      <x:c r="D1688" s="407" t="str">
        <x:v>三淖</x:v>
      </x:c>
      <x:c r="E1688" s="407" t="str">
        <x:v>地理名稱</x:v>
      </x:c>
      <x:c r="F1688" s="409"/>
      <x:c r="G1688" s="408" t="str">
        <x:v>标点与分段参考《山海经校注》；正文对读：https://ctext.org/shan-hai-jing/da-huang-xi-jing/zh</x:v>
      </x:c>
      <x:c r="H1688" s="410" t="e">
        <x:f>HYPERLINK("#'山海经原文总库'!A3","↩ 返回目录")</x:f>
        <x:v>HYPERLINK is not implemented. linkLocation=#'山海经原文总库'!A3, friendlyName=↩ 返回目录</x:v>
      </x:c>
      <x:c r="I1688" s="408"/>
      <x:c r="J1688" s="408"/>
      <x:c r="K1688" s="408" t="str">
        <x:v>待同名检索｜待建档</x:v>
      </x:c>
    </x:row>
    <x:row r="1689" ht="52" hidden="0" customHeight="1">
      <x:c r="A1689" s="407" t="str">
        <x:v>SHJ-16-021-1</x:v>
      </x:c>
      <x:c r="B1689" s="407" t="str">
        <x:v>卷十六 《大荒西經》</x:v>
      </x:c>
      <x:c r="C1689" s="408" t="str">
        <x:v>有人衣青，以袂蔽面，名曰女醜之屍。</x:v>
      </x:c>
      <x:c r="D1689" s="407"/>
      <x:c r="E1689" s="407"/>
      <x:c r="F1689" s="409"/>
      <x:c r="G1689" s="408" t="str">
        <x:v>标点与分段参考《山海经校注》；正文对读：https://ctext.org/shan-hai-jing/da-huang-xi-jing/zh</x:v>
      </x:c>
      <x:c r="H1689" s="410" t="e">
        <x:f>HYPERLINK("#'山海经原文总库'!A3","↩ 返回目录")</x:f>
        <x:v>HYPERLINK is not implemented. linkLocation=#'山海经原文总库'!A3, friendlyName=↩ 返回目录</x:v>
      </x:c>
      <x:c r="I1689" s="408"/>
      <x:c r="J1689" s="408"/>
      <x:c r="K1689" s="408" t="str">
        <x:v>经文已收录｜非地点行</x:v>
      </x:c>
    </x:row>
    <x:row r="1690" ht="52" hidden="0" customHeight="1">
      <x:c r="A1690" s="407" t="str">
        <x:v>SHJ-16-022-1</x:v>
      </x:c>
      <x:c r="B1690" s="407" t="str">
        <x:v>卷十六 《大荒西經》</x:v>
      </x:c>
      <x:c r="C1690" s="408" t="str">
        <x:v>有女子之國。</x:v>
      </x:c>
      <x:c r="D1690" s="407" t="str">
        <x:v>女子國</x:v>
      </x:c>
      <x:c r="E1690" s="407" t="str">
        <x:v>國家／族群</x:v>
      </x:c>
      <x:c r="F1690" s="409"/>
      <x:c r="G1690" s="408" t="str">
        <x:v>标点与分段参考《山海经校注》；正文对读：https://ctext.org/shan-hai-jing/da-huang-xi-jing/zh</x:v>
      </x:c>
      <x:c r="H1690" s="410" t="e">
        <x:f>HYPERLINK("#'山海经原文总库'!A3","↩ 返回目录")</x:f>
        <x:v>HYPERLINK is not implemented. linkLocation=#'山海经原文总库'!A3, friendlyName=↩ 返回目录</x:v>
      </x:c>
      <x:c r="I1690" s="408"/>
      <x:c r="J1690" s="408"/>
      <x:c r="K1690" s="408" t="str">
        <x:v>待同名检索｜待建档</x:v>
      </x:c>
    </x:row>
    <x:row r="1691" ht="52" hidden="0" customHeight="1">
      <x:c r="A1691" s="407" t="str">
        <x:v>SHJ-16-023-1</x:v>
      </x:c>
      <x:c r="B1691" s="407" t="str">
        <x:v>卷十六 《大荒西經》</x:v>
      </x:c>
      <x:c r="C1691" s="408" t="str">
        <x:v>有桃山。有？山。有桂山。有於土山。</x:v>
      </x:c>
      <x:c r="D1691" s="407" t="str">
        <x:v>桃山</x:v>
      </x:c>
      <x:c r="E1691" s="407" t="str">
        <x:v>山／丘</x:v>
      </x:c>
      <x:c r="F1691" s="409"/>
      <x:c r="G1691" s="408" t="str">
        <x:v>标点与分段参考《山海经校注》；正文对读：https://ctext.org/shan-hai-jing/da-huang-xi-jing/zh</x:v>
      </x:c>
      <x:c r="H1691" s="410" t="e">
        <x:f>HYPERLINK("#'山海经原文总库'!A3","↩ 返回目录")</x:f>
        <x:v>HYPERLINK is not implemented. linkLocation=#'山海经原文总库'!A3, friendlyName=↩ 返回目录</x:v>
      </x:c>
      <x:c r="I1691" s="408"/>
      <x:c r="J1691" s="408"/>
      <x:c r="K1691" s="408" t="str">
        <x:v>待同名检索｜待建档</x:v>
      </x:c>
    </x:row>
    <x:row r="1692" ht="52" hidden="0" customHeight="1">
      <x:c r="A1692" s="407" t="str">
        <x:v>SHJ-16-023-2</x:v>
      </x:c>
      <x:c r="B1692" s="407" t="str">
        <x:v>卷十六 《大荒西經》</x:v>
      </x:c>
      <x:c r="C1692" s="408"/>
      <x:c r="D1692" s="407" t="str">
        <x:v>䖟山</x:v>
      </x:c>
      <x:c r="E1692" s="407" t="str">
        <x:v>山／丘</x:v>
      </x:c>
      <x:c r="F1692" s="409"/>
      <x:c r="G1692" s="408" t="str">
        <x:v>标点与分段参考《山海经校注》；正文对读：https://ctext.org/shan-hai-jing/da-huang-xi-jing/zh</x:v>
      </x:c>
      <x:c r="H1692" s="410" t="e">
        <x:f>HYPERLINK("#'山海经原文总库'!A3","↩ 返回目录")</x:f>
        <x:v>HYPERLINK is not implemented. linkLocation=#'山海经原文总库'!A3, friendlyName=↩ 返回目录</x:v>
      </x:c>
      <x:c r="I1692" s="408"/>
      <x:c r="J1692" s="408"/>
      <x:c r="K1692" s="408" t="str">
        <x:v>待同名检索｜待建档</x:v>
      </x:c>
    </x:row>
    <x:row r="1693" ht="52" hidden="0" customHeight="1">
      <x:c r="A1693" s="407" t="str">
        <x:v>SHJ-16-023-3</x:v>
      </x:c>
      <x:c r="B1693" s="407" t="str">
        <x:v>卷十六 《大荒西經》</x:v>
      </x:c>
      <x:c r="C1693" s="408"/>
      <x:c r="D1693" s="407" t="str">
        <x:v>桂山</x:v>
      </x:c>
      <x:c r="E1693" s="407" t="str">
        <x:v>山／丘</x:v>
      </x:c>
      <x:c r="F1693" s="409"/>
      <x:c r="G1693" s="408" t="str">
        <x:v>标点与分段参考《山海经校注》；正文对读：https://ctext.org/shan-hai-jing/da-huang-xi-jing/zh</x:v>
      </x:c>
      <x:c r="H1693" s="410" t="e">
        <x:f>HYPERLINK("#'山海经原文总库'!A3","↩ 返回目录")</x:f>
        <x:v>HYPERLINK is not implemented. linkLocation=#'山海经原文总库'!A3, friendlyName=↩ 返回目录</x:v>
      </x:c>
      <x:c r="I1693" s="408"/>
      <x:c r="J1693" s="408"/>
      <x:c r="K1693" s="408" t="str">
        <x:v>待同名检索｜待建档</x:v>
      </x:c>
    </x:row>
    <x:row r="1694" ht="52" hidden="0" customHeight="1">
      <x:c r="A1694" s="407" t="str">
        <x:v>SHJ-16-023-4</x:v>
      </x:c>
      <x:c r="B1694" s="407" t="str">
        <x:v>卷十六 《大荒西經》</x:v>
      </x:c>
      <x:c r="C1694" s="408"/>
      <x:c r="D1694" s="407" t="str">
        <x:v>于土山</x:v>
      </x:c>
      <x:c r="E1694" s="407" t="str">
        <x:v>山／丘</x:v>
      </x:c>
      <x:c r="F1694" s="409"/>
      <x:c r="G1694" s="408" t="str">
        <x:v>标点与分段参考《山海经校注》；正文对读：https://ctext.org/shan-hai-jing/da-huang-xi-jing/zh</x:v>
      </x:c>
      <x:c r="H1694" s="410" t="e">
        <x:f>HYPERLINK("#'山海经原文总库'!A3","↩ 返回目录")</x:f>
        <x:v>HYPERLINK is not implemented. linkLocation=#'山海经原文总库'!A3, friendlyName=↩ 返回目录</x:v>
      </x:c>
      <x:c r="I1694" s="408"/>
      <x:c r="J1694" s="408"/>
      <x:c r="K1694" s="408" t="str">
        <x:v>待同名检索｜待建档</x:v>
      </x:c>
    </x:row>
    <x:row r="1695" ht="52" hidden="0" customHeight="1">
      <x:c r="A1695" s="407" t="str">
        <x:v>SHJ-16-024-1</x:v>
      </x:c>
      <x:c r="B1695" s="407" t="str">
        <x:v>卷十六 《大荒西經》</x:v>
      </x:c>
      <x:c r="C1695" s="408" t="str">
        <x:v>有丈夫之國。</x:v>
      </x:c>
      <x:c r="D1695" s="407" t="str">
        <x:v>丈夫國</x:v>
      </x:c>
      <x:c r="E1695" s="407" t="str">
        <x:v>國家／族群</x:v>
      </x:c>
      <x:c r="F1695" s="409"/>
      <x:c r="G1695" s="408" t="str">
        <x:v>标点与分段参考《山海经校注》；正文对读：https://ctext.org/shan-hai-jing/da-huang-xi-jing/zh</x:v>
      </x:c>
      <x:c r="H1695" s="410" t="e">
        <x:f>HYPERLINK("#'山海经原文总库'!A3","↩ 返回目录")</x:f>
        <x:v>HYPERLINK is not implemented. linkLocation=#'山海经原文总库'!A3, friendlyName=↩ 返回目录</x:v>
      </x:c>
      <x:c r="I1695" s="408"/>
      <x:c r="J1695" s="408"/>
      <x:c r="K1695" s="408" t="str">
        <x:v>待同名检索｜待建档</x:v>
      </x:c>
    </x:row>
    <x:row r="1696" ht="52" hidden="0" customHeight="1">
      <x:c r="A1696" s="407" t="str">
        <x:v>SHJ-16-025-1</x:v>
      </x:c>
      <x:c r="B1696" s="407" t="str">
        <x:v>卷十六 《大荒西經》</x:v>
      </x:c>
      <x:c r="C1696" s="408" t="str">
        <x:v>有弇州之山，五採之鳥仰天，名曰鳴鳥。爰有百樂歌儛之風。</x:v>
      </x:c>
      <x:c r="D1696" s="407" t="str">
        <x:v>弇州山</x:v>
      </x:c>
      <x:c r="E1696" s="407" t="str">
        <x:v>山／丘</x:v>
      </x:c>
      <x:c r="F1696" s="409"/>
      <x:c r="G1696" s="408" t="str">
        <x:v>标点与分段参考《山海经校注》；正文对读：https://ctext.org/shan-hai-jing/da-huang-xi-jing/zh</x:v>
      </x:c>
      <x:c r="H1696" s="410" t="e">
        <x:f>HYPERLINK("#'山海经原文总库'!A3","↩ 返回目录")</x:f>
        <x:v>HYPERLINK is not implemented. linkLocation=#'山海经原文总库'!A3, friendlyName=↩ 返回目录</x:v>
      </x:c>
      <x:c r="I1696" s="408"/>
      <x:c r="J1696" s="408"/>
      <x:c r="K1696" s="408" t="str">
        <x:v>待同名检索｜待建档</x:v>
      </x:c>
    </x:row>
    <x:row r="1697" ht="52" hidden="0" customHeight="1">
      <x:c r="A1697" s="407" t="str">
        <x:v>SHJ-16-026-1</x:v>
      </x:c>
      <x:c r="B1697" s="407" t="str">
        <x:v>卷十六 《大荒西經》</x:v>
      </x:c>
      <x:c r="C1697" s="408" t="str">
        <x:v>有軒轅之國。江山之南棲爲吉。不壽者乃八百歲。</x:v>
      </x:c>
      <x:c r="D1697" s="407" t="str">
        <x:v>軒轅國</x:v>
      </x:c>
      <x:c r="E1697" s="407" t="str">
        <x:v>國家／族群</x:v>
      </x:c>
      <x:c r="F1697" s="409"/>
      <x:c r="G1697" s="408" t="str">
        <x:v>标点与分段参考《山海经校注》；正文对读：https://ctext.org/shan-hai-jing/da-huang-xi-jing/zh</x:v>
      </x:c>
      <x:c r="H1697" s="410" t="e">
        <x:f>HYPERLINK("#'山海经原文总库'!A3","↩ 返回目录")</x:f>
        <x:v>HYPERLINK is not implemented. linkLocation=#'山海经原文总库'!A3, friendlyName=↩ 返回目录</x:v>
      </x:c>
      <x:c r="I1697" s="408"/>
      <x:c r="J1697" s="408"/>
      <x:c r="K1697" s="408" t="str">
        <x:v>待同名检索｜待建档</x:v>
      </x:c>
    </x:row>
    <x:row r="1698" ht="52" hidden="0" customHeight="1">
      <x:c r="A1698" s="407" t="str">
        <x:v>SHJ-16-026-2</x:v>
      </x:c>
      <x:c r="B1698" s="407" t="str">
        <x:v>卷十六 《大荒西經》</x:v>
      </x:c>
      <x:c r="C1698" s="408"/>
      <x:c r="D1698" s="407" t="str">
        <x:v>江山</x:v>
      </x:c>
      <x:c r="E1698" s="407" t="str">
        <x:v>山／丘</x:v>
      </x:c>
      <x:c r="F1698" s="409"/>
      <x:c r="G1698" s="408" t="str">
        <x:v>标点与分段参考《山海经校注》；正文对读：https://ctext.org/shan-hai-jing/da-huang-xi-jing/zh</x:v>
      </x:c>
      <x:c r="H1698" s="410" t="e">
        <x:f>HYPERLINK("#'山海经原文总库'!A3","↩ 返回目录")</x:f>
        <x:v>HYPERLINK is not implemented. linkLocation=#'山海经原文总库'!A3, friendlyName=↩ 返回目录</x:v>
      </x:c>
      <x:c r="I1698" s="408"/>
      <x:c r="J1698" s="408"/>
      <x:c r="K1698" s="408" t="str">
        <x:v>待同名检索｜待建档</x:v>
      </x:c>
    </x:row>
    <x:row r="1699" ht="52" hidden="0" customHeight="1">
      <x:c r="A1699" s="407" t="str">
        <x:v>SHJ-16-027-1</x:v>
      </x:c>
      <x:c r="B1699" s="407" t="str">
        <x:v>卷十六 《大荒西經》</x:v>
      </x:c>
      <x:c r="C1699" s="408" t="str">
        <x:v>西海陼中，有神人面鳥身，珥兩青蛇，踐兩赤蛇，名曰弇茲。</x:v>
      </x:c>
      <x:c r="D1699" s="407" t="str">
        <x:v>西海之渚</x:v>
      </x:c>
      <x:c r="E1699" s="407" t="str">
        <x:v>水系／水域</x:v>
      </x:c>
      <x:c r="F1699" s="409"/>
      <x:c r="G1699" s="408" t="str">
        <x:v>标点与分段参考《山海经校注》；正文对读：https://ctext.org/shan-hai-jing/da-huang-xi-jing/zh</x:v>
      </x:c>
      <x:c r="H1699" s="410" t="e">
        <x:f>HYPERLINK("#'山海经原文总库'!A3","↩ 返回目录")</x:f>
        <x:v>HYPERLINK is not implemented. linkLocation=#'山海经原文总库'!A3, friendlyName=↩ 返回目录</x:v>
      </x:c>
      <x:c r="I1699" s="408"/>
      <x:c r="J1699" s="408"/>
      <x:c r="K1699" s="408" t="str">
        <x:v>待同名检索｜待建档</x:v>
      </x:c>
    </x:row>
    <x:row r="1700" ht="52" hidden="0" customHeight="1">
      <x:c r="A1700" s="407" t="str">
        <x:v>SHJ-16-028-1</x:v>
      </x:c>
      <x:c r="B1700" s="407" t="str">
        <x:v>卷十六 《大荒西經》</x:v>
      </x:c>
      <x:c r="C1700" s="408" t="str">
        <x:v>大荒之中，有山名日月山，天樞也。吳姖天門，日月所入。有神，人面無臂，兩足反屬於頭山，名曰噓。顓頊生老童，老童生重及黎，帝令重獻上天，令黎邛下地，下地是生噎，處於西極，以行日月星辰之行次。</x:v>
      </x:c>
      <x:c r="D1700" s="407" t="str">
        <x:v>日月山</x:v>
      </x:c>
      <x:c r="E1700" s="407" t="str">
        <x:v>山／丘</x:v>
      </x:c>
      <x:c r="F1700" s="409"/>
      <x:c r="G1700" s="408" t="str">
        <x:v>标点与分段参考《山海经校注》；正文对读：https://ctext.org/shan-hai-jing/da-huang-xi-jing/zh</x:v>
      </x:c>
      <x:c r="H1700" s="410" t="e">
        <x:f>HYPERLINK("#'山海经原文总库'!A3","↩ 返回目录")</x:f>
        <x:v>HYPERLINK is not implemented. linkLocation=#'山海经原文总库'!A3, friendlyName=↩ 返回目录</x:v>
      </x:c>
      <x:c r="I1700" s="408"/>
      <x:c r="J1700" s="408"/>
      <x:c r="K1700" s="408" t="str">
        <x:v>待同名检索｜待建档</x:v>
      </x:c>
    </x:row>
    <x:row r="1701" ht="52" hidden="0" customHeight="1">
      <x:c r="A1701" s="407" t="str">
        <x:v>SHJ-16-028-2</x:v>
      </x:c>
      <x:c r="B1701" s="407" t="str">
        <x:v>卷十六 《大荒西經》</x:v>
      </x:c>
      <x:c r="C1701" s="408"/>
      <x:c r="D1701" s="407" t="str">
        <x:v>吳姖天門</x:v>
      </x:c>
      <x:c r="E1701" s="407" t="str">
        <x:v>地理名稱</x:v>
      </x:c>
      <x:c r="F1701" s="409"/>
      <x:c r="G1701" s="408" t="str">
        <x:v>标点与分段参考《山海经校注》；正文对读：https://ctext.org/shan-hai-jing/da-huang-xi-jing/zh</x:v>
      </x:c>
      <x:c r="H1701" s="410" t="e">
        <x:f>HYPERLINK("#'山海经原文总库'!A3","↩ 返回目录")</x:f>
        <x:v>HYPERLINK is not implemented. linkLocation=#'山海经原文总库'!A3, friendlyName=↩ 返回目录</x:v>
      </x:c>
      <x:c r="I1701" s="408"/>
      <x:c r="J1701" s="408"/>
      <x:c r="K1701" s="408" t="str">
        <x:v>待同名检索｜待建档</x:v>
      </x:c>
    </x:row>
    <x:row r="1702" ht="52" hidden="0" customHeight="1">
      <x:c r="A1702" s="407" t="str">
        <x:v>SHJ-16-028-3</x:v>
      </x:c>
      <x:c r="B1702" s="407" t="str">
        <x:v>卷十六 《大荒西經》</x:v>
      </x:c>
      <x:c r="C1702" s="408"/>
      <x:c r="D1702" s="407" t="str">
        <x:v>西極</x:v>
      </x:c>
      <x:c r="E1702" s="407" t="str">
        <x:v>區域</x:v>
      </x:c>
      <x:c r="F1702" s="409"/>
      <x:c r="G1702" s="408" t="str">
        <x:v>标点与分段参考《山海经校注》；正文对读：https://ctext.org/shan-hai-jing/da-huang-xi-jing/zh</x:v>
      </x:c>
      <x:c r="H1702" s="410" t="e">
        <x:f>HYPERLINK("#'山海经原文总库'!A3","↩ 返回目录")</x:f>
        <x:v>HYPERLINK is not implemented. linkLocation=#'山海经原文总库'!A3, friendlyName=↩ 返回目录</x:v>
      </x:c>
      <x:c r="I1702" s="408"/>
      <x:c r="J1702" s="408"/>
      <x:c r="K1702" s="408" t="str">
        <x:v>待同名检索｜待建档</x:v>
      </x:c>
    </x:row>
    <x:row r="1703" ht="52" hidden="0" customHeight="1">
      <x:c r="A1703" s="407" t="str">
        <x:v>SHJ-16-029-1</x:v>
      </x:c>
      <x:c r="B1703" s="407" t="str">
        <x:v>卷十六 《大荒西經》</x:v>
      </x:c>
      <x:c r="C1703" s="408" t="str">
        <x:v>有人反臂，名曰天虞。</x:v>
      </x:c>
      <x:c r="D1703" s="407"/>
      <x:c r="E1703" s="407"/>
      <x:c r="F1703" s="409"/>
      <x:c r="G1703" s="408" t="str">
        <x:v>标点与分段参考《山海经校注》；正文对读：https://ctext.org/shan-hai-jing/da-huang-xi-jing/zh</x:v>
      </x:c>
      <x:c r="H1703" s="410" t="e">
        <x:f>HYPERLINK("#'山海经原文总库'!A3","↩ 返回目录")</x:f>
        <x:v>HYPERLINK is not implemented. linkLocation=#'山海经原文总库'!A3, friendlyName=↩ 返回目录</x:v>
      </x:c>
      <x:c r="I1703" s="408"/>
      <x:c r="J1703" s="408"/>
      <x:c r="K1703" s="408" t="str">
        <x:v>经文已收录｜非地点行</x:v>
      </x:c>
    </x:row>
    <x:row r="1704" ht="52" hidden="0" customHeight="1">
      <x:c r="A1704" s="407" t="str">
        <x:v>SHJ-16-030-1</x:v>
      </x:c>
      <x:c r="B1704" s="407" t="str">
        <x:v>卷十六 《大荒西經》</x:v>
      </x:c>
      <x:c r="C1704" s="408" t="str">
        <x:v>有女子方浴月。帝俊妻常羲，生月十有二，此始浴之。</x:v>
      </x:c>
      <x:c r="D1704" s="407"/>
      <x:c r="E1704" s="407"/>
      <x:c r="F1704" s="409"/>
      <x:c r="G1704" s="408" t="str">
        <x:v>标点与分段参考《山海经校注》；正文对读：https://ctext.org/shan-hai-jing/da-huang-xi-jing/zh</x:v>
      </x:c>
      <x:c r="H1704" s="410" t="e">
        <x:f>HYPERLINK("#'山海经原文总库'!A3","↩ 返回目录")</x:f>
        <x:v>HYPERLINK is not implemented. linkLocation=#'山海经原文总库'!A3, friendlyName=↩ 返回目录</x:v>
      </x:c>
      <x:c r="I1704" s="408"/>
      <x:c r="J1704" s="408"/>
      <x:c r="K1704" s="408" t="str">
        <x:v>经文已收录｜非地点行</x:v>
      </x:c>
    </x:row>
    <x:row r="1705" ht="52" hidden="0" customHeight="1">
      <x:c r="A1705" s="407" t="str">
        <x:v>SHJ-16-031-1</x:v>
      </x:c>
      <x:c r="B1705" s="407" t="str">
        <x:v>卷十六 《大荒西經》</x:v>
      </x:c>
      <x:c r="C1705" s="408" t="str">
        <x:v>有玄丹之山。有五色之鳥，人面有發。爰有青？、黃？，青鳥、黃鳥，其所集者其國亡。</x:v>
      </x:c>
      <x:c r="D1705" s="407" t="str">
        <x:v>玄丹山</x:v>
      </x:c>
      <x:c r="E1705" s="407" t="str">
        <x:v>山／丘</x:v>
      </x:c>
      <x:c r="F1705" s="409"/>
      <x:c r="G1705" s="408" t="str">
        <x:v>标点与分段参考《山海经校注》；正文对读：https://ctext.org/shan-hai-jing/da-huang-xi-jing/zh</x:v>
      </x:c>
      <x:c r="H1705" s="410" t="e">
        <x:f>HYPERLINK("#'山海经原文总库'!A3","↩ 返回目录")</x:f>
        <x:v>HYPERLINK is not implemented. linkLocation=#'山海经原文总库'!A3, friendlyName=↩ 返回目录</x:v>
      </x:c>
      <x:c r="I1705" s="408"/>
      <x:c r="J1705" s="408"/>
      <x:c r="K1705" s="408" t="str">
        <x:v>待同名检索｜待建档</x:v>
      </x:c>
    </x:row>
    <x:row r="1706" ht="52" hidden="0" customHeight="1">
      <x:c r="A1706" s="407" t="str">
        <x:v>SHJ-16-032-1</x:v>
      </x:c>
      <x:c r="B1706" s="407" t="str">
        <x:v>卷十六 《大荒西經》</x:v>
      </x:c>
      <x:c r="C1706" s="408" t="str">
        <x:v>有池名孟翼之攻顓頊之池。</x:v>
      </x:c>
      <x:c r="D1706" s="407" t="str">
        <x:v>孟翼攻顓頊之池</x:v>
      </x:c>
      <x:c r="E1706" s="407" t="str">
        <x:v>地理名稱</x:v>
      </x:c>
      <x:c r="F1706" s="409"/>
      <x:c r="G1706" s="408" t="str">
        <x:v>标点与分段参考《山海经校注》；正文对读：https://ctext.org/shan-hai-jing/da-huang-xi-jing/zh</x:v>
      </x:c>
      <x:c r="H1706" s="410" t="e">
        <x:f>HYPERLINK("#'山海经原文总库'!A3","↩ 返回目录")</x:f>
        <x:v>HYPERLINK is not implemented. linkLocation=#'山海经原文总库'!A3, friendlyName=↩ 返回目录</x:v>
      </x:c>
      <x:c r="I1706" s="408"/>
      <x:c r="J1706" s="408"/>
      <x:c r="K1706" s="408" t="str">
        <x:v>待同名检索｜待建档</x:v>
      </x:c>
    </x:row>
    <x:row r="1707" ht="52" hidden="0" customHeight="1">
      <x:c r="A1707" s="407" t="str">
        <x:v>SHJ-16-033-1</x:v>
      </x:c>
      <x:c r="B1707" s="407" t="str">
        <x:v>卷十六 《大荒西經》</x:v>
      </x:c>
      <x:c r="C1707" s="408" t="str">
        <x:v>大荒之中，有山，名曰鏖鏊鉅，日月所入者。</x:v>
      </x:c>
      <x:c r="D1707" s="407" t="str">
        <x:v>鏖鏊鉅山</x:v>
      </x:c>
      <x:c r="E1707" s="407" t="str">
        <x:v>山／丘</x:v>
      </x:c>
      <x:c r="F1707" s="409"/>
      <x:c r="G1707" s="408" t="str">
        <x:v>标点与分段参考《山海经校注》；正文对读：https://ctext.org/shan-hai-jing/da-huang-xi-jing/zh</x:v>
      </x:c>
      <x:c r="H1707" s="410" t="e">
        <x:f>HYPERLINK("#'山海经原文总库'!A3","↩ 返回目录")</x:f>
        <x:v>HYPERLINK is not implemented. linkLocation=#'山海经原文总库'!A3, friendlyName=↩ 返回目录</x:v>
      </x:c>
      <x:c r="I1707" s="408"/>
      <x:c r="J1707" s="408"/>
      <x:c r="K1707" s="408" t="str">
        <x:v>待同名检索｜待建档</x:v>
      </x:c>
    </x:row>
    <x:row r="1708" ht="52" hidden="0" customHeight="1">
      <x:c r="A1708" s="407" t="str">
        <x:v>SHJ-16-034-1</x:v>
      </x:c>
      <x:c r="B1708" s="407" t="str">
        <x:v>卷十六 《大荒西經》</x:v>
      </x:c>
      <x:c r="C1708" s="408" t="str">
        <x:v>有獸，左右有首，名曰屏蓬。</x:v>
      </x:c>
      <x:c r="D1708" s="407"/>
      <x:c r="E1708" s="407"/>
      <x:c r="F1708" s="409"/>
      <x:c r="G1708" s="408" t="str">
        <x:v>标点与分段参考《山海经校注》；正文对读：https://ctext.org/shan-hai-jing/da-huang-xi-jing/zh</x:v>
      </x:c>
      <x:c r="H1708" s="410" t="e">
        <x:f>HYPERLINK("#'山海经原文总库'!A3","↩ 返回目录")</x:f>
        <x:v>HYPERLINK is not implemented. linkLocation=#'山海经原文总库'!A3, friendlyName=↩ 返回目录</x:v>
      </x:c>
      <x:c r="I1708" s="408"/>
      <x:c r="J1708" s="408"/>
      <x:c r="K1708" s="408" t="str">
        <x:v>经文已收录｜非地点行</x:v>
      </x:c>
    </x:row>
    <x:row r="1709" ht="52" hidden="0" customHeight="1">
      <x:c r="A1709" s="407" t="str">
        <x:v>SHJ-16-035-1</x:v>
      </x:c>
      <x:c r="B1709" s="407" t="str">
        <x:v>卷十六 《大荒西經》</x:v>
      </x:c>
      <x:c r="C1709" s="408" t="str">
        <x:v>有巫山者。有壑山者。有金門之山，有人名曰黃姖之屍。有比翼之鳥。有白鳥青翼，黃尾，玄喙。有赤犬，名曰天犬，其所下者有兵。</x:v>
      </x:c>
      <x:c r="D1709" s="407" t="str">
        <x:v>巫山</x:v>
      </x:c>
      <x:c r="E1709" s="407" t="str">
        <x:v>山／丘</x:v>
      </x:c>
      <x:c r="F1709" s="409"/>
      <x:c r="G1709" s="408" t="str">
        <x:v>标点与分段参考《山海经校注》；正文对读：https://ctext.org/shan-hai-jing/da-huang-xi-jing/zh</x:v>
      </x:c>
      <x:c r="H1709" s="410" t="e">
        <x:f>HYPERLINK("#'山海经原文总库'!A3","↩ 返回目录")</x:f>
        <x:v>HYPERLINK is not implemented. linkLocation=#'山海经原文总库'!A3, friendlyName=↩ 返回目录</x:v>
      </x:c>
      <x:c r="I1709" s="408"/>
      <x:c r="J1709" s="408"/>
      <x:c r="K1709" s="408" t="str">
        <x:v>待同名检索｜待建档</x:v>
      </x:c>
    </x:row>
    <x:row r="1710" ht="52" hidden="0" customHeight="1">
      <x:c r="A1710" s="407" t="str">
        <x:v>SHJ-16-035-2</x:v>
      </x:c>
      <x:c r="B1710" s="407" t="str">
        <x:v>卷十六 《大荒西經》</x:v>
      </x:c>
      <x:c r="C1710" s="408"/>
      <x:c r="D1710" s="407" t="str">
        <x:v>壑山</x:v>
      </x:c>
      <x:c r="E1710" s="407" t="str">
        <x:v>山／丘</x:v>
      </x:c>
      <x:c r="F1710" s="409"/>
      <x:c r="G1710" s="408" t="str">
        <x:v>标点与分段参考《山海经校注》；正文对读：https://ctext.org/shan-hai-jing/da-huang-xi-jing/zh</x:v>
      </x:c>
      <x:c r="H1710" s="410" t="e">
        <x:f>HYPERLINK("#'山海经原文总库'!A3","↩ 返回目录")</x:f>
        <x:v>HYPERLINK is not implemented. linkLocation=#'山海经原文总库'!A3, friendlyName=↩ 返回目录</x:v>
      </x:c>
      <x:c r="I1710" s="408"/>
      <x:c r="J1710" s="408"/>
      <x:c r="K1710" s="408" t="str">
        <x:v>待同名检索｜待建档</x:v>
      </x:c>
    </x:row>
    <x:row r="1711" ht="52" hidden="0" customHeight="1">
      <x:c r="A1711" s="407" t="str">
        <x:v>SHJ-16-035-3</x:v>
      </x:c>
      <x:c r="B1711" s="407" t="str">
        <x:v>卷十六 《大荒西經》</x:v>
      </x:c>
      <x:c r="C1711" s="408"/>
      <x:c r="D1711" s="407" t="str">
        <x:v>金門山</x:v>
      </x:c>
      <x:c r="E1711" s="407" t="str">
        <x:v>山／丘</x:v>
      </x:c>
      <x:c r="F1711" s="409"/>
      <x:c r="G1711" s="408" t="str">
        <x:v>标点与分段参考《山海经校注》；正文对读：https://ctext.org/shan-hai-jing/da-huang-xi-jing/zh</x:v>
      </x:c>
      <x:c r="H1711" s="410" t="e">
        <x:f>HYPERLINK("#'山海经原文总库'!A3","↩ 返回目录")</x:f>
        <x:v>HYPERLINK is not implemented. linkLocation=#'山海经原文总库'!A3, friendlyName=↩ 返回目录</x:v>
      </x:c>
      <x:c r="I1711" s="408"/>
      <x:c r="J1711" s="408"/>
      <x:c r="K1711" s="408" t="str">
        <x:v>待同名检索｜待建档</x:v>
      </x:c>
    </x:row>
    <x:row r="1712" ht="52" hidden="0" customHeight="1">
      <x:c r="A1712" s="407" t="str">
        <x:v>SHJ-16-036-1</x:v>
      </x:c>
      <x:c r="B1712" s="407" t="str">
        <x:v>卷十六 《大荒西經》</x:v>
      </x:c>
      <x:c r="C1712" s="408" t="str">
        <x:v>西海之南，流沙之濱，赤水之後，黑水之前，有大山，名曰崑崙之丘。有神——人面虎身，有文有尾，皆白——處之。其下有弱水之淵環之，其外有炎火之山，投物輒然。有人，戴勝，虎齒，有豹尾，穴處，名曰西王母。此山萬物盡有。</x:v>
      </x:c>
      <x:c r="D1712" s="407" t="str">
        <x:v>崑崙丘</x:v>
      </x:c>
      <x:c r="E1712" s="407" t="str">
        <x:v>山／丘</x:v>
      </x:c>
      <x:c r="F1712" s="409" t="e">
        <x:f>HYPERLINK("#'都广核心区总表'!B53","→ 查看条目")</x:f>
        <x:v>HYPERLINK is not implemented. linkLocation=#'都广核心区总表'!B53, friendlyName=→ 查看条目</x:v>
      </x:c>
      <x:c r="G1712" s="408" t="str">
        <x:v>标点与分段参考《山海经校注》；正文对读：https://ctext.org/shan-hai-jing/da-huang-xi-jing/zh</x:v>
      </x:c>
      <x:c r="H1712" s="410" t="e">
        <x:f>HYPERLINK("#'山海经原文总库'!A3","↩ 返回目录")</x:f>
        <x:v>HYPERLINK is not implemented. linkLocation=#'山海经原文总库'!A3, friendlyName=↩ 返回目录</x:v>
      </x:c>
      <x:c r="I1712" s="408" t="str">
        <x:v>是</x:v>
      </x:c>
      <x:c r="J1712" s="408" t="str">
        <x:v>总表第53行｜X=-1050里，Y=+650里（-10.5，+6.5格）｜大荒昆仑并入复合体外围层</x:v>
      </x:c>
      <x:c r="K1712" s="408" t="str">
        <x:v>已检索｜已建档</x:v>
      </x:c>
    </x:row>
    <x:row r="1713" ht="52" hidden="0" customHeight="1">
      <x:c r="A1713" s="407" t="str">
        <x:v>SHJ-16-036-2</x:v>
      </x:c>
      <x:c r="B1713" s="407" t="str">
        <x:v>卷十六 《大荒西經》</x:v>
      </x:c>
      <x:c r="C1713" s="408"/>
      <x:c r="D1713" s="407" t="str">
        <x:v>西海</x:v>
      </x:c>
      <x:c r="E1713" s="407" t="str">
        <x:v>水系／水域</x:v>
      </x:c>
      <x:c r="F1713" s="409"/>
      <x:c r="G1713" s="408" t="str">
        <x:v>标点与分段参考《山海经校注》；正文对读：https://ctext.org/shan-hai-jing/da-huang-xi-jing/zh</x:v>
      </x:c>
      <x:c r="H1713" s="410" t="e">
        <x:f>HYPERLINK("#'山海经原文总库'!A3","↩ 返回目录")</x:f>
        <x:v>HYPERLINK is not implemented. linkLocation=#'山海经原文总库'!A3, friendlyName=↩ 返回目录</x:v>
      </x:c>
      <x:c r="I1713" s="408"/>
      <x:c r="J1713" s="408"/>
      <x:c r="K1713" s="408" t="str">
        <x:v>待同名检索｜待建档</x:v>
      </x:c>
    </x:row>
    <x:row r="1714" ht="52" hidden="0" customHeight="1">
      <x:c r="A1714" s="407" t="str">
        <x:v>SHJ-16-036-3</x:v>
      </x:c>
      <x:c r="B1714" s="407" t="str">
        <x:v>卷十六 《大荒西經》</x:v>
      </x:c>
      <x:c r="C1714" s="408"/>
      <x:c r="D1714" s="407" t="str">
        <x:v>流沙</x:v>
      </x:c>
      <x:c r="E1714" s="407" t="str">
        <x:v>區域</x:v>
      </x:c>
      <x:c r="F1714" s="409"/>
      <x:c r="G1714" s="408" t="str">
        <x:v>标点与分段参考《山海经校注》；正文对读：https://ctext.org/shan-hai-jing/da-huang-xi-jing/zh</x:v>
      </x:c>
      <x:c r="H1714" s="410" t="e">
        <x:f>HYPERLINK("#'山海经原文总库'!A3","↩ 返回目录")</x:f>
        <x:v>HYPERLINK is not implemented. linkLocation=#'山海经原文总库'!A3, friendlyName=↩ 返回目录</x:v>
      </x:c>
      <x:c r="I1714" s="408"/>
      <x:c r="J1714" s="408"/>
      <x:c r="K1714" s="408" t="str">
        <x:v>待同名检索｜待建档</x:v>
      </x:c>
    </x:row>
    <x:row r="1715" ht="52" hidden="0" customHeight="1">
      <x:c r="A1715" s="407" t="str">
        <x:v>SHJ-16-036-4</x:v>
      </x:c>
      <x:c r="B1715" s="407" t="str">
        <x:v>卷十六 《大荒西經》</x:v>
      </x:c>
      <x:c r="C1715" s="408"/>
      <x:c r="D1715" s="407" t="str">
        <x:v>赤水</x:v>
      </x:c>
      <x:c r="E1715" s="407" t="str">
        <x:v>水系／水域</x:v>
      </x:c>
      <x:c r="F1715" s="409" t="e">
        <x:f>HYPERLINK("#'都广核心区总表'!B45","→ 查看条目")</x:f>
        <x:v>HYPERLINK is not implemented. linkLocation=#'都广核心区总表'!B45, friendlyName=→ 查看条目</x:v>
      </x:c>
      <x:c r="G1715" s="408" t="str">
        <x:v>标点与分段参考《山海经校注》；正文对读：https://ctext.org/shan-hai-jing/da-huang-xi-jing/zh</x:v>
      </x:c>
      <x:c r="H1715" s="410" t="e">
        <x:f>HYPERLINK("#'山海经原文总库'!A3","↩ 返回目录")</x:f>
        <x:v>HYPERLINK is not implemented. linkLocation=#'山海经原文总库'!A3, friendlyName=↩ 返回目录</x:v>
      </x:c>
      <x:c r="I1715" s="408" t="str">
        <x:v>是</x:v>
      </x:c>
      <x:c r="J1715" s="408" t="str">
        <x:v>总表第45行｜X=-650里，Y=+250里（-6.5，+2.5格）｜源角锁定；全河未闭合</x:v>
      </x:c>
      <x:c r="K1715" s="408" t="str">
        <x:v>已检索｜已建档</x:v>
      </x:c>
    </x:row>
    <x:row r="1716" ht="52" hidden="0" customHeight="1">
      <x:c r="A1716" s="407" t="str">
        <x:v>SHJ-16-036-5</x:v>
      </x:c>
      <x:c r="B1716" s="407" t="str">
        <x:v>卷十六 《大荒西經》</x:v>
      </x:c>
      <x:c r="C1716" s="408"/>
      <x:c r="D1716" s="407" t="str">
        <x:v>黑水</x:v>
      </x:c>
      <x:c r="E1716" s="407" t="str">
        <x:v>水系／水域</x:v>
      </x:c>
      <x:c r="F1716" s="409"/>
      <x:c r="G1716" s="408" t="str">
        <x:v>标点与分段参考《山海经校注》；正文对读：https://ctext.org/shan-hai-jing/da-huang-xi-jing/zh</x:v>
      </x:c>
      <x:c r="H1716" s="410" t="e">
        <x:f>HYPERLINK("#'山海经原文总库'!A3","↩ 返回目录")</x:f>
        <x:v>HYPERLINK is not implemented. linkLocation=#'山海经原文总库'!A3, friendlyName=↩ 返回目录</x:v>
      </x:c>
      <x:c r="I1716" s="408"/>
      <x:c r="J1716" s="408"/>
      <x:c r="K1716" s="408" t="str">
        <x:v>待同名检索｜待建档</x:v>
      </x:c>
    </x:row>
    <x:row r="1717" ht="52" hidden="0" customHeight="1">
      <x:c r="A1717" s="415" t="str">
        <x:v>SHJ-16-036-6</x:v>
      </x:c>
      <x:c r="B1717" s="415" t="str">
        <x:v>卷十六 《大荒西經》</x:v>
      </x:c>
      <x:c r="C1717" s="416"/>
      <x:c r="D1717" s="415" t="str">
        <x:v>弱水淵</x:v>
      </x:c>
      <x:c r="E1717" s="415" t="str">
        <x:v>水系／水域</x:v>
      </x:c>
      <x:c r="F1717" s="417" t="e">
        <x:f>HYPERLINK("#'都广核心区总表'!B54","→ 查看条目")</x:f>
        <x:v>HYPERLINK is not implemented. linkLocation=#'都广核心区总表'!B54, friendlyName=→ 查看条目</x:v>
      </x:c>
      <x:c r="G1717" s="416" t="str">
        <x:v>标点与分段参考《山海经校注》；正文对读：https://ctext.org/shan-hai-jing/da-huang-xi-jing/zh</x:v>
      </x:c>
      <x:c r="H1717" s="418" t="e">
        <x:f>HYPERLINK("#'山海经原文总库'!A3","↩ 返回目录")</x:f>
        <x:v>HYPERLINK is not implemented. linkLocation=#'山海经原文总库'!A3, friendlyName=↩ 返回目录</x:v>
      </x:c>
      <x:c r="I1717" s="416" t="str">
        <x:v>是</x:v>
      </x:c>
      <x:c r="J1717" s="416" t="str">
        <x:v>总表第54行｜X=-1050里，Y=+650里（-10.5，+6.5格）｜环山关系锁定；与弱水河流源段不合并</x:v>
      </x:c>
      <x:c r="K1717" s="416" t="str">
        <x:v>已检索｜已建档</x:v>
      </x:c>
    </x:row>
    <x:row r="1718" ht="52" hidden="0" customHeight="1">
      <x:c r="A1718" s="415" t="str">
        <x:v>SHJ-16-036-7</x:v>
      </x:c>
      <x:c r="B1718" s="415" t="str">
        <x:v>卷十六 《大荒西經》</x:v>
      </x:c>
      <x:c r="C1718" s="416"/>
      <x:c r="D1718" s="415" t="str">
        <x:v>炎火山</x:v>
      </x:c>
      <x:c r="E1718" s="415" t="str">
        <x:v>山／丘</x:v>
      </x:c>
      <x:c r="F1718" s="417" t="e">
        <x:f>HYPERLINK("#'都广核心区总表'!B55","→ 查看条目")</x:f>
        <x:v>HYPERLINK is not implemented. linkLocation=#'都广核心区总表'!B55, friendlyName=→ 查看条目</x:v>
      </x:c>
      <x:c r="G1718" s="416" t="str">
        <x:v>标点与分段参考《山海经校注》；正文对读：https://ctext.org/shan-hai-jing/da-huang-xi-jing/zh</x:v>
      </x:c>
      <x:c r="H1718" s="418" t="e">
        <x:f t="shared" ref="H1718:H1724" si="20">HYPERLINK("#'山海经原文总库'!A3","↩ 返回目录")</x:f>
        <x:v>HYPERLINK is not implemented. linkLocation=#'山海经原文总库'!A3, friendlyName=↩ 返回目录</x:v>
      </x:c>
      <x:c r="I1718" s="416" t="str">
        <x:v>是</x:v>
      </x:c>
      <x:c r="J1718" s="416" t="str">
        <x:v>总表第55行｜X=-1050里，Y=+50里（-10.5，+0.5格）｜外层关系锁定；具体环向位置未锁</x:v>
      </x:c>
      <x:c r="K1718" s="416" t="str">
        <x:v>已检索｜已建档</x:v>
      </x:c>
    </x:row>
    <x:row r="1719" ht="52" hidden="0" customHeight="1">
      <x:c r="A1719" s="415" t="str">
        <x:v>SHJ-16-037-1</x:v>
      </x:c>
      <x:c r="B1719" s="415" t="str">
        <x:v>卷十六 《大荒西經》</x:v>
      </x:c>
      <x:c r="C1719" s="416" t="str">
        <x:v>大荒之中，有山名曰常陽之山，日月所入。</x:v>
      </x:c>
      <x:c r="D1719" s="415" t="str">
        <x:v>常陽山</x:v>
      </x:c>
      <x:c r="E1719" s="415" t="str">
        <x:v>山／丘</x:v>
      </x:c>
      <x:c r="F1719" s="417"/>
      <x:c r="G1719" s="416" t="str">
        <x:v>标点与分段参考《山海经校注》；正文对读：https://ctext.org/shan-hai-jing/da-huang-xi-jing/zh</x:v>
      </x:c>
      <x:c r="H1719" s="418" t="e">
        <x:f t="shared" si="20">HYPERLINK("#'山海经原文总库'!A3","↩ 返回目录")</x:f>
        <x:v>HYPERLINK is not implemented. linkLocation=#'山海经原文总库'!A3, friendlyName=↩ 返回目录</x:v>
      </x:c>
      <x:c r="I1719" s="416"/>
      <x:c r="J1719" s="416"/>
      <x:c r="K1719" s="416" t="str">
        <x:v>待同名检索｜待建档</x:v>
      </x:c>
    </x:row>
    <x:row r="1720" ht="52" hidden="0" customHeight="1">
      <x:c r="A1720" s="415" t="str">
        <x:v>SHJ-16-038-1</x:v>
      </x:c>
      <x:c r="B1720" s="415" t="str">
        <x:v>卷十六 《大荒西經》</x:v>
      </x:c>
      <x:c r="C1720" s="416" t="str">
        <x:v>有寒荒之國。有二人女祭、女薎。</x:v>
      </x:c>
      <x:c r="D1720" s="415" t="str">
        <x:v>寒荒國</x:v>
      </x:c>
      <x:c r="E1720" s="415" t="str">
        <x:v>國家／族群</x:v>
      </x:c>
      <x:c r="F1720" s="417"/>
      <x:c r="G1720" s="416" t="str">
        <x:v>标点与分段参考《山海经校注》；正文对读：https://ctext.org/shan-hai-jing/da-huang-xi-jing/zh</x:v>
      </x:c>
      <x:c r="H1720" s="418" t="e">
        <x:f t="shared" si="20">HYPERLINK("#'山海经原文总库'!A3","↩ 返回目录")</x:f>
        <x:v>HYPERLINK is not implemented. linkLocation=#'山海经原文总库'!A3, friendlyName=↩ 返回目录</x:v>
      </x:c>
      <x:c r="I1720" s="416"/>
      <x:c r="J1720" s="416"/>
      <x:c r="K1720" s="416" t="str">
        <x:v>待同名检索｜待建档</x:v>
      </x:c>
    </x:row>
    <x:row r="1721" ht="52" hidden="0" customHeight="1">
      <x:c r="A1721" s="415" t="str">
        <x:v>SHJ-16-039-1</x:v>
      </x:c>
      <x:c r="B1721" s="415" t="str">
        <x:v>卷十六 《大荒西經》</x:v>
      </x:c>
      <x:c r="C1721" s="416" t="str">
        <x:v>有壽麻之國。南嶽娶州山女，名曰女虔。女虔生季格，季格生壽麻。壽麻正立無景，疾呼無響。爰有大暑，不可以往。</x:v>
      </x:c>
      <x:c r="D1721" s="415" t="str">
        <x:v>壽麻國</x:v>
      </x:c>
      <x:c r="E1721" s="415" t="str">
        <x:v>國家／族群</x:v>
      </x:c>
      <x:c r="F1721" s="417"/>
      <x:c r="G1721" s="416" t="str">
        <x:v>标点与分段参考《山海经校注》；正文对读：https://ctext.org/shan-hai-jing/da-huang-xi-jing/zh</x:v>
      </x:c>
      <x:c r="H1721" s="418" t="e">
        <x:f t="shared" si="20">HYPERLINK("#'山海经原文总库'!A3","↩ 返回目录")</x:f>
        <x:v>HYPERLINK is not implemented. linkLocation=#'山海经原文总库'!A3, friendlyName=↩ 返回目录</x:v>
      </x:c>
      <x:c r="I1721" s="416"/>
      <x:c r="J1721" s="416"/>
      <x:c r="K1721" s="416" t="str">
        <x:v>待同名检索｜待建档</x:v>
      </x:c>
    </x:row>
    <x:row r="1722" ht="52" hidden="0" customHeight="1">
      <x:c r="A1722" s="415" t="str">
        <x:v>SHJ-16-039-2</x:v>
      </x:c>
      <x:c r="B1722" s="415" t="str">
        <x:v>卷十六 《大荒西經》</x:v>
      </x:c>
      <x:c r="C1722" s="416"/>
      <x:c r="D1722" s="415" t="str">
        <x:v>州山</x:v>
      </x:c>
      <x:c r="E1722" s="415" t="str">
        <x:v>山／丘</x:v>
      </x:c>
      <x:c r="F1722" s="417"/>
      <x:c r="G1722" s="416" t="str">
        <x:v>标点与分段参考《山海经校注》；正文对读：https://ctext.org/shan-hai-jing/da-huang-xi-jing/zh</x:v>
      </x:c>
      <x:c r="H1722" s="418" t="e">
        <x:f t="shared" si="20">HYPERLINK("#'山海经原文总库'!A3","↩ 返回目录")</x:f>
        <x:v>HYPERLINK is not implemented. linkLocation=#'山海经原文总库'!A3, friendlyName=↩ 返回目录</x:v>
      </x:c>
      <x:c r="I1722" s="416"/>
      <x:c r="J1722" s="416"/>
      <x:c r="K1722" s="416" t="str">
        <x:v>待同名检索｜待建档</x:v>
      </x:c>
    </x:row>
    <x:row r="1723" ht="52" hidden="0" customHeight="1">
      <x:c r="A1723" s="415" t="str">
        <x:v>SHJ-16-040-1</x:v>
      </x:c>
      <x:c r="B1723" s="415" t="str">
        <x:v>卷十六 《大荒西經》</x:v>
      </x:c>
      <x:c r="C1723" s="416" t="str">
        <x:v>有人無首，操戈盾立，名曰夏耕之屍。故成湯伐夏桀於章山，克之，斬耕厥前。耕既立，無首，走厥咎，乃降於巫山。</x:v>
      </x:c>
      <x:c r="D1723" s="415" t="str">
        <x:v>章山</x:v>
      </x:c>
      <x:c r="E1723" s="415" t="str">
        <x:v>山／丘</x:v>
      </x:c>
      <x:c r="F1723" s="417"/>
      <x:c r="G1723" s="416" t="str">
        <x:v>标点与分段参考《山海经校注》；正文对读：https://ctext.org/shan-hai-jing/da-huang-xi-jing/zh</x:v>
      </x:c>
      <x:c r="H1723" s="418" t="e">
        <x:f t="shared" si="20">HYPERLINK("#'山海经原文总库'!A3","↩ 返回目录")</x:f>
        <x:v>HYPERLINK is not implemented. linkLocation=#'山海经原文总库'!A3, friendlyName=↩ 返回目录</x:v>
      </x:c>
      <x:c r="I1723" s="416"/>
      <x:c r="J1723" s="416"/>
      <x:c r="K1723" s="416" t="str">
        <x:v>待同名检索｜待建档</x:v>
      </x:c>
    </x:row>
    <x:row r="1724" ht="52" hidden="0" customHeight="1">
      <x:c r="A1724" s="415" t="str">
        <x:v>SHJ-16-040-2</x:v>
      </x:c>
      <x:c r="B1724" s="415" t="str">
        <x:v>卷十六 《大荒西經》</x:v>
      </x:c>
      <x:c r="C1724" s="416"/>
      <x:c r="D1724" s="415" t="str">
        <x:v>巫山</x:v>
      </x:c>
      <x:c r="E1724" s="415" t="str">
        <x:v>山／丘</x:v>
      </x:c>
      <x:c r="F1724" s="417"/>
      <x:c r="G1724" s="416" t="str">
        <x:v>标点与分段参考《山海经校注》；正文对读：https://ctext.org/shan-hai-jing/da-huang-xi-jing/zh</x:v>
      </x:c>
      <x:c r="H1724" s="418" t="e">
        <x:f t="shared" si="20">HYPERLINK("#'山海经原文总库'!A3","↩ 返回目录")</x:f>
        <x:v>HYPERLINK is not implemented. linkLocation=#'山海经原文总库'!A3, friendlyName=↩ 返回目录</x:v>
      </x:c>
      <x:c r="I1724" s="416"/>
      <x:c r="J1724" s="416"/>
      <x:c r="K1724" s="416" t="str">
        <x:v>待同名检索｜待建档</x:v>
      </x:c>
    </x:row>
    <x:row r="1725" ht="52" hidden="0" customHeight="1">
      <x:c r="A1725" s="415" t="str">
        <x:v>SHJ-16-041-1</x:v>
      </x:c>
      <x:c r="B1725" s="415" t="str">
        <x:v>卷十六 《大荒西經》</x:v>
      </x:c>
      <x:c r="C1725" s="416" t="str">
        <x:v>有人名曰吳回，奇左，是無右臂。</x:v>
      </x:c>
      <x:c r="D1725" s="415"/>
      <x:c r="E1725" s="415"/>
      <x:c r="F1725" s="417"/>
      <x:c r="G1725" s="416" t="str">
        <x:v>标点与分段参考《山海经校注》；正文对读：https://ctext.org/shan-hai-jing/da-huang-xi-jing/zh</x:v>
      </x:c>
      <x:c r="H1725" s="418" t="e">
        <x:f>HYPERLINK("#'山海经原文总库'!A3","↩ 返回目录")</x:f>
        <x:v>HYPERLINK is not implemented. linkLocation=#'山海经原文总库'!A3, friendlyName=↩ 返回目录</x:v>
      </x:c>
      <x:c r="I1725" s="416"/>
      <x:c r="J1725" s="416"/>
      <x:c r="K1725" s="416" t="str">
        <x:v>经文已收录｜非地点行</x:v>
      </x:c>
    </x:row>
    <x:row r="1726" ht="52" hidden="0" customHeight="1">
      <x:c r="A1726" s="415" t="str">
        <x:v>SHJ-16-042-1</x:v>
      </x:c>
      <x:c r="B1726" s="415" t="str">
        <x:v>卷十六 《大荒西經》</x:v>
      </x:c>
      <x:c r="C1726" s="416" t="str">
        <x:v>有蓋山之國。有樹，赤皮支幹，青葉，名曰朱木。</x:v>
      </x:c>
      <x:c r="D1726" s="415" t="str">
        <x:v>蓋山國</x:v>
      </x:c>
      <x:c r="E1726" s="415" t="str">
        <x:v>國家／族群</x:v>
      </x:c>
      <x:c r="F1726" s="417"/>
      <x:c r="G1726" s="416" t="str">
        <x:v>标点与分段参考《山海经校注》；正文对读：https://ctext.org/shan-hai-jing/da-huang-xi-jing/zh</x:v>
      </x:c>
      <x:c r="H1726" s="418" t="e">
        <x:f>HYPERLINK("#'山海经原文总库'!A3","↩ 返回目录")</x:f>
        <x:v>HYPERLINK is not implemented. linkLocation=#'山海经原文总库'!A3, friendlyName=↩ 返回目录</x:v>
      </x:c>
      <x:c r="I1726" s="416"/>
      <x:c r="J1726" s="416"/>
      <x:c r="K1726" s="416" t="str">
        <x:v>待同名检索｜待建档</x:v>
      </x:c>
    </x:row>
    <x:row r="1727" ht="52" hidden="0" customHeight="1">
      <x:c r="A1727" s="415" t="str">
        <x:v>SHJ-16-043-1</x:v>
      </x:c>
      <x:c r="B1727" s="415" t="str">
        <x:v>卷十六 《大荒西經》</x:v>
      </x:c>
      <x:c r="C1727" s="416" t="str">
        <x:v>有一臂民。</x:v>
      </x:c>
      <x:c r="D1727" s="415" t="str">
        <x:v>一臂民</x:v>
      </x:c>
      <x:c r="E1727" s="415" t="str">
        <x:v>國家／族群</x:v>
      </x:c>
      <x:c r="F1727" s="417"/>
      <x:c r="G1727" s="416" t="str">
        <x:v>标点与分段参考《山海经校注》；正文对读：https://ctext.org/shan-hai-jing/da-huang-xi-jing/zh</x:v>
      </x:c>
      <x:c r="H1727" s="418" t="e">
        <x:f>HYPERLINK("#'山海经原文总库'!A3","↩ 返回目录")</x:f>
        <x:v>HYPERLINK is not implemented. linkLocation=#'山海经原文总库'!A3, friendlyName=↩ 返回目录</x:v>
      </x:c>
      <x:c r="I1727" s="416"/>
      <x:c r="J1727" s="416"/>
      <x:c r="K1727" s="416" t="str">
        <x:v>待同名检索｜待建档</x:v>
      </x:c>
    </x:row>
    <x:row r="1728" ht="52" hidden="0" customHeight="1">
      <x:c r="A1728" s="415" t="str">
        <x:v>SHJ-16-044-1</x:v>
      </x:c>
      <x:c r="B1728" s="415" t="str">
        <x:v>卷十六 《大荒西經》</x:v>
      </x:c>
      <x:c r="C1728" s="416" t="str">
        <x:v>大荒之中，有山名曰大荒之山，日月所入。有人焉三面，是顓頊之子，三面一臂，三面之人不死，是謂大荒之野。</x:v>
      </x:c>
      <x:c r="D1728" s="415" t="str">
        <x:v>大荒山</x:v>
      </x:c>
      <x:c r="E1728" s="415" t="str">
        <x:v>區域</x:v>
      </x:c>
      <x:c r="F1728" s="417"/>
      <x:c r="G1728" s="416" t="str">
        <x:v>标点与分段参考《山海经校注》；正文对读：https://ctext.org/shan-hai-jing/da-huang-xi-jing/zh</x:v>
      </x:c>
      <x:c r="H1728" s="418" t="e">
        <x:f>HYPERLINK("#'山海经原文总库'!A3","↩ 返回目录")</x:f>
        <x:v>HYPERLINK is not implemented. linkLocation=#'山海经原文总库'!A3, friendlyName=↩ 返回目录</x:v>
      </x:c>
      <x:c r="I1728" s="416"/>
      <x:c r="J1728" s="416"/>
      <x:c r="K1728" s="416" t="str">
        <x:v>待同名检索｜待建档</x:v>
      </x:c>
    </x:row>
    <x:row r="1729" ht="52" hidden="0" customHeight="1">
      <x:c r="A1729" s="415" t="str">
        <x:v>SHJ-16-044-2</x:v>
      </x:c>
      <x:c r="B1729" s="415" t="str">
        <x:v>卷十六 《大荒西經》</x:v>
      </x:c>
      <x:c r="C1729" s="416"/>
      <x:c r="D1729" s="415" t="str">
        <x:v>大荒之野</x:v>
      </x:c>
      <x:c r="E1729" s="415" t="str">
        <x:v>區域</x:v>
      </x:c>
      <x:c r="F1729" s="417"/>
      <x:c r="G1729" s="416" t="str">
        <x:v>标点与分段参考《山海经校注》；正文对读：https://ctext.org/shan-hai-jing/da-huang-xi-jing/zh</x:v>
      </x:c>
      <x:c r="H1729" s="418" t="e">
        <x:f>HYPERLINK("#'山海经原文总库'!A3","↩ 返回目录")</x:f>
        <x:v>HYPERLINK is not implemented. linkLocation=#'山海经原文总库'!A3, friendlyName=↩ 返回目录</x:v>
      </x:c>
      <x:c r="I1729" s="416"/>
      <x:c r="J1729" s="416"/>
      <x:c r="K1729" s="416" t="str">
        <x:v>待同名检索｜待建档</x:v>
      </x:c>
    </x:row>
    <x:row r="1730" ht="52" hidden="0" customHeight="1">
      <x:c r="A1730" s="415" t="str">
        <x:v>SHJ-16-045-1</x:v>
      </x:c>
      <x:c r="B1730" s="415" t="str">
        <x:v>卷十六 《大荒西經》</x:v>
      </x:c>
      <x:c r="C1730" s="416" t="str">
        <x:v>西南海之外，赤水之南，流沙之西，有人珥兩青蛇，乘兩龍，名曰夏後開。開上三嬪於天，得九辯與九歌以下。此天穆之野，高二千仞，開焉得始歌九招。</x:v>
      </x:c>
      <x:c r="D1730" s="415" t="str">
        <x:v>天穆之野</x:v>
      </x:c>
      <x:c r="E1730" s="415" t="str">
        <x:v>區域</x:v>
      </x:c>
      <x:c r="F1730" s="417"/>
      <x:c r="G1730" s="416" t="str">
        <x:v>标点与分段参考《山海经校注》；正文对读：https://ctext.org/shan-hai-jing/da-huang-xi-jing/zh</x:v>
      </x:c>
      <x:c r="H1730" s="418" t="e">
        <x:f>HYPERLINK("#'山海经原文总库'!A3","↩ 返回目录")</x:f>
        <x:v>HYPERLINK is not implemented. linkLocation=#'山海经原文总库'!A3, friendlyName=↩ 返回目录</x:v>
      </x:c>
      <x:c r="I1730" s="416"/>
      <x:c r="J1730" s="416"/>
      <x:c r="K1730" s="416" t="str">
        <x:v>待同名检索｜待建档</x:v>
      </x:c>
    </x:row>
    <x:row r="1731" ht="52" hidden="0" customHeight="1">
      <x:c r="A1731" s="415" t="str">
        <x:v>SHJ-16-045-2</x:v>
      </x:c>
      <x:c r="B1731" s="415" t="str">
        <x:v>卷十六 《大荒西經》</x:v>
      </x:c>
      <x:c r="C1731" s="416"/>
      <x:c r="D1731" s="415" t="str">
        <x:v>赤水</x:v>
      </x:c>
      <x:c r="E1731" s="415" t="str">
        <x:v>水系／水域</x:v>
      </x:c>
      <x:c r="F1731" s="417"/>
      <x:c r="G1731" s="416" t="str">
        <x:v>标点与分段参考《山海经校注》；正文对读：https://ctext.org/shan-hai-jing/da-huang-xi-jing/zh</x:v>
      </x:c>
      <x:c r="H1731" s="418" t="e">
        <x:f>HYPERLINK("#'山海经原文总库'!A3","↩ 返回目录")</x:f>
        <x:v>HYPERLINK is not implemented. linkLocation=#'山海经原文总库'!A3, friendlyName=↩ 返回目录</x:v>
      </x:c>
      <x:c r="I1731" s="416"/>
      <x:c r="J1731" s="416"/>
      <x:c r="K1731" s="416" t="str">
        <x:v>待同名检索｜待建档</x:v>
      </x:c>
    </x:row>
    <x:row r="1732" ht="52" hidden="0" customHeight="1">
      <x:c r="A1732" s="415" t="str">
        <x:v>SHJ-16-045-3</x:v>
      </x:c>
      <x:c r="B1732" s="415" t="str">
        <x:v>卷十六 《大荒西經》</x:v>
      </x:c>
      <x:c r="C1732" s="416"/>
      <x:c r="D1732" s="415" t="str">
        <x:v>流沙</x:v>
      </x:c>
      <x:c r="E1732" s="415" t="str">
        <x:v>區域</x:v>
      </x:c>
      <x:c r="F1732" s="417"/>
      <x:c r="G1732" s="416" t="str">
        <x:v>标点与分段参考《山海经校注》；正文对读：https://ctext.org/shan-hai-jing/da-huang-xi-jing/zh</x:v>
      </x:c>
      <x:c r="H1732" s="418" t="e">
        <x:f>HYPERLINK("#'山海经原文总库'!A3","↩ 返回目录")</x:f>
        <x:v>HYPERLINK is not implemented. linkLocation=#'山海经原文总库'!A3, friendlyName=↩ 返回目录</x:v>
      </x:c>
      <x:c r="I1732" s="416"/>
      <x:c r="J1732" s="416"/>
      <x:c r="K1732" s="416" t="str">
        <x:v>待同名检索｜待建档</x:v>
      </x:c>
    </x:row>
    <x:row r="1733" ht="52" hidden="0" customHeight="1">
      <x:c r="A1733" s="415" t="str">
        <x:v>SHJ-16-046-1</x:v>
      </x:c>
      <x:c r="B1733" s="415" t="str">
        <x:v>卷十六 《大荒西經》</x:v>
      </x:c>
      <x:c r="C1733" s="416" t="str">
        <x:v>有互人之國。炎帝之孫名曰靈恝，靈恝生互人，是能上下於天。</x:v>
      </x:c>
      <x:c r="D1733" s="415" t="str">
        <x:v>互人國</x:v>
      </x:c>
      <x:c r="E1733" s="415" t="str">
        <x:v>國家／族群</x:v>
      </x:c>
      <x:c r="F1733" s="417"/>
      <x:c r="G1733" s="416" t="str">
        <x:v>标点与分段参考《山海经校注》；正文对读：https://ctext.org/shan-hai-jing/da-huang-xi-jing/zh</x:v>
      </x:c>
      <x:c r="H1733" s="418" t="e">
        <x:f>HYPERLINK("#'山海经原文总库'!A3","↩ 返回目录")</x:f>
        <x:v>HYPERLINK is not implemented. linkLocation=#'山海经原文总库'!A3, friendlyName=↩ 返回目录</x:v>
      </x:c>
      <x:c r="I1733" s="416"/>
      <x:c r="J1733" s="416"/>
      <x:c r="K1733" s="416" t="str">
        <x:v>待同名检索｜待建档</x:v>
      </x:c>
    </x:row>
    <x:row r="1734" ht="52" hidden="0" customHeight="1">
      <x:c r="A1734" s="415" t="str">
        <x:v>SHJ-16-047-1</x:v>
      </x:c>
      <x:c r="B1734" s="415" t="str">
        <x:v>卷十六 《大荒西經》</x:v>
      </x:c>
      <x:c r="C1734" s="416" t="str">
        <x:v>有魚偏枯，名曰魚婦。顓頊死即復甦。風道北來，天乃大水泉，蛇乃化爲魚，是爲魚婦。顓頊死即復甦。</x:v>
      </x:c>
      <x:c r="D1734" s="415"/>
      <x:c r="E1734" s="415"/>
      <x:c r="F1734" s="417"/>
      <x:c r="G1734" s="416" t="str">
        <x:v>标点与分段参考《山海经校注》；正文对读：https://ctext.org/shan-hai-jing/da-huang-xi-jing/zh</x:v>
      </x:c>
      <x:c r="H1734" s="418" t="e">
        <x:f>HYPERLINK("#'山海经原文总库'!A3","↩ 返回目录")</x:f>
        <x:v>HYPERLINK is not implemented. linkLocation=#'山海经原文总库'!A3, friendlyName=↩ 返回目录</x:v>
      </x:c>
      <x:c r="I1734" s="416"/>
      <x:c r="J1734" s="416"/>
      <x:c r="K1734" s="416" t="str">
        <x:v>经文已收录｜非地点行</x:v>
      </x:c>
    </x:row>
    <x:row r="1735" ht="52" hidden="0" customHeight="1">
      <x:c r="A1735" s="415" t="str">
        <x:v>SHJ-16-048-1</x:v>
      </x:c>
      <x:c r="B1735" s="415" t="str">
        <x:v>卷十六 《大荒西經》</x:v>
      </x:c>
      <x:c r="C1735" s="416" t="str">
        <x:v>有青鳥，身黃，赤足，六首，名曰（鳥蜀）鳥。</x:v>
      </x:c>
      <x:c r="D1735" s="415"/>
      <x:c r="E1735" s="415"/>
      <x:c r="F1735" s="417"/>
      <x:c r="G1735" s="416" t="str">
        <x:v>标点与分段参考《山海经校注》；正文对读：https://ctext.org/shan-hai-jing/da-huang-xi-jing/zh</x:v>
      </x:c>
      <x:c r="H1735" s="418" t="e">
        <x:f>HYPERLINK("#'山海经原文总库'!A3","↩ 返回目录")</x:f>
        <x:v>HYPERLINK is not implemented. linkLocation=#'山海经原文总库'!A3, friendlyName=↩ 返回目录</x:v>
      </x:c>
      <x:c r="I1735" s="416"/>
      <x:c r="J1735" s="416"/>
      <x:c r="K1735" s="416" t="str">
        <x:v>经文已收录｜非地点行</x:v>
      </x:c>
    </x:row>
    <x:row r="1736" ht="52" hidden="0" customHeight="1">
      <x:c r="A1736" s="415" t="str">
        <x:v>SHJ-16-049-1</x:v>
      </x:c>
      <x:c r="B1736" s="415" t="str">
        <x:v>卷十六 《大荒西經》</x:v>
      </x:c>
      <x:c r="C1736" s="416" t="str">
        <x:v>有大巫山。有金之山。西南，大荒之中隅，有偏句、常羊之山。</x:v>
      </x:c>
      <x:c r="D1736" s="415" t="str">
        <x:v>大巫山</x:v>
      </x:c>
      <x:c r="E1736" s="415" t="str">
        <x:v>山／丘</x:v>
      </x:c>
      <x:c r="F1736" s="417"/>
      <x:c r="G1736" s="416" t="str">
        <x:v>标点与分段参考《山海经校注》；正文对读：https://ctext.org/shan-hai-jing/da-huang-xi-jing/zh</x:v>
      </x:c>
      <x:c r="H1736" s="418" t="e">
        <x:f>HYPERLINK("#'山海经原文总库'!A3","↩ 返回目录")</x:f>
        <x:v>HYPERLINK is not implemented. linkLocation=#'山海经原文总库'!A3, friendlyName=↩ 返回目录</x:v>
      </x:c>
      <x:c r="I1736" s="416"/>
      <x:c r="J1736" s="416"/>
      <x:c r="K1736" s="416" t="str">
        <x:v>待同名检索｜待建档</x:v>
      </x:c>
    </x:row>
    <x:row r="1737" ht="52" hidden="0" customHeight="1">
      <x:c r="A1737" s="415" t="str">
        <x:v>SHJ-16-049-2</x:v>
      </x:c>
      <x:c r="B1737" s="415" t="str">
        <x:v>卷十六 《大荒西經》</x:v>
      </x:c>
      <x:c r="C1737" s="416"/>
      <x:c r="D1737" s="415" t="str">
        <x:v>金山</x:v>
      </x:c>
      <x:c r="E1737" s="415" t="str">
        <x:v>山／丘</x:v>
      </x:c>
      <x:c r="F1737" s="417"/>
      <x:c r="G1737" s="416" t="str">
        <x:v>标点与分段参考《山海经校注》；正文对读：https://ctext.org/shan-hai-jing/da-huang-xi-jing/zh</x:v>
      </x:c>
      <x:c r="H1737" s="418" t="e">
        <x:f>HYPERLINK("#'山海经原文总库'!A3","↩ 返回目录")</x:f>
        <x:v>HYPERLINK is not implemented. linkLocation=#'山海经原文总库'!A3, friendlyName=↩ 返回目录</x:v>
      </x:c>
      <x:c r="I1737" s="416"/>
      <x:c r="J1737" s="416"/>
      <x:c r="K1737" s="416" t="str">
        <x:v>待同名检索｜待建档</x:v>
      </x:c>
    </x:row>
    <x:row r="1738" ht="52" hidden="0" customHeight="1">
      <x:c r="A1738" s="415" t="str">
        <x:v>SHJ-16-049-3</x:v>
      </x:c>
      <x:c r="B1738" s="415" t="str">
        <x:v>卷十六 《大荒西經》</x:v>
      </x:c>
      <x:c r="C1738" s="416"/>
      <x:c r="D1738" s="415" t="str">
        <x:v>偏句山</x:v>
      </x:c>
      <x:c r="E1738" s="415" t="str">
        <x:v>山／丘</x:v>
      </x:c>
      <x:c r="F1738" s="417"/>
      <x:c r="G1738" s="416" t="str">
        <x:v>标点与分段参考《山海经校注》；正文对读：https://ctext.org/shan-hai-jing/da-huang-xi-jing/zh</x:v>
      </x:c>
      <x:c r="H1738" s="418" t="e">
        <x:f>HYPERLINK("#'山海经原文总库'!A3","↩ 返回目录")</x:f>
        <x:v>HYPERLINK is not implemented. linkLocation=#'山海经原文总库'!A3, friendlyName=↩ 返回目录</x:v>
      </x:c>
      <x:c r="I1738" s="416"/>
      <x:c r="J1738" s="416"/>
      <x:c r="K1738" s="416" t="str">
        <x:v>待同名检索｜待建档</x:v>
      </x:c>
    </x:row>
    <x:row r="1739" ht="52" hidden="0" customHeight="1">
      <x:c r="A1739" s="415" t="str">
        <x:v>SHJ-16-049-4</x:v>
      </x:c>
      <x:c r="B1739" s="415" t="str">
        <x:v>卷十六 《大荒西經》</x:v>
      </x:c>
      <x:c r="C1739" s="416"/>
      <x:c r="D1739" s="415" t="str">
        <x:v>常羊山</x:v>
      </x:c>
      <x:c r="E1739" s="415" t="str">
        <x:v>山／丘</x:v>
      </x:c>
      <x:c r="F1739" s="417"/>
      <x:c r="G1739" s="416" t="str">
        <x:v>标点与分段参考《山海经校注》；正文对读：https://ctext.org/shan-hai-jing/da-huang-xi-jing/zh</x:v>
      </x:c>
      <x:c r="H1739" s="418" t="e">
        <x:f>HYPERLINK("#'山海经原文总库'!A3","↩ 返回目录")</x:f>
        <x:v>HYPERLINK is not implemented. linkLocation=#'山海经原文总库'!A3, friendlyName=↩ 返回目录</x:v>
      </x:c>
      <x:c r="I1739" s="416"/>
      <x:c r="J1739" s="416"/>
      <x:c r="K1739" s="416" t="str">
        <x:v>待同名检索｜待建档</x:v>
      </x:c>
    </x:row>
    <x:row r="1740" ht="52" hidden="0" customHeight="1">
      <x:c r="A1740" s="415" t="str">
        <x:v>SHJ-17-001-1</x:v>
      </x:c>
      <x:c r="B1740" s="415" t="str">
        <x:v>卷十七 《大荒北經》</x:v>
      </x:c>
      <x:c r="C1740" s="416" t="str">
        <x:v>東北海之外，大荒之中，河水之間，附禺之山，帝顓頊與九嬪葬焉。爰有（丘鳥）久、文貝、離俞、鸞鳥、皇鳥、大物、小物。有青鳥、琅鳥、玄鳥、黃鳥、虎、豹、熊、羆、黃蛇、視肉、璇、瑰、瑤、碧，皆出衛於山。丘方圓三百里，丘南帝俊竹林在焉，大可爲舟。竹南有赤澤水，名曰封淵。有三桑無枝。丘西有沉淵，顓頊所浴。</x:v>
      </x:c>
      <x:c r="D1740" s="415" t="str">
        <x:v>東北海之外</x:v>
      </x:c>
      <x:c r="E1740" s="415" t="str">
        <x:v>區域</x:v>
      </x:c>
      <x:c r="F1740" s="417"/>
      <x:c r="G1740" s="416" t="str">
        <x:v>标点与分段参考《山海经校注》；正文对读：https://ctext.org/shan-hai-jing/da-huang-bei-jing/zh</x:v>
      </x:c>
      <x:c r="H1740" s="418" t="e">
        <x:f>HYPERLINK("#'山海经原文总库'!A3","↩ 返回目录")</x:f>
        <x:v>HYPERLINK is not implemented. linkLocation=#'山海经原文总库'!A3, friendlyName=↩ 返回目录</x:v>
      </x:c>
      <x:c r="I1740" s="416"/>
      <x:c r="J1740" s="416"/>
      <x:c r="K1740" s="416" t="str">
        <x:v>待同名检索｜待建档</x:v>
      </x:c>
    </x:row>
    <x:row r="1741" ht="52" hidden="0" customHeight="1">
      <x:c r="A1741" s="415" t="str">
        <x:v>SHJ-17-001-2</x:v>
      </x:c>
      <x:c r="B1741" s="415" t="str">
        <x:v>卷十七 《大荒北經》</x:v>
      </x:c>
      <x:c r="C1741" s="416"/>
      <x:c r="D1741" s="415" t="str">
        <x:v>大荒</x:v>
      </x:c>
      <x:c r="E1741" s="415" t="str">
        <x:v>區域</x:v>
      </x:c>
      <x:c r="F1741" s="417"/>
      <x:c r="G1741" s="416" t="str">
        <x:v>标点与分段参考《山海经校注》；正文对读：https://ctext.org/shan-hai-jing/da-huang-bei-jing/zh</x:v>
      </x:c>
      <x:c r="H1741" s="418" t="e">
        <x:f>HYPERLINK("#'山海经原文总库'!A3","↩ 返回目录")</x:f>
        <x:v>HYPERLINK is not implemented. linkLocation=#'山海经原文总库'!A3, friendlyName=↩ 返回目录</x:v>
      </x:c>
      <x:c r="I1741" s="416"/>
      <x:c r="J1741" s="416"/>
      <x:c r="K1741" s="416" t="str">
        <x:v>待同名检索｜待建档</x:v>
      </x:c>
    </x:row>
    <x:row r="1742" ht="52" hidden="0" customHeight="1">
      <x:c r="A1742" s="415" t="str">
        <x:v>SHJ-17-001-3</x:v>
      </x:c>
      <x:c r="B1742" s="415" t="str">
        <x:v>卷十七 《大荒北經》</x:v>
      </x:c>
      <x:c r="C1742" s="416"/>
      <x:c r="D1742" s="415" t="str">
        <x:v>河水</x:v>
      </x:c>
      <x:c r="E1742" s="415" t="str">
        <x:v>水系／水域</x:v>
      </x:c>
      <x:c r="F1742" s="417"/>
      <x:c r="G1742" s="416" t="str">
        <x:v>标点与分段参考《山海经校注》；正文对读：https://ctext.org/shan-hai-jing/da-huang-bei-jing/zh</x:v>
      </x:c>
      <x:c r="H1742" s="418" t="e">
        <x:f>HYPERLINK("#'山海经原文总库'!A3","↩ 返回目录")</x:f>
        <x:v>HYPERLINK is not implemented. linkLocation=#'山海经原文总库'!A3, friendlyName=↩ 返回目录</x:v>
      </x:c>
      <x:c r="I1742" s="416"/>
      <x:c r="J1742" s="416"/>
      <x:c r="K1742" s="416" t="str">
        <x:v>待同名检索｜待建档</x:v>
      </x:c>
    </x:row>
    <x:row r="1743" ht="52" hidden="0" customHeight="1">
      <x:c r="A1743" s="415" t="str">
        <x:v>SHJ-17-001-4</x:v>
      </x:c>
      <x:c r="B1743" s="415" t="str">
        <x:v>卷十七 《大荒北經》</x:v>
      </x:c>
      <x:c r="C1743" s="416"/>
      <x:c r="D1743" s="415" t="str">
        <x:v>附禺山</x:v>
      </x:c>
      <x:c r="E1743" s="415" t="str">
        <x:v>山／丘</x:v>
      </x:c>
      <x:c r="F1743" s="417"/>
      <x:c r="G1743" s="416" t="str">
        <x:v>标点与分段参考《山海经校注》；正文对读：https://ctext.org/shan-hai-jing/da-huang-bei-jing/zh</x:v>
      </x:c>
      <x:c r="H1743" s="418" t="e">
        <x:f>HYPERLINK("#'山海经原文总库'!A3","↩ 返回目录")</x:f>
        <x:v>HYPERLINK is not implemented. linkLocation=#'山海经原文总库'!A3, friendlyName=↩ 返回目录</x:v>
      </x:c>
      <x:c r="I1743" s="416"/>
      <x:c r="J1743" s="416"/>
      <x:c r="K1743" s="416" t="str">
        <x:v>待同名检索｜待建档</x:v>
      </x:c>
    </x:row>
    <x:row r="1744" ht="52" hidden="0" customHeight="1">
      <x:c r="A1744" s="415" t="str">
        <x:v>SHJ-17-001-5</x:v>
      </x:c>
      <x:c r="B1744" s="415" t="str">
        <x:v>卷十七 《大荒北經》</x:v>
      </x:c>
      <x:c r="C1744" s="416"/>
      <x:c r="D1744" s="415" t="str">
        <x:v>顓頊葬地</x:v>
      </x:c>
      <x:c r="E1744" s="415" t="str">
        <x:v>墓葬</x:v>
      </x:c>
      <x:c r="F1744" s="417"/>
      <x:c r="G1744" s="416" t="str">
        <x:v>标点与分段参考《山海经校注》；正文对读：https://ctext.org/shan-hai-jing/da-huang-bei-jing/zh</x:v>
      </x:c>
      <x:c r="H1744" s="418" t="e">
        <x:f>HYPERLINK("#'山海经原文总库'!A3","↩ 返回目录")</x:f>
        <x:v>HYPERLINK is not implemented. linkLocation=#'山海经原文总库'!A3, friendlyName=↩ 返回目录</x:v>
      </x:c>
      <x:c r="I1744" s="416"/>
      <x:c r="J1744" s="416"/>
      <x:c r="K1744" s="416" t="str">
        <x:v>待同名检索｜待建档</x:v>
      </x:c>
    </x:row>
    <x:row r="1745" ht="52" hidden="0" customHeight="1">
      <x:c r="A1745" s="415" t="str">
        <x:v>SHJ-17-001-6</x:v>
      </x:c>
      <x:c r="B1745" s="415" t="str">
        <x:v>卷十七 《大荒北經》</x:v>
      </x:c>
      <x:c r="C1745" s="416"/>
      <x:c r="D1745" s="415" t="str">
        <x:v>帝俊竹林</x:v>
      </x:c>
      <x:c r="E1745" s="415" t="str">
        <x:v>地理名稱</x:v>
      </x:c>
      <x:c r="F1745" s="417"/>
      <x:c r="G1745" s="416" t="str">
        <x:v>标点与分段参考《山海经校注》；正文对读：https://ctext.org/shan-hai-jing/da-huang-bei-jing/zh</x:v>
      </x:c>
      <x:c r="H1745" s="418" t="e">
        <x:f>HYPERLINK("#'山海经原文总库'!A3","↩ 返回目录")</x:f>
        <x:v>HYPERLINK is not implemented. linkLocation=#'山海经原文总库'!A3, friendlyName=↩ 返回目录</x:v>
      </x:c>
      <x:c r="I1745" s="416"/>
      <x:c r="J1745" s="416"/>
      <x:c r="K1745" s="416" t="str">
        <x:v>待同名检索｜待建档</x:v>
      </x:c>
    </x:row>
    <x:row r="1746" ht="52" hidden="0" customHeight="1">
      <x:c r="A1746" s="415" t="str">
        <x:v>SHJ-17-001-7</x:v>
      </x:c>
      <x:c r="B1746" s="415" t="str">
        <x:v>卷十七 《大荒北經》</x:v>
      </x:c>
      <x:c r="C1746" s="416"/>
      <x:c r="D1746" s="415" t="str">
        <x:v>赤澤水</x:v>
      </x:c>
      <x:c r="E1746" s="415" t="str">
        <x:v>水系／水域</x:v>
      </x:c>
      <x:c r="F1746" s="417"/>
      <x:c r="G1746" s="416" t="str">
        <x:v>标点与分段参考《山海经校注》；正文对读：https://ctext.org/shan-hai-jing/da-huang-bei-jing/zh</x:v>
      </x:c>
      <x:c r="H1746" s="418" t="e">
        <x:f>HYPERLINK("#'山海经原文总库'!A3","↩ 返回目录")</x:f>
        <x:v>HYPERLINK is not implemented. linkLocation=#'山海经原文总库'!A3, friendlyName=↩ 返回目录</x:v>
      </x:c>
      <x:c r="I1746" s="416"/>
      <x:c r="J1746" s="416"/>
      <x:c r="K1746" s="416" t="str">
        <x:v>待同名检索｜待建档</x:v>
      </x:c>
    </x:row>
    <x:row r="1747" ht="52" hidden="0" customHeight="1">
      <x:c r="A1747" s="415" t="str">
        <x:v>SHJ-17-001-8</x:v>
      </x:c>
      <x:c r="B1747" s="415" t="str">
        <x:v>卷十七 《大荒北經》</x:v>
      </x:c>
      <x:c r="C1747" s="416"/>
      <x:c r="D1747" s="415" t="str">
        <x:v>封淵</x:v>
      </x:c>
      <x:c r="E1747" s="415" t="str">
        <x:v>水系／水域</x:v>
      </x:c>
      <x:c r="F1747" s="417"/>
      <x:c r="G1747" s="416" t="str">
        <x:v>标点与分段参考《山海经校注》；正文对读：https://ctext.org/shan-hai-jing/da-huang-bei-jing/zh</x:v>
      </x:c>
      <x:c r="H1747" s="418" t="e">
        <x:f>HYPERLINK("#'山海经原文总库'!A3","↩ 返回目录")</x:f>
        <x:v>HYPERLINK is not implemented. linkLocation=#'山海经原文总库'!A3, friendlyName=↩ 返回目录</x:v>
      </x:c>
      <x:c r="I1747" s="416"/>
      <x:c r="J1747" s="416"/>
      <x:c r="K1747" s="416" t="str">
        <x:v>待同名检索｜待建档</x:v>
      </x:c>
    </x:row>
    <x:row r="1748" ht="52" hidden="0" customHeight="1">
      <x:c r="A1748" s="415" t="str">
        <x:v>SHJ-17-001-9</x:v>
      </x:c>
      <x:c r="B1748" s="415" t="str">
        <x:v>卷十七 《大荒北經》</x:v>
      </x:c>
      <x:c r="C1748" s="416"/>
      <x:c r="D1748" s="415" t="str">
        <x:v>沉淵</x:v>
      </x:c>
      <x:c r="E1748" s="415" t="str">
        <x:v>水系／水域</x:v>
      </x:c>
      <x:c r="F1748" s="417"/>
      <x:c r="G1748" s="416" t="str">
        <x:v>标点与分段参考《山海经校注》；正文对读：https://ctext.org/shan-hai-jing/da-huang-bei-jing/zh</x:v>
      </x:c>
      <x:c r="H1748" s="418" t="e">
        <x:f>HYPERLINK("#'山海经原文总库'!A3","↩ 返回目录")</x:f>
        <x:v>HYPERLINK is not implemented. linkLocation=#'山海经原文总库'!A3, friendlyName=↩ 返回目录</x:v>
      </x:c>
      <x:c r="I1748" s="416"/>
      <x:c r="J1748" s="416"/>
      <x:c r="K1748" s="416" t="str">
        <x:v>待同名检索｜待建档</x:v>
      </x:c>
    </x:row>
    <x:row r="1749" ht="52" hidden="0" customHeight="1">
      <x:c r="A1749" s="415" t="str">
        <x:v>SHJ-17-002-1</x:v>
      </x:c>
      <x:c r="B1749" s="415" t="str">
        <x:v>卷十七 《大荒北經》</x:v>
      </x:c>
      <x:c r="C1749" s="416" t="str">
        <x:v>有胡不與之國，烈姓，黍食。</x:v>
      </x:c>
      <x:c r="D1749" s="415" t="str">
        <x:v>胡不與國</x:v>
      </x:c>
      <x:c r="E1749" s="415" t="str">
        <x:v>國家／族群</x:v>
      </x:c>
      <x:c r="F1749" s="417"/>
      <x:c r="G1749" s="416" t="str">
        <x:v>标点与分段参考《山海经校注》；正文对读：https://ctext.org/shan-hai-jing/da-huang-bei-jing/zh</x:v>
      </x:c>
      <x:c r="H1749" s="418" t="e">
        <x:f>HYPERLINK("#'山海经原文总库'!A3","↩ 返回目录")</x:f>
        <x:v>HYPERLINK is not implemented. linkLocation=#'山海经原文总库'!A3, friendlyName=↩ 返回目录</x:v>
      </x:c>
      <x:c r="I1749" s="416"/>
      <x:c r="J1749" s="416"/>
      <x:c r="K1749" s="416" t="str">
        <x:v>待同名检索｜待建档</x:v>
      </x:c>
    </x:row>
    <x:row r="1750" ht="52" hidden="0" customHeight="1">
      <x:c r="A1750" s="415" t="str">
        <x:v>SHJ-17-003-1</x:v>
      </x:c>
      <x:c r="B1750" s="415" t="str">
        <x:v>卷十七 《大荒北經》</x:v>
      </x:c>
      <x:c r="C1750" s="416" t="str">
        <x:v>大荒之中，有山，名曰不鹹。有肅慎氏之國。有蜚蛭，四翼。有蟲，獸首蛇身，名曰琴蟲。</x:v>
      </x:c>
      <x:c r="D1750" s="415" t="str">
        <x:v>不咸山</x:v>
      </x:c>
      <x:c r="E1750" s="415" t="str">
        <x:v>山／丘</x:v>
      </x:c>
      <x:c r="F1750" s="417"/>
      <x:c r="G1750" s="416" t="str">
        <x:v>标点与分段参考《山海经校注》；正文对读：https://ctext.org/shan-hai-jing/da-huang-bei-jing/zh</x:v>
      </x:c>
      <x:c r="H1750" s="418" t="e">
        <x:f>HYPERLINK("#'山海经原文总库'!A3","↩ 返回目录")</x:f>
        <x:v>HYPERLINK is not implemented. linkLocation=#'山海经原文总库'!A3, friendlyName=↩ 返回目录</x:v>
      </x:c>
      <x:c r="I1750" s="416"/>
      <x:c r="J1750" s="416"/>
      <x:c r="K1750" s="416" t="str">
        <x:v>待同名检索｜待建档</x:v>
      </x:c>
    </x:row>
    <x:row r="1751" ht="52" hidden="0" customHeight="1">
      <x:c r="A1751" s="415" t="str">
        <x:v>SHJ-17-003-2</x:v>
      </x:c>
      <x:c r="B1751" s="415" t="str">
        <x:v>卷十七 《大荒北經》</x:v>
      </x:c>
      <x:c r="C1751" s="416"/>
      <x:c r="D1751" s="415" t="str">
        <x:v>肅慎國</x:v>
      </x:c>
      <x:c r="E1751" s="415" t="str">
        <x:v>國家／族群</x:v>
      </x:c>
      <x:c r="F1751" s="417"/>
      <x:c r="G1751" s="416" t="str">
        <x:v>标点与分段参考《山海经校注》；正文对读：https://ctext.org/shan-hai-jing/da-huang-bei-jing/zh</x:v>
      </x:c>
      <x:c r="H1751" s="418" t="e">
        <x:f>HYPERLINK("#'山海经原文总库'!A3","↩ 返回目录")</x:f>
        <x:v>HYPERLINK is not implemented. linkLocation=#'山海经原文总库'!A3, friendlyName=↩ 返回目录</x:v>
      </x:c>
      <x:c r="I1751" s="416"/>
      <x:c r="J1751" s="416"/>
      <x:c r="K1751" s="416" t="str">
        <x:v>待同名检索｜待建档</x:v>
      </x:c>
    </x:row>
    <x:row r="1752" ht="52" hidden="0" customHeight="1">
      <x:c r="A1752" s="415" t="str">
        <x:v>SHJ-17-004-1</x:v>
      </x:c>
      <x:c r="B1752" s="415" t="str">
        <x:v>卷十七 《大荒北經》</x:v>
      </x:c>
      <x:c r="C1752" s="416" t="str">
        <x:v>有人名曰大人。有大人之國，釐姓，黍食。有大青蛇，黃頭，食麈。</x:v>
      </x:c>
      <x:c r="D1752" s="415" t="str">
        <x:v>大人國</x:v>
      </x:c>
      <x:c r="E1752" s="415" t="str">
        <x:v>國家／族群</x:v>
      </x:c>
      <x:c r="F1752" s="417"/>
      <x:c r="G1752" s="416" t="str">
        <x:v>标点与分段参考《山海经校注》；正文对读：https://ctext.org/shan-hai-jing/da-huang-bei-jing/zh</x:v>
      </x:c>
      <x:c r="H1752" s="418" t="e">
        <x:f>HYPERLINK("#'山海经原文总库'!A3","↩ 返回目录")</x:f>
        <x:v>HYPERLINK is not implemented. linkLocation=#'山海经原文总库'!A3, friendlyName=↩ 返回目录</x:v>
      </x:c>
      <x:c r="I1752" s="416"/>
      <x:c r="J1752" s="416"/>
      <x:c r="K1752" s="416" t="str">
        <x:v>待同名检索｜待建档</x:v>
      </x:c>
    </x:row>
    <x:row r="1753" ht="52" hidden="0" customHeight="1">
      <x:c r="A1753" s="415" t="str">
        <x:v>SHJ-17-005-1</x:v>
      </x:c>
      <x:c r="B1753" s="415" t="str">
        <x:v>卷十七 《大荒北經》</x:v>
      </x:c>
      <x:c r="C1753" s="416" t="str">
        <x:v>有榆山。有鯀攻程州之山。</x:v>
      </x:c>
      <x:c r="D1753" s="415" t="str">
        <x:v>榆山</x:v>
      </x:c>
      <x:c r="E1753" s="415" t="str">
        <x:v>山／丘</x:v>
      </x:c>
      <x:c r="F1753" s="417"/>
      <x:c r="G1753" s="416" t="str">
        <x:v>标点与分段参考《山海经校注》；正文对读：https://ctext.org/shan-hai-jing/da-huang-bei-jing/zh</x:v>
      </x:c>
      <x:c r="H1753" s="418" t="e">
        <x:f>HYPERLINK("#'山海经原文总库'!A3","↩ 返回目录")</x:f>
        <x:v>HYPERLINK is not implemented. linkLocation=#'山海经原文总库'!A3, friendlyName=↩ 返回目录</x:v>
      </x:c>
      <x:c r="I1753" s="416"/>
      <x:c r="J1753" s="416"/>
      <x:c r="K1753" s="416" t="str">
        <x:v>待同名检索｜待建档</x:v>
      </x:c>
    </x:row>
    <x:row r="1754" ht="52" hidden="0" customHeight="1">
      <x:c r="A1754" s="415" t="str">
        <x:v>SHJ-17-005-2</x:v>
      </x:c>
      <x:c r="B1754" s="415" t="str">
        <x:v>卷十七 《大荒北經》</x:v>
      </x:c>
      <x:c r="C1754" s="416"/>
      <x:c r="D1754" s="415" t="str">
        <x:v>鯀攻程州山</x:v>
      </x:c>
      <x:c r="E1754" s="415" t="str">
        <x:v>山／丘</x:v>
      </x:c>
      <x:c r="F1754" s="417"/>
      <x:c r="G1754" s="416" t="str">
        <x:v>标点与分段参考《山海经校注》；正文对读：https://ctext.org/shan-hai-jing/da-huang-bei-jing/zh</x:v>
      </x:c>
      <x:c r="H1754" s="418" t="e">
        <x:f>HYPERLINK("#'山海经原文总库'!A3","↩ 返回目录")</x:f>
        <x:v>HYPERLINK is not implemented. linkLocation=#'山海经原文总库'!A3, friendlyName=↩ 返回目录</x:v>
      </x:c>
      <x:c r="I1754" s="416"/>
      <x:c r="J1754" s="416"/>
      <x:c r="K1754" s="416" t="str">
        <x:v>待同名检索｜待建档</x:v>
      </x:c>
    </x:row>
    <x:row r="1755" ht="52" hidden="0" customHeight="1">
      <x:c r="A1755" s="415" t="str">
        <x:v>SHJ-17-006-1</x:v>
      </x:c>
      <x:c r="B1755" s="415" t="str">
        <x:v>卷十七 《大荒北經》</x:v>
      </x:c>
      <x:c r="C1755" s="416" t="str">
        <x:v>大荒之中，有山名曰衡天。有先民之山。有盤木千里。</x:v>
      </x:c>
      <x:c r="D1755" s="415" t="str">
        <x:v>衡天山</x:v>
      </x:c>
      <x:c r="E1755" s="415" t="str">
        <x:v>山／丘</x:v>
      </x:c>
      <x:c r="F1755" s="417"/>
      <x:c r="G1755" s="416" t="str">
        <x:v>标点与分段参考《山海经校注》；正文对读：https://ctext.org/shan-hai-jing/da-huang-bei-jing/zh</x:v>
      </x:c>
      <x:c r="H1755" s="418" t="e">
        <x:f t="shared" ref="H1755:H1766" si="21">HYPERLINK("#'山海经原文总库'!A3","↩ 返回目录")</x:f>
        <x:v>HYPERLINK is not implemented. linkLocation=#'山海经原文总库'!A3, friendlyName=↩ 返回目录</x:v>
      </x:c>
      <x:c r="I1755" s="416"/>
      <x:c r="J1755" s="416"/>
      <x:c r="K1755" s="416" t="str">
        <x:v>待同名检索｜待建档</x:v>
      </x:c>
    </x:row>
    <x:row r="1756" ht="52" hidden="0" customHeight="1">
      <x:c r="A1756" s="415" t="str">
        <x:v>SHJ-17-006-2</x:v>
      </x:c>
      <x:c r="B1756" s="415" t="str">
        <x:v>卷十七 《大荒北經》</x:v>
      </x:c>
      <x:c r="C1756" s="416"/>
      <x:c r="D1756" s="415" t="str">
        <x:v>先民山</x:v>
      </x:c>
      <x:c r="E1756" s="415" t="str">
        <x:v>山／丘</x:v>
      </x:c>
      <x:c r="F1756" s="417"/>
      <x:c r="G1756" s="416" t="str">
        <x:v>标点与分段参考《山海经校注》；正文对读：https://ctext.org/shan-hai-jing/da-huang-bei-jing/zh</x:v>
      </x:c>
      <x:c r="H1756" s="418" t="e">
        <x:f t="shared" si="21">HYPERLINK("#'山海经原文总库'!A3","↩ 返回目录")</x:f>
        <x:v>HYPERLINK is not implemented. linkLocation=#'山海经原文总库'!A3, friendlyName=↩ 返回目录</x:v>
      </x:c>
      <x:c r="I1756" s="416"/>
      <x:c r="J1756" s="416"/>
      <x:c r="K1756" s="416" t="str">
        <x:v>待同名检索｜待建档</x:v>
      </x:c>
    </x:row>
    <x:row r="1757" ht="52" hidden="0" customHeight="1">
      <x:c r="A1757" s="415" t="str">
        <x:v>SHJ-17-007-1</x:v>
      </x:c>
      <x:c r="B1757" s="415" t="str">
        <x:v>卷十七 《大荒北經》</x:v>
      </x:c>
      <x:c r="C1757" s="416" t="str">
        <x:v>有叔歜國。顓頊之子，黍食，使四鳥：虎、豹、熊、羆。有黑蟲如熊狀，名曰（犬昔）（犬昔）。</x:v>
      </x:c>
      <x:c r="D1757" s="415" t="str">
        <x:v>叔歜國</x:v>
      </x:c>
      <x:c r="E1757" s="415" t="str">
        <x:v>國家／族群</x:v>
      </x:c>
      <x:c r="F1757" s="417"/>
      <x:c r="G1757" s="416" t="str">
        <x:v>标点与分段参考《山海经校注》；正文对读：https://ctext.org/shan-hai-jing/da-huang-bei-jing/zh</x:v>
      </x:c>
      <x:c r="H1757" s="418" t="e">
        <x:f t="shared" si="21">HYPERLINK("#'山海经原文总库'!A3","↩ 返回目录")</x:f>
        <x:v>HYPERLINK is not implemented. linkLocation=#'山海经原文总库'!A3, friendlyName=↩ 返回目录</x:v>
      </x:c>
      <x:c r="I1757" s="416"/>
      <x:c r="J1757" s="416"/>
      <x:c r="K1757" s="416" t="str">
        <x:v>待同名检索｜待建档</x:v>
      </x:c>
    </x:row>
    <x:row r="1758" ht="52" hidden="0" customHeight="1">
      <x:c r="A1758" s="415" t="str">
        <x:v>SHJ-17-008-1</x:v>
      </x:c>
      <x:c r="B1758" s="415" t="str">
        <x:v>卷十七 《大荒北經》</x:v>
      </x:c>
      <x:c r="C1758" s="416" t="str">
        <x:v>有北齊之國，姜姓，使虎、豹、熊、羆。</x:v>
      </x:c>
      <x:c r="D1758" s="415" t="str">
        <x:v>北齊國</x:v>
      </x:c>
      <x:c r="E1758" s="415" t="str">
        <x:v>國家／族群</x:v>
      </x:c>
      <x:c r="F1758" s="417"/>
      <x:c r="G1758" s="416" t="str">
        <x:v>标点与分段参考《山海经校注》；正文对读：https://ctext.org/shan-hai-jing/da-huang-bei-jing/zh</x:v>
      </x:c>
      <x:c r="H1758" s="418" t="e">
        <x:f t="shared" si="21">HYPERLINK("#'山海经原文总库'!A3","↩ 返回目录")</x:f>
        <x:v>HYPERLINK is not implemented. linkLocation=#'山海经原文总库'!A3, friendlyName=↩ 返回目录</x:v>
      </x:c>
      <x:c r="I1758" s="416"/>
      <x:c r="J1758" s="416"/>
      <x:c r="K1758" s="416" t="str">
        <x:v>待同名检索｜待建档</x:v>
      </x:c>
    </x:row>
    <x:row r="1759" ht="52" hidden="0" customHeight="1">
      <x:c r="A1759" s="415" t="str">
        <x:v>SHJ-17-009-1</x:v>
      </x:c>
      <x:c r="B1759" s="415" t="str">
        <x:v>卷十七 《大荒北經》</x:v>
      </x:c>
      <x:c r="C1759" s="416" t="str">
        <x:v>大荒之中，有山名曰先檻大逢之山，河濟所入，海北注焉。其西有山，名曰禹所積石。</x:v>
      </x:c>
      <x:c r="D1759" s="415" t="str">
        <x:v>先檻大逢山</x:v>
      </x:c>
      <x:c r="E1759" s="415" t="str">
        <x:v>山／丘</x:v>
      </x:c>
      <x:c r="F1759" s="417" t="e">
        <x:f>HYPERLINK("#'都广核心区总表'!B89","→ 查看条目")</x:f>
        <x:v>HYPERLINK is not implemented. linkLocation=#'都广核心区总表'!B89, friendlyName=→ 查看条目</x:v>
      </x:c>
      <x:c r="G1759" s="416" t="str">
        <x:v>标点与分段参考《山海经校注》；正文对读：https://ctext.org/shan-hai-jing/da-huang-bei-jing/zh</x:v>
      </x:c>
      <x:c r="H1759" s="418" t="e">
        <x:f t="shared" si="21">HYPERLINK("#'山海经原文总库'!A3","↩ 返回目录")</x:f>
        <x:v>HYPERLINK is not implemented. linkLocation=#'山海经原文总库'!A3, friendlyName=↩ 返回目录</x:v>
      </x:c>
      <x:c r="I1759" s="416" t="str">
        <x:v>是</x:v>
      </x:c>
      <x:c r="J1759" s="416" t="str">
        <x:v>总表第89行｜X=-720.7里，Y=+1279.3里（-7.2，+12.8格）｜在禹所积石东、河济所入关系锁定</x:v>
      </x:c>
      <x:c r="K1759" s="416" t="str">
        <x:v>已检索｜已建档</x:v>
      </x:c>
    </x:row>
    <x:row r="1760" ht="52" hidden="0" customHeight="1">
      <x:c r="A1760" s="415" t="str">
        <x:v>SHJ-17-009-2</x:v>
      </x:c>
      <x:c r="B1760" s="415" t="str">
        <x:v>卷十七 《大荒北經》</x:v>
      </x:c>
      <x:c r="C1760" s="416"/>
      <x:c r="D1760" s="415" t="str">
        <x:v>河水</x:v>
      </x:c>
      <x:c r="E1760" s="415" t="str">
        <x:v>水系／水域</x:v>
      </x:c>
      <x:c r="F1760" s="417" t="e">
        <x:f>HYPERLINK("#'都广核心区总表'!B46","→ 查看条目")</x:f>
        <x:v>HYPERLINK is not implemented. linkLocation=#'都广核心区总表'!B46, friendlyName=→ 查看条目</x:v>
      </x:c>
      <x:c r="G1760" s="416" t="str">
        <x:v>标点与分段参考《山海经校注》；正文对读：https://ctext.org/shan-hai-jing/da-huang-bei-jing/zh</x:v>
      </x:c>
      <x:c r="H1760" s="418" t="e">
        <x:f t="shared" si="21">HYPERLINK("#'山海经原文总库'!A3","↩ 返回目录")</x:f>
        <x:v>HYPERLINK is not implemented. linkLocation=#'山海经原文总库'!A3, friendlyName=↩ 返回目录</x:v>
      </x:c>
      <x:c r="I1760" s="416" t="str">
        <x:v>是</x:v>
      </x:c>
      <x:c r="J1760" s="416" t="str">
        <x:v>总表第46行｜X=-650里，Y=+1050里（-6.5，+10.5格）｜河水跨卷路径已建</x:v>
      </x:c>
      <x:c r="K1760" s="416" t="str">
        <x:v>已检索｜已建档</x:v>
      </x:c>
    </x:row>
    <x:row r="1761" ht="52" hidden="0" customHeight="1">
      <x:c r="A1761" s="415" t="str">
        <x:v>SHJ-17-009-3</x:v>
      </x:c>
      <x:c r="B1761" s="415" t="str">
        <x:v>卷十七 《大荒北經》</x:v>
      </x:c>
      <x:c r="C1761" s="416"/>
      <x:c r="D1761" s="415" t="str">
        <x:v>濟水</x:v>
      </x:c>
      <x:c r="E1761" s="415" t="str">
        <x:v>水系／水域</x:v>
      </x:c>
      <x:c r="F1761" s="417" t="e">
        <x:f>HYPERLINK("#'都广核心区总表'!B90","→ 查看条目")</x:f>
        <x:v>HYPERLINK is not implemented. linkLocation=#'都广核心区总表'!B90, friendlyName=→ 查看条目</x:v>
      </x:c>
      <x:c r="G1761" s="416" t="str">
        <x:v>标点与分段参考《山海经校注》；正文对读：https://ctext.org/shan-hai-jing/da-huang-bei-jing/zh</x:v>
      </x:c>
      <x:c r="H1761" s="418" t="e">
        <x:f t="shared" si="21">HYPERLINK("#'山海经原文总库'!A3","↩ 返回目录")</x:f>
        <x:v>HYPERLINK is not implemented. linkLocation=#'山海经原文总库'!A3, friendlyName=↩ 返回目录</x:v>
      </x:c>
      <x:c r="I1761" s="416" t="str">
        <x:v>是</x:v>
      </x:c>
      <x:c r="J1761" s="416" t="str">
        <x:v>总表第90行｜X=-720.7里，Y=+1279.3里（-7.2，+12.8格）｜汇入先槛大逢山关系锁定；上游未建</x:v>
      </x:c>
      <x:c r="K1761" s="416" t="str">
        <x:v>已检索｜已建档</x:v>
      </x:c>
    </x:row>
    <x:row r="1762" ht="52" hidden="0" customHeight="1">
      <x:c r="A1762" s="415" t="str">
        <x:v>SHJ-17-009-4</x:v>
      </x:c>
      <x:c r="B1762" s="415" t="str">
        <x:v>卷十七 《大荒北經》</x:v>
      </x:c>
      <x:c r="C1762" s="416"/>
      <x:c r="D1762" s="415" t="str">
        <x:v>海</x:v>
      </x:c>
      <x:c r="E1762" s="415" t="str">
        <x:v>水系／水域</x:v>
      </x:c>
      <x:c r="F1762" s="417" t="e">
        <x:f>HYPERLINK("#'都广核心区总表'!B91","→ 查看条目")</x:f>
        <x:v>HYPERLINK is not implemented. linkLocation=#'都广核心区总表'!B91, friendlyName=→ 查看条目</x:v>
      </x:c>
      <x:c r="G1762" s="416" t="str">
        <x:v>标点与分段参考《山海经校注》；正文对读：https://ctext.org/shan-hai-jing/da-huang-bei-jing/zh</x:v>
      </x:c>
      <x:c r="H1762" s="418" t="e">
        <x:f t="shared" si="21">HYPERLINK("#'山海经原文总库'!A3","↩ 返回目录")</x:f>
        <x:v>HYPERLINK is not implemented. linkLocation=#'山海经原文总库'!A3, friendlyName=↩ 返回目录</x:v>
      </x:c>
      <x:c r="I1762" s="416" t="str">
        <x:v>是</x:v>
      </x:c>
      <x:c r="J1762" s="416" t="str">
        <x:v>总表第91行｜X=-720.7里，Y=+1379.3里（-7.2，+13.8格）｜海水北注关系锁定；海域边界未锁</x:v>
      </x:c>
      <x:c r="K1762" s="416" t="str">
        <x:v>已检索｜已建档</x:v>
      </x:c>
    </x:row>
    <x:row r="1763" ht="52" hidden="0" customHeight="1">
      <x:c r="A1763" s="415" t="str">
        <x:v>SHJ-17-009-5</x:v>
      </x:c>
      <x:c r="B1763" s="415" t="str">
        <x:v>卷十七 《大荒北經》</x:v>
      </x:c>
      <x:c r="C1763" s="416"/>
      <x:c r="D1763" s="415" t="str">
        <x:v>禹所積石山</x:v>
      </x:c>
      <x:c r="E1763" s="415" t="str">
        <x:v>山／丘</x:v>
      </x:c>
      <x:c r="F1763" s="417" t="e">
        <x:f>HYPERLINK("#'都广核心区总表'!B88","→ 查看条目")</x:f>
        <x:v>HYPERLINK is not implemented. linkLocation=#'都广核心区总表'!B88, friendlyName=→ 查看条目</x:v>
      </x:c>
      <x:c r="G1763" s="416" t="str">
        <x:v>标点与分段参考《山海经校注》；正文对读：https://ctext.org/shan-hai-jing/da-huang-bei-jing/zh</x:v>
      </x:c>
      <x:c r="H1763" s="418" t="e">
        <x:f t="shared" si="21">HYPERLINK("#'山海经原文总库'!A3","↩ 返回目录")</x:f>
        <x:v>HYPERLINK is not implemented. linkLocation=#'山海经原文总库'!A3, friendlyName=↩ 返回目录</x:v>
      </x:c>
      <x:c r="I1763" s="416" t="str">
        <x:v>是</x:v>
      </x:c>
      <x:c r="J1763" s="416" t="str">
        <x:v>总表第88行｜X=-820.7里，Y=+1279.3里（-8.2，+12.8格）｜三篇积石高强度合并候选</x:v>
      </x:c>
      <x:c r="K1763" s="416" t="str">
        <x:v>已检索｜已建档</x:v>
      </x:c>
    </x:row>
    <x:row r="1764" ht="52" hidden="0" customHeight="1">
      <x:c r="A1764" s="415" t="str">
        <x:v>SHJ-17-010-1</x:v>
      </x:c>
      <x:c r="B1764" s="415" t="str">
        <x:v>卷十七 《大荒北經》</x:v>
      </x:c>
      <x:c r="C1764" s="416" t="str">
        <x:v>有陽山者。有順山者，順水出焉。有始州之國，有丹山。</x:v>
      </x:c>
      <x:c r="D1764" s="415" t="str">
        <x:v>陽山</x:v>
      </x:c>
      <x:c r="E1764" s="415" t="str">
        <x:v>山／丘</x:v>
      </x:c>
      <x:c r="F1764" s="417"/>
      <x:c r="G1764" s="416" t="str">
        <x:v>标点与分段参考《山海经校注》；正文对读：https://ctext.org/shan-hai-jing/da-huang-bei-jing/zh</x:v>
      </x:c>
      <x:c r="H1764" s="418" t="e">
        <x:f t="shared" si="21">HYPERLINK("#'山海经原文总库'!A3","↩ 返回目录")</x:f>
        <x:v>HYPERLINK is not implemented. linkLocation=#'山海经原文总库'!A3, friendlyName=↩ 返回目录</x:v>
      </x:c>
      <x:c r="I1764" s="416"/>
      <x:c r="J1764" s="416"/>
      <x:c r="K1764" s="416" t="str">
        <x:v>待同名检索｜待建档</x:v>
      </x:c>
    </x:row>
    <x:row r="1765" ht="52" hidden="0" customHeight="1">
      <x:c r="A1765" s="416" t="str">
        <x:v>SHJ-17-010-2</x:v>
      </x:c>
      <x:c r="B1765" s="416" t="str">
        <x:v>卷十七 《大荒北經》</x:v>
      </x:c>
      <x:c r="C1765" s="416"/>
      <x:c r="D1765" s="416" t="str">
        <x:v>順山</x:v>
      </x:c>
      <x:c r="E1765" s="416" t="str">
        <x:v>山／丘</x:v>
      </x:c>
      <x:c r="F1765" s="416"/>
      <x:c r="G1765" s="416" t="str">
        <x:v>标点与分段参考《山海经校注》；正文对读：https://ctext.org/shan-hai-jing/da-huang-bei-jing/zh</x:v>
      </x:c>
      <x:c r="H1765" s="416" t="e">
        <x:f t="shared" si="21">HYPERLINK("#'山海经原文总库'!A3","↩ 返回目录")</x:f>
        <x:v>HYPERLINK is not implemented. linkLocation=#'山海经原文总库'!A3, friendlyName=↩ 返回目录</x:v>
      </x:c>
      <x:c r="I1765" s="416"/>
      <x:c r="J1765" s="416"/>
      <x:c r="K1765" s="416" t="str">
        <x:v>待同名检索｜待建档</x:v>
      </x:c>
    </x:row>
    <x:row r="1766" ht="52" hidden="0" customHeight="1">
      <x:c r="A1766" s="416" t="str">
        <x:v>SHJ-17-010-3</x:v>
      </x:c>
      <x:c r="B1766" s="416" t="str">
        <x:v>卷十七 《大荒北經》</x:v>
      </x:c>
      <x:c r="C1766" s="416"/>
      <x:c r="D1766" s="416" t="str">
        <x:v>順水</x:v>
      </x:c>
      <x:c r="E1766" s="416" t="str">
        <x:v>水系／水域</x:v>
      </x:c>
      <x:c r="F1766" s="416"/>
      <x:c r="G1766" s="416" t="str">
        <x:v>标点与分段参考《山海经校注》；正文对读：https://ctext.org/shan-hai-jing/da-huang-bei-jing/zh</x:v>
      </x:c>
      <x:c r="H1766" s="416" t="e">
        <x:f t="shared" si="21">HYPERLINK("#'山海经原文总库'!A3","↩ 返回目录")</x:f>
        <x:v>HYPERLINK is not implemented. linkLocation=#'山海经原文总库'!A3, friendlyName=↩ 返回目录</x:v>
      </x:c>
      <x:c r="I1766" s="416"/>
      <x:c r="J1766" s="416"/>
      <x:c r="K1766" s="416" t="str">
        <x:v>待同名检索｜待建档</x:v>
      </x:c>
    </x:row>
    <x:row r="1767" ht="52" hidden="0" customHeight="1">
      <x:c r="A1767" s="416" t="str">
        <x:v>SHJ-17-010-4</x:v>
      </x:c>
      <x:c r="B1767" s="416" t="str">
        <x:v>卷十七 《大荒北經》</x:v>
      </x:c>
      <x:c r="C1767" s="416"/>
      <x:c r="D1767" s="416" t="str">
        <x:v>始州國</x:v>
      </x:c>
      <x:c r="E1767" s="416" t="str">
        <x:v>國家／族群</x:v>
      </x:c>
      <x:c r="F1767" s="416"/>
      <x:c r="G1767" s="416" t="str">
        <x:v>标点与分段参考《山海经校注》；正文对读：https://ctext.org/shan-hai-jing/da-huang-bei-jing/zh</x:v>
      </x:c>
      <x:c r="H1767" s="416" t="e">
        <x:f>HYPERLINK("#'山海经原文总库'!A3","↩ 返回目录")</x:f>
        <x:v>HYPERLINK is not implemented. linkLocation=#'山海经原文总库'!A3, friendlyName=↩ 返回目录</x:v>
      </x:c>
      <x:c r="I1767" s="416"/>
      <x:c r="J1767" s="416"/>
      <x:c r="K1767" s="416" t="str">
        <x:v>待同名检索｜待建档</x:v>
      </x:c>
    </x:row>
    <x:row r="1768" ht="52" hidden="0" customHeight="1">
      <x:c r="A1768" s="416" t="str">
        <x:v>SHJ-17-010-5</x:v>
      </x:c>
      <x:c r="B1768" s="416" t="str">
        <x:v>卷十七 《大荒北經》</x:v>
      </x:c>
      <x:c r="C1768" s="416"/>
      <x:c r="D1768" s="416" t="str">
        <x:v>丹山</x:v>
      </x:c>
      <x:c r="E1768" s="416" t="str">
        <x:v>山／丘</x:v>
      </x:c>
      <x:c r="F1768" s="416"/>
      <x:c r="G1768" s="416" t="str">
        <x:v>标点与分段参考《山海经校注》；正文对读：https://ctext.org/shan-hai-jing/da-huang-bei-jing/zh</x:v>
      </x:c>
      <x:c r="H1768" s="416" t="e">
        <x:f>HYPERLINK("#'山海经原文总库'!A3","↩ 返回目录")</x:f>
        <x:v>HYPERLINK is not implemented. linkLocation=#'山海经原文总库'!A3, friendlyName=↩ 返回目录</x:v>
      </x:c>
      <x:c r="I1768" s="416"/>
      <x:c r="J1768" s="416"/>
      <x:c r="K1768" s="416" t="str">
        <x:v>待同名检索｜待建档</x:v>
      </x:c>
    </x:row>
    <x:row r="1769" ht="52" hidden="0" customHeight="1">
      <x:c r="A1769" s="416" t="str">
        <x:v>SHJ-17-011-1</x:v>
      </x:c>
      <x:c r="B1769" s="416" t="str">
        <x:v>卷十七 《大荒北經》</x:v>
      </x:c>
      <x:c r="C1769" s="416" t="str">
        <x:v>有大澤方千里，羣鳥所解。</x:v>
      </x:c>
      <x:c r="D1769" s="416" t="str">
        <x:v>大澤</x:v>
      </x:c>
      <x:c r="E1769" s="416" t="str">
        <x:v>水系／水域</x:v>
      </x:c>
      <x:c r="F1769" s="416"/>
      <x:c r="G1769" s="416" t="str">
        <x:v>标点与分段参考《山海经校注》；正文对读：https://ctext.org/shan-hai-jing/da-huang-bei-jing/zh</x:v>
      </x:c>
      <x:c r="H1769" s="416" t="e">
        <x:f>HYPERLINK("#'山海经原文总库'!A3","↩ 返回目录")</x:f>
        <x:v>HYPERLINK is not implemented. linkLocation=#'山海经原文总库'!A3, friendlyName=↩ 返回目录</x:v>
      </x:c>
      <x:c r="I1769" s="416"/>
      <x:c r="J1769" s="416"/>
      <x:c r="K1769" s="416" t="str">
        <x:v>待同名检索｜待建档</x:v>
      </x:c>
    </x:row>
    <x:row r="1770" ht="52" hidden="0" customHeight="1">
      <x:c r="A1770" s="416" t="str">
        <x:v>SHJ-17-012-1</x:v>
      </x:c>
      <x:c r="B1770" s="416" t="str">
        <x:v>卷十七 《大荒北經》</x:v>
      </x:c>
      <x:c r="C1770" s="416" t="str">
        <x:v>有毛民之國，依姓，食黍，使四鳥。禹生均國，均國生役採，役採生修鞈，修鞈殺綽人。帝念之，潛爲之國，是此毛民。</x:v>
      </x:c>
      <x:c r="D1770" s="416" t="str">
        <x:v>毛民國</x:v>
      </x:c>
      <x:c r="E1770" s="416" t="str">
        <x:v>國家／族群</x:v>
      </x:c>
      <x:c r="F1770" s="416"/>
      <x:c r="G1770" s="416" t="str">
        <x:v>标点与分段参考《山海经校注》；正文对读：https://ctext.org/shan-hai-jing/da-huang-bei-jing/zh</x:v>
      </x:c>
      <x:c r="H1770" s="416" t="e">
        <x:f>HYPERLINK("#'山海经原文总库'!A3","↩ 返回目录")</x:f>
        <x:v>HYPERLINK is not implemented. linkLocation=#'山海经原文总库'!A3, friendlyName=↩ 返回目录</x:v>
      </x:c>
      <x:c r="I1770" s="416"/>
      <x:c r="J1770" s="416"/>
      <x:c r="K1770" s="416" t="str">
        <x:v>待同名检索｜待建档</x:v>
      </x:c>
    </x:row>
    <x:row r="1771" ht="52" hidden="0" customHeight="1">
      <x:c r="A1771" s="416" t="str">
        <x:v>SHJ-17-013-1</x:v>
      </x:c>
      <x:c r="B1771" s="416" t="str">
        <x:v>卷十七 《大荒北經》</x:v>
      </x:c>
      <x:c r="C1771" s="416" t="str">
        <x:v>有儋耳之國，任姓，禺號子，食谷。北海之渚中，有神，人面鳥身，珥兩青蛇，踐兩赤蛇，名曰禺強。</x:v>
      </x:c>
      <x:c r="D1771" s="416" t="str">
        <x:v>儋耳國</x:v>
      </x:c>
      <x:c r="E1771" s="416" t="str">
        <x:v>國家／族群</x:v>
      </x:c>
      <x:c r="F1771" s="416"/>
      <x:c r="G1771" s="416" t="str">
        <x:v>标点与分段参考《山海经校注》；正文对读：https://ctext.org/shan-hai-jing/da-huang-bei-jing/zh</x:v>
      </x:c>
      <x:c r="H1771" s="416" t="e">
        <x:f>HYPERLINK("#'山海经原文总库'!A3","↩ 返回目录")</x:f>
        <x:v>HYPERLINK is not implemented. linkLocation=#'山海经原文总库'!A3, friendlyName=↩ 返回目录</x:v>
      </x:c>
      <x:c r="I1771" s="416"/>
      <x:c r="J1771" s="416"/>
      <x:c r="K1771" s="416" t="str">
        <x:v>待同名检索｜待建档</x:v>
      </x:c>
    </x:row>
    <x:row r="1772" ht="52" hidden="0" customHeight="1">
      <x:c r="A1772" s="416" t="str">
        <x:v>SHJ-17-013-2</x:v>
      </x:c>
      <x:c r="B1772" s="416" t="str">
        <x:v>卷十七 《大荒北經》</x:v>
      </x:c>
      <x:c r="C1772" s="416"/>
      <x:c r="D1772" s="416" t="str">
        <x:v>北海之渚</x:v>
      </x:c>
      <x:c r="E1772" s="416" t="str">
        <x:v>水系／水域</x:v>
      </x:c>
      <x:c r="F1772" s="416"/>
      <x:c r="G1772" s="416" t="str">
        <x:v>标点与分段参考《山海经校注》；正文对读：https://ctext.org/shan-hai-jing/da-huang-bei-jing/zh</x:v>
      </x:c>
      <x:c r="H1772" s="416" t="e">
        <x:f>HYPERLINK("#'山海经原文总库'!A3","↩ 返回目录")</x:f>
        <x:v>HYPERLINK is not implemented. linkLocation=#'山海经原文总库'!A3, friendlyName=↩ 返回目录</x:v>
      </x:c>
      <x:c r="I1772" s="416"/>
      <x:c r="J1772" s="416"/>
      <x:c r="K1772" s="416" t="str">
        <x:v>待同名检索｜待建档</x:v>
      </x:c>
    </x:row>
    <x:row r="1773" ht="52" hidden="0" customHeight="1">
      <x:c r="A1773" s="416" t="str">
        <x:v>SHJ-17-014-1</x:v>
      </x:c>
      <x:c r="B1773" s="416" t="str">
        <x:v>卷十七 《大荒北經》</x:v>
      </x:c>
      <x:c r="C1773" s="416" t="str">
        <x:v>大荒之中，有山名曰北極天樻，海水北注焉。有神，九首人面鳥身，名曰九鳳。又有神衘蛇操蛇，其狀虎首人身，四蹄長肘，名曰彊良。</x:v>
      </x:c>
      <x:c r="D1773" s="416" t="str">
        <x:v>北極天櫃山</x:v>
      </x:c>
      <x:c r="E1773" s="416" t="str">
        <x:v>山／丘</x:v>
      </x:c>
      <x:c r="F1773" s="416"/>
      <x:c r="G1773" s="416" t="str">
        <x:v>标点与分段参考《山海经校注》；正文对读：https://ctext.org/shan-hai-jing/da-huang-bei-jing/zh</x:v>
      </x:c>
      <x:c r="H1773" s="416" t="e">
        <x:f>HYPERLINK("#'山海经原文总库'!A3","↩ 返回目录")</x:f>
        <x:v>HYPERLINK is not implemented. linkLocation=#'山海经原文总库'!A3, friendlyName=↩ 返回目录</x:v>
      </x:c>
      <x:c r="I1773" s="416"/>
      <x:c r="J1773" s="416"/>
      <x:c r="K1773" s="416" t="str">
        <x:v>待同名检索｜待建档</x:v>
      </x:c>
    </x:row>
    <x:row r="1774" ht="52" hidden="0" customHeight="1">
      <x:c r="A1774" s="416" t="str">
        <x:v>SHJ-17-014-2</x:v>
      </x:c>
      <x:c r="B1774" s="416" t="str">
        <x:v>卷十七 《大荒北經》</x:v>
      </x:c>
      <x:c r="C1774" s="416"/>
      <x:c r="D1774" s="416" t="str">
        <x:v>海水</x:v>
      </x:c>
      <x:c r="E1774" s="416" t="str">
        <x:v>水系／水域</x:v>
      </x:c>
      <x:c r="F1774" s="416"/>
      <x:c r="G1774" s="416" t="str">
        <x:v>标点与分段参考《山海经校注》；正文对读：https://ctext.org/shan-hai-jing/da-huang-bei-jing/zh</x:v>
      </x:c>
      <x:c r="H1774" s="416" t="e">
        <x:f>HYPERLINK("#'山海经原文总库'!A3","↩ 返回目录")</x:f>
        <x:v>HYPERLINK is not implemented. linkLocation=#'山海经原文总库'!A3, friendlyName=↩ 返回目录</x:v>
      </x:c>
      <x:c r="I1774" s="416"/>
      <x:c r="J1774" s="416"/>
      <x:c r="K1774" s="416" t="str">
        <x:v>待同名检索｜待建档</x:v>
      </x:c>
    </x:row>
    <x:row r="1775" ht="52" hidden="0" customHeight="1">
      <x:c r="A1775" s="416" t="str">
        <x:v>SHJ-17-015-1</x:v>
      </x:c>
      <x:c r="B1775" s="416" t="str">
        <x:v>卷十七 《大荒北經》</x:v>
      </x:c>
      <x:c r="C1775" s="416" t="str">
        <x:v>大荒之中，有山名曰成都載天。有人珥兩黃蛇，把兩黃蛇，名曰誇父。后土生信，信生誇父。誇父不量力，欲追日景，逮之於禺谷。將飲河而不足也，將走大澤，未至，死於此。應龍已殺蚩尤，又殺誇父，乃去南方處之，故南方多雨。</x:v>
      </x:c>
      <x:c r="D1775" s="416" t="str">
        <x:v>成都載天山</x:v>
      </x:c>
      <x:c r="E1775" s="416" t="str">
        <x:v>山／丘</x:v>
      </x:c>
      <x:c r="F1775" s="416"/>
      <x:c r="G1775" s="416" t="str">
        <x:v>标点与分段参考《山海经校注》；正文对读：https://ctext.org/shan-hai-jing/da-huang-bei-jing/zh</x:v>
      </x:c>
      <x:c r="H1775" s="416" t="e">
        <x:f>HYPERLINK("#'山海经原文总库'!A3","↩ 返回目录")</x:f>
        <x:v>HYPERLINK is not implemented. linkLocation=#'山海经原文总库'!A3, friendlyName=↩ 返回目录</x:v>
      </x:c>
      <x:c r="I1775" s="416"/>
      <x:c r="J1775" s="416"/>
      <x:c r="K1775" s="416" t="str">
        <x:v>待同名检索｜待建档</x:v>
      </x:c>
    </x:row>
    <x:row r="1776" ht="52" hidden="0" customHeight="1">
      <x:c r="A1776" s="416" t="str">
        <x:v>SHJ-17-015-2</x:v>
      </x:c>
      <x:c r="B1776" s="416" t="str">
        <x:v>卷十七 《大荒北經》</x:v>
      </x:c>
      <x:c r="C1776" s="416"/>
      <x:c r="D1776" s="416" t="str">
        <x:v>禺谷</x:v>
      </x:c>
      <x:c r="E1776" s="416" t="str">
        <x:v>地理名稱</x:v>
      </x:c>
      <x:c r="F1776" s="416"/>
      <x:c r="G1776" s="416" t="str">
        <x:v>标点与分段参考《山海经校注》；正文对读：https://ctext.org/shan-hai-jing/da-huang-bei-jing/zh</x:v>
      </x:c>
      <x:c r="H1776" s="416" t="e">
        <x:f>HYPERLINK("#'山海经原文总库'!A3","↩ 返回目录")</x:f>
        <x:v>HYPERLINK is not implemented. linkLocation=#'山海经原文总库'!A3, friendlyName=↩ 返回目录</x:v>
      </x:c>
      <x:c r="I1776" s="416"/>
      <x:c r="J1776" s="416"/>
      <x:c r="K1776" s="416" t="str">
        <x:v>待同名检索｜待建档</x:v>
      </x:c>
    </x:row>
    <x:row r="1777" ht="52" hidden="0" customHeight="1">
      <x:c r="A1777" s="416" t="str">
        <x:v>SHJ-17-015-3</x:v>
      </x:c>
      <x:c r="B1777" s="416" t="str">
        <x:v>卷十七 《大荒北經》</x:v>
      </x:c>
      <x:c r="C1777" s="416"/>
      <x:c r="D1777" s="416" t="str">
        <x:v>河水</x:v>
      </x:c>
      <x:c r="E1777" s="416" t="str">
        <x:v>水系／水域</x:v>
      </x:c>
      <x:c r="F1777" s="416"/>
      <x:c r="G1777" s="416" t="str">
        <x:v>标点与分段参考《山海经校注》；正文对读：https://ctext.org/shan-hai-jing/da-huang-bei-jing/zh</x:v>
      </x:c>
      <x:c r="H1777" s="416" t="e">
        <x:f>HYPERLINK("#'山海经原文总库'!A3","↩ 返回目录")</x:f>
        <x:v>HYPERLINK is not implemented. linkLocation=#'山海经原文总库'!A3, friendlyName=↩ 返回目录</x:v>
      </x:c>
      <x:c r="I1777" s="416"/>
      <x:c r="J1777" s="416"/>
      <x:c r="K1777" s="416" t="str">
        <x:v>待同名检索｜待建档</x:v>
      </x:c>
    </x:row>
    <x:row r="1778" ht="52" hidden="0" customHeight="1">
      <x:c r="A1778" s="416" t="str">
        <x:v>SHJ-17-015-4</x:v>
      </x:c>
      <x:c r="B1778" s="416" t="str">
        <x:v>卷十七 《大荒北經》</x:v>
      </x:c>
      <x:c r="C1778" s="416"/>
      <x:c r="D1778" s="416" t="str">
        <x:v>大澤</x:v>
      </x:c>
      <x:c r="E1778" s="416" t="str">
        <x:v>水系／水域</x:v>
      </x:c>
      <x:c r="F1778" s="416"/>
      <x:c r="G1778" s="416" t="str">
        <x:v>标点与分段参考《山海经校注》；正文对读：https://ctext.org/shan-hai-jing/da-huang-bei-jing/zh</x:v>
      </x:c>
      <x:c r="H1778" s="416" t="e">
        <x:f>HYPERLINK("#'山海经原文总库'!A3","↩ 返回目录")</x:f>
        <x:v>HYPERLINK is not implemented. linkLocation=#'山海经原文总库'!A3, friendlyName=↩ 返回目录</x:v>
      </x:c>
      <x:c r="I1778" s="416"/>
      <x:c r="J1778" s="416"/>
      <x:c r="K1778" s="416" t="str">
        <x:v>待同名检索｜待建档</x:v>
      </x:c>
    </x:row>
    <x:row r="1779" ht="52" hidden="0" customHeight="1">
      <x:c r="A1779" s="416" t="str">
        <x:v>SHJ-17-015-5</x:v>
      </x:c>
      <x:c r="B1779" s="416" t="str">
        <x:v>卷十七 《大荒北經》</x:v>
      </x:c>
      <x:c r="C1779" s="416"/>
      <x:c r="D1779" s="416" t="str">
        <x:v>南方</x:v>
      </x:c>
      <x:c r="E1779" s="416" t="str">
        <x:v>區域</x:v>
      </x:c>
      <x:c r="F1779" s="416"/>
      <x:c r="G1779" s="416" t="str">
        <x:v>标点与分段参考《山海经校注》；正文对读：https://ctext.org/shan-hai-jing/da-huang-bei-jing/zh</x:v>
      </x:c>
      <x:c r="H1779" s="416" t="e">
        <x:f>HYPERLINK("#'山海经原文总库'!A3","↩ 返回目录")</x:f>
        <x:v>HYPERLINK is not implemented. linkLocation=#'山海经原文总库'!A3, friendlyName=↩ 返回目录</x:v>
      </x:c>
      <x:c r="I1779" s="416"/>
      <x:c r="J1779" s="416"/>
      <x:c r="K1779" s="416" t="str">
        <x:v>待同名检索｜待建档</x:v>
      </x:c>
    </x:row>
    <x:row r="1780" ht="52" hidden="0" customHeight="1">
      <x:c r="A1780" s="416" t="str">
        <x:v>SHJ-17-016-1</x:v>
      </x:c>
      <x:c r="B1780" s="416" t="str">
        <x:v>卷十七 《大荒北經》</x:v>
      </x:c>
      <x:c r="C1780" s="416" t="str">
        <x:v>又有無腸之國，是任姓，無繼子，食魚。</x:v>
      </x:c>
      <x:c r="D1780" s="416" t="str">
        <x:v>無腸國</x:v>
      </x:c>
      <x:c r="E1780" s="416" t="str">
        <x:v>國家／族群</x:v>
      </x:c>
      <x:c r="F1780" s="416"/>
      <x:c r="G1780" s="416" t="str">
        <x:v>标点与分段参考《山海经校注》；正文对读：https://ctext.org/shan-hai-jing/da-huang-bei-jing/zh</x:v>
      </x:c>
      <x:c r="H1780" s="416" t="e">
        <x:f>HYPERLINK("#'山海经原文总库'!A3","↩ 返回目录")</x:f>
        <x:v>HYPERLINK is not implemented. linkLocation=#'山海经原文总库'!A3, friendlyName=↩ 返回目录</x:v>
      </x:c>
      <x:c r="I1780" s="416"/>
      <x:c r="J1780" s="416"/>
      <x:c r="K1780" s="416" t="str">
        <x:v>待同名检索｜待建档</x:v>
      </x:c>
    </x:row>
    <x:row r="1781" ht="52" hidden="0" customHeight="1">
      <x:c r="A1781" s="416" t="str">
        <x:v>SHJ-17-017-1</x:v>
      </x:c>
      <x:c r="B1781" s="416" t="str">
        <x:v>卷十七 《大荒北經》</x:v>
      </x:c>
      <x:c r="C1781" s="416" t="str">
        <x:v>共工之臣名曰相繇，九首蛇身，自環，食於九土。其所歍所尼，即爲源澤，不辛乃苦，百獸莫能處。禹湮洪水，殺相繇，其血腥臭，不可生谷，其地多水，不可居也。禹湮之，三仞三沮，乃以爲池，羣帝因是以爲臺。在崑崙之北。</x:v>
      </x:c>
      <x:c r="D1781" s="416" t="str">
        <x:v>九土</x:v>
      </x:c>
      <x:c r="E1781" s="416" t="str">
        <x:v>地理名稱</x:v>
      </x:c>
      <x:c r="F1781" s="416"/>
      <x:c r="G1781" s="416" t="str">
        <x:v>标点与分段参考《山海经校注》；正文对读：https://ctext.org/shan-hai-jing/da-huang-bei-jing/zh</x:v>
      </x:c>
      <x:c r="H1781" s="416" t="e">
        <x:f>HYPERLINK("#'山海经原文总库'!A3","↩ 返回目录")</x:f>
        <x:v>HYPERLINK is not implemented. linkLocation=#'山海经原文总库'!A3, friendlyName=↩ 返回目录</x:v>
      </x:c>
      <x:c r="I1781" s="416"/>
      <x:c r="J1781" s="416"/>
      <x:c r="K1781" s="416" t="str">
        <x:v>待同名检索｜待建档</x:v>
      </x:c>
    </x:row>
    <x:row r="1782" ht="52" hidden="0" customHeight="1">
      <x:c r="A1782" s="416" t="str">
        <x:v>SHJ-17-017-2</x:v>
      </x:c>
      <x:c r="B1782" s="416" t="str">
        <x:v>卷十七 《大荒北經》</x:v>
      </x:c>
      <x:c r="C1782" s="416"/>
      <x:c r="D1782" s="416" t="str">
        <x:v>源澤</x:v>
      </x:c>
      <x:c r="E1782" s="416" t="str">
        <x:v>水系／水域</x:v>
      </x:c>
      <x:c r="F1782" s="416"/>
      <x:c r="G1782" s="416" t="str">
        <x:v>标点与分段参考《山海经校注》；正文对读：https://ctext.org/shan-hai-jing/da-huang-bei-jing/zh</x:v>
      </x:c>
      <x:c r="H1782" s="416" t="e">
        <x:f>HYPERLINK("#'山海经原文总库'!A3","↩ 返回目录")</x:f>
        <x:v>HYPERLINK is not implemented. linkLocation=#'山海经原文总库'!A3, friendlyName=↩ 返回目录</x:v>
      </x:c>
      <x:c r="I1782" s="416"/>
      <x:c r="J1782" s="416"/>
      <x:c r="K1782" s="416" t="str">
        <x:v>待同名检索｜待建档</x:v>
      </x:c>
    </x:row>
    <x:row r="1783" ht="52" hidden="0" customHeight="1">
      <x:c r="A1783" s="416" t="str">
        <x:v>SHJ-17-017-3</x:v>
      </x:c>
      <x:c r="B1783" s="416" t="str">
        <x:v>卷十七 《大荒北經》</x:v>
      </x:c>
      <x:c r="C1783" s="416"/>
      <x:c r="D1783" s="416" t="str">
        <x:v>崑崙之北</x:v>
      </x:c>
      <x:c r="E1783" s="416" t="str">
        <x:v>地理名稱</x:v>
      </x:c>
      <x:c r="F1783" s="416"/>
      <x:c r="G1783" s="416" t="str">
        <x:v>标点与分段参考《山海经校注》；正文对读：https://ctext.org/shan-hai-jing/da-huang-bei-jing/zh</x:v>
      </x:c>
      <x:c r="H1783" s="416" t="e">
        <x:f>HYPERLINK("#'山海经原文总库'!A3","↩ 返回目录")</x:f>
        <x:v>HYPERLINK is not implemented. linkLocation=#'山海经原文总库'!A3, friendlyName=↩ 返回目录</x:v>
      </x:c>
      <x:c r="I1783" s="416"/>
      <x:c r="J1783" s="416"/>
      <x:c r="K1783" s="416" t="str">
        <x:v>待同名检索｜待建档</x:v>
      </x:c>
    </x:row>
    <x:row r="1784" ht="52" hidden="0" customHeight="1">
      <x:c r="A1784" s="416" t="str">
        <x:v>SHJ-17-017-4</x:v>
      </x:c>
      <x:c r="B1784" s="416" t="str">
        <x:v>卷十七 《大荒北經》</x:v>
      </x:c>
      <x:c r="C1784" s="416"/>
      <x:c r="D1784" s="416" t="str">
        <x:v>群帝之臺</x:v>
      </x:c>
      <x:c r="E1784" s="416" t="str">
        <x:v>臺／壇</x:v>
      </x:c>
      <x:c r="F1784" s="416"/>
      <x:c r="G1784" s="416" t="str">
        <x:v>标点与分段参考《山海经校注》；正文对读：https://ctext.org/shan-hai-jing/da-huang-bei-jing/zh</x:v>
      </x:c>
      <x:c r="H1784" s="416" t="e">
        <x:f>HYPERLINK("#'山海经原文总库'!A3","↩ 返回目录")</x:f>
        <x:v>HYPERLINK is not implemented. linkLocation=#'山海经原文总库'!A3, friendlyName=↩ 返回目录</x:v>
      </x:c>
      <x:c r="I1784" s="416"/>
      <x:c r="J1784" s="416"/>
      <x:c r="K1784" s="416" t="str">
        <x:v>待同名检索｜待建档</x:v>
      </x:c>
    </x:row>
    <x:row r="1785" ht="52" hidden="0" customHeight="1">
      <x:c r="A1785" s="416" t="str">
        <x:v>SHJ-17-018-1</x:v>
      </x:c>
      <x:c r="B1785" s="416" t="str">
        <x:v>卷十七 《大荒北經》</x:v>
      </x:c>
      <x:c r="C1785" s="416" t="str">
        <x:v>有嶽之山，尋竹生焉。</x:v>
      </x:c>
      <x:c r="D1785" s="416" t="str">
        <x:v>岳山</x:v>
      </x:c>
      <x:c r="E1785" s="416" t="str">
        <x:v>山／丘</x:v>
      </x:c>
      <x:c r="F1785" s="416"/>
      <x:c r="G1785" s="416" t="str">
        <x:v>标点与分段参考《山海经校注》；正文对读：https://ctext.org/shan-hai-jing/da-huang-bei-jing/zh</x:v>
      </x:c>
      <x:c r="H1785" s="416" t="e">
        <x:f>HYPERLINK("#'山海经原文总库'!A3","↩ 返回目录")</x:f>
        <x:v>HYPERLINK is not implemented. linkLocation=#'山海经原文总库'!A3, friendlyName=↩ 返回目录</x:v>
      </x:c>
      <x:c r="I1785" s="416"/>
      <x:c r="J1785" s="416"/>
      <x:c r="K1785" s="416" t="str">
        <x:v>待同名检索｜待建档</x:v>
      </x:c>
    </x:row>
    <x:row r="1786" ht="52" hidden="0" customHeight="1">
      <x:c r="A1786" s="416" t="str">
        <x:v>SHJ-17-019-1</x:v>
      </x:c>
      <x:c r="B1786" s="416" t="str">
        <x:v>卷十七 《大荒北經》</x:v>
      </x:c>
      <x:c r="C1786" s="416" t="str">
        <x:v>大荒之中，有山名不句，海水入焉。</x:v>
      </x:c>
      <x:c r="D1786" s="416" t="str">
        <x:v>不句山</x:v>
      </x:c>
      <x:c r="E1786" s="416" t="str">
        <x:v>山／丘</x:v>
      </x:c>
      <x:c r="F1786" s="416"/>
      <x:c r="G1786" s="416" t="str">
        <x:v>标点与分段参考《山海经校注》；正文对读：https://ctext.org/shan-hai-jing/da-huang-bei-jing/zh</x:v>
      </x:c>
      <x:c r="H1786" s="416" t="e">
        <x:f>HYPERLINK("#'山海经原文总库'!A3","↩ 返回目录")</x:f>
        <x:v>HYPERLINK is not implemented. linkLocation=#'山海经原文总库'!A3, friendlyName=↩ 返回目录</x:v>
      </x:c>
      <x:c r="I1786" s="416"/>
      <x:c r="J1786" s="416"/>
      <x:c r="K1786" s="416" t="str">
        <x:v>待同名检索｜待建档</x:v>
      </x:c>
    </x:row>
    <x:row r="1787" ht="52" hidden="0" customHeight="1">
      <x:c r="A1787" s="416" t="str">
        <x:v>SHJ-17-019-2</x:v>
      </x:c>
      <x:c r="B1787" s="416" t="str">
        <x:v>卷十七 《大荒北經》</x:v>
      </x:c>
      <x:c r="C1787" s="416"/>
      <x:c r="D1787" s="416" t="str">
        <x:v>海水</x:v>
      </x:c>
      <x:c r="E1787" s="416" t="str">
        <x:v>水系／水域</x:v>
      </x:c>
      <x:c r="F1787" s="416"/>
      <x:c r="G1787" s="416" t="str">
        <x:v>标点与分段参考《山海经校注》；正文对读：https://ctext.org/shan-hai-jing/da-huang-bei-jing/zh</x:v>
      </x:c>
      <x:c r="H1787" s="416" t="e">
        <x:f>HYPERLINK("#'山海经原文总库'!A3","↩ 返回目录")</x:f>
        <x:v>HYPERLINK is not implemented. linkLocation=#'山海经原文总库'!A3, friendlyName=↩ 返回目录</x:v>
      </x:c>
      <x:c r="I1787" s="416"/>
      <x:c r="J1787" s="416"/>
      <x:c r="K1787" s="416" t="str">
        <x:v>待同名检索｜待建档</x:v>
      </x:c>
    </x:row>
    <x:row r="1788" ht="52" hidden="0" customHeight="1">
      <x:c r="A1788" s="416" t="str">
        <x:v>SHJ-17-020-1</x:v>
      </x:c>
      <x:c r="B1788" s="416" t="str">
        <x:v>卷十七 《大荒北經》</x:v>
      </x:c>
      <x:c r="C1788" s="416" t="str">
        <x:v>有系昆之山者，有共工之臺，射者不敢北鄉。有人衣青衣，名曰黃帝女魃。蚩尤作兵伐黃帝，黃帝乃令應龍攻之冀州之野。應龍畜水，蚩尤請風伯雨師，縱大風雨。黃帝乃下天女曰魃，雨止，遂殺蚩尤。魃不得復上，所居不雨。叔均言之帝，後置之赤水之北。叔均乃爲田祖。魃時亡之。所欲逐之者，令曰：“神北行！”先除水道，決通溝瀆。</x:v>
      </x:c>
      <x:c r="D1788" s="416" t="str">
        <x:v>系崑山</x:v>
      </x:c>
      <x:c r="E1788" s="416" t="str">
        <x:v>山／丘</x:v>
      </x:c>
      <x:c r="F1788" s="416"/>
      <x:c r="G1788" s="416" t="str">
        <x:v>标点与分段参考《山海经校注》；正文对读：https://ctext.org/shan-hai-jing/da-huang-bei-jing/zh</x:v>
      </x:c>
      <x:c r="H1788" s="416" t="e">
        <x:f>HYPERLINK("#'山海经原文总库'!A3","↩ 返回目录")</x:f>
        <x:v>HYPERLINK is not implemented. linkLocation=#'山海经原文总库'!A3, friendlyName=↩ 返回目录</x:v>
      </x:c>
      <x:c r="I1788" s="416"/>
      <x:c r="J1788" s="416"/>
      <x:c r="K1788" s="416" t="str">
        <x:v>待同名检索｜待建档</x:v>
      </x:c>
    </x:row>
    <x:row r="1789" ht="52" hidden="0" customHeight="1">
      <x:c r="A1789" s="416" t="str">
        <x:v>SHJ-17-020-2</x:v>
      </x:c>
      <x:c r="B1789" s="416" t="str">
        <x:v>卷十七 《大荒北經》</x:v>
      </x:c>
      <x:c r="C1789" s="416"/>
      <x:c r="D1789" s="416" t="str">
        <x:v>共工臺</x:v>
      </x:c>
      <x:c r="E1789" s="416" t="str">
        <x:v>臺／壇</x:v>
      </x:c>
      <x:c r="F1789" s="416"/>
      <x:c r="G1789" s="416" t="str">
        <x:v>标点与分段参考《山海经校注》；正文对读：https://ctext.org/shan-hai-jing/da-huang-bei-jing/zh</x:v>
      </x:c>
      <x:c r="H1789" s="416" t="e">
        <x:f>HYPERLINK("#'山海经原文总库'!A3","↩ 返回目录")</x:f>
        <x:v>HYPERLINK is not implemented. linkLocation=#'山海经原文总库'!A3, friendlyName=↩ 返回目录</x:v>
      </x:c>
      <x:c r="I1789" s="416"/>
      <x:c r="J1789" s="416"/>
      <x:c r="K1789" s="416" t="str">
        <x:v>待同名检索｜待建档</x:v>
      </x:c>
    </x:row>
    <x:row r="1790" ht="52" hidden="0" customHeight="1">
      <x:c r="A1790" s="416" t="str">
        <x:v>SHJ-17-020-3</x:v>
      </x:c>
      <x:c r="B1790" s="416" t="str">
        <x:v>卷十七 《大荒北經》</x:v>
      </x:c>
      <x:c r="C1790" s="416"/>
      <x:c r="D1790" s="416" t="str">
        <x:v>冀州之野</x:v>
      </x:c>
      <x:c r="E1790" s="416" t="str">
        <x:v>區域</x:v>
      </x:c>
      <x:c r="F1790" s="416"/>
      <x:c r="G1790" s="416" t="str">
        <x:v>标点与分段参考《山海经校注》；正文对读：https://ctext.org/shan-hai-jing/da-huang-bei-jing/zh</x:v>
      </x:c>
      <x:c r="H1790" s="416" t="e">
        <x:f>HYPERLINK("#'山海经原文总库'!A3","↩ 返回目录")</x:f>
        <x:v>HYPERLINK is not implemented. linkLocation=#'山海经原文总库'!A3, friendlyName=↩ 返回目录</x:v>
      </x:c>
      <x:c r="I1790" s="416"/>
      <x:c r="J1790" s="416"/>
      <x:c r="K1790" s="416" t="str">
        <x:v>待同名检索｜待建档</x:v>
      </x:c>
    </x:row>
    <x:row r="1791" ht="52" hidden="0" customHeight="1">
      <x:c r="A1791" s="416" t="str">
        <x:v>SHJ-17-020-4</x:v>
      </x:c>
      <x:c r="B1791" s="416" t="str">
        <x:v>卷十七 《大荒北經》</x:v>
      </x:c>
      <x:c r="C1791" s="416"/>
      <x:c r="D1791" s="416" t="str">
        <x:v>赤水之北</x:v>
      </x:c>
      <x:c r="E1791" s="416" t="str">
        <x:v>水系／水域</x:v>
      </x:c>
      <x:c r="F1791" s="416"/>
      <x:c r="G1791" s="416" t="str">
        <x:v>标点与分段参考《山海经校注》；正文对读：https://ctext.org/shan-hai-jing/da-huang-bei-jing/zh</x:v>
      </x:c>
      <x:c r="H1791" s="416" t="e">
        <x:f>HYPERLINK("#'山海经原文总库'!A3","↩ 返回目录")</x:f>
        <x:v>HYPERLINK is not implemented. linkLocation=#'山海经原文总库'!A3, friendlyName=↩ 返回目录</x:v>
      </x:c>
      <x:c r="I1791" s="416"/>
      <x:c r="J1791" s="416"/>
      <x:c r="K1791" s="416" t="str">
        <x:v>待同名检索｜待建档</x:v>
      </x:c>
    </x:row>
    <x:row r="1792" ht="52" hidden="0" customHeight="1">
      <x:c r="A1792" s="416" t="str">
        <x:v>SHJ-17-021-1</x:v>
      </x:c>
      <x:c r="B1792" s="416" t="str">
        <x:v>卷十七 《大荒北經》</x:v>
      </x:c>
      <x:c r="C1792" s="416" t="str">
        <x:v>有人方食魚，名曰深目民之國，昐姓，食魚。</x:v>
      </x:c>
      <x:c r="D1792" s="416" t="str">
        <x:v>深目民國</x:v>
      </x:c>
      <x:c r="E1792" s="416" t="str">
        <x:v>國家／族群</x:v>
      </x:c>
      <x:c r="F1792" s="416"/>
      <x:c r="G1792" s="416" t="str">
        <x:v>标点与分段参考《山海经校注》；正文对读：https://ctext.org/shan-hai-jing/da-huang-bei-jing/zh</x:v>
      </x:c>
      <x:c r="H1792" s="416" t="e">
        <x:f>HYPERLINK("#'山海经原文总库'!A3","↩ 返回目录")</x:f>
        <x:v>HYPERLINK is not implemented. linkLocation=#'山海经原文总库'!A3, friendlyName=↩ 返回目录</x:v>
      </x:c>
      <x:c r="I1792" s="416"/>
      <x:c r="J1792" s="416"/>
      <x:c r="K1792" s="416" t="str">
        <x:v>待同名检索｜待建档</x:v>
      </x:c>
    </x:row>
    <x:row r="1793" ht="52" hidden="0" customHeight="1">
      <x:c r="A1793" s="416" t="str">
        <x:v>SHJ-17-022-1</x:v>
      </x:c>
      <x:c r="B1793" s="416" t="str">
        <x:v>卷十七 《大荒北經》</x:v>
      </x:c>
      <x:c r="C1793" s="416" t="str">
        <x:v>有鐘山者。有女子衣青衣，名曰赤水女子獻。</x:v>
      </x:c>
      <x:c r="D1793" s="416" t="str">
        <x:v>鍾山</x:v>
      </x:c>
      <x:c r="E1793" s="416" t="str">
        <x:v>山／丘</x:v>
      </x:c>
      <x:c r="F1793" s="416"/>
      <x:c r="G1793" s="416" t="str">
        <x:v>标点与分段参考《山海经校注》；正文对读：https://ctext.org/shan-hai-jing/da-huang-bei-jing/zh</x:v>
      </x:c>
      <x:c r="H1793" s="416" t="e">
        <x:f>HYPERLINK("#'山海经原文总库'!A3","↩ 返回目录")</x:f>
        <x:v>HYPERLINK is not implemented. linkLocation=#'山海经原文总库'!A3, friendlyName=↩ 返回目录</x:v>
      </x:c>
      <x:c r="I1793" s="416"/>
      <x:c r="J1793" s="416"/>
      <x:c r="K1793" s="416" t="str">
        <x:v>待同名检索｜待建档</x:v>
      </x:c>
    </x:row>
    <x:row r="1794" ht="52" hidden="0" customHeight="1">
      <x:c r="A1794" s="416" t="str">
        <x:v>SHJ-17-022-2</x:v>
      </x:c>
      <x:c r="B1794" s="416" t="str">
        <x:v>卷十七 《大荒北經》</x:v>
      </x:c>
      <x:c r="C1794" s="416"/>
      <x:c r="D1794" s="416" t="str">
        <x:v>赤水</x:v>
      </x:c>
      <x:c r="E1794" s="416" t="str">
        <x:v>水系／水域</x:v>
      </x:c>
      <x:c r="F1794" s="416"/>
      <x:c r="G1794" s="416" t="str">
        <x:v>标点与分段参考《山海经校注》；正文对读：https://ctext.org/shan-hai-jing/da-huang-bei-jing/zh</x:v>
      </x:c>
      <x:c r="H1794" s="416" t="e">
        <x:f>HYPERLINK("#'山海经原文总库'!A3","↩ 返回目录")</x:f>
        <x:v>HYPERLINK is not implemented. linkLocation=#'山海经原文总库'!A3, friendlyName=↩ 返回目录</x:v>
      </x:c>
      <x:c r="I1794" s="416"/>
      <x:c r="J1794" s="416"/>
      <x:c r="K1794" s="416" t="str">
        <x:v>待同名检索｜待建档</x:v>
      </x:c>
    </x:row>
    <x:row r="1795" ht="52" hidden="0" customHeight="1">
      <x:c r="A1795" s="416" t="str">
        <x:v>SHJ-17-023-1</x:v>
      </x:c>
      <x:c r="B1795" s="416" t="str">
        <x:v>卷十七 《大荒北經》</x:v>
      </x:c>
      <x:c r="C1795" s="416" t="str">
        <x:v>大荒之中，有山名曰融父山，順水入焉。有人名曰犬戎。黃帝生苗龍，苗龍生融吾，融吾生弄明，弄明生白犬，白犬有牝牡，是爲犬戎，肉食。有赤獸，馬狀無首，名曰戎宣王屍。</x:v>
      </x:c>
      <x:c r="D1795" s="416" t="str">
        <x:v>融父山</x:v>
      </x:c>
      <x:c r="E1795" s="416" t="str">
        <x:v>山／丘</x:v>
      </x:c>
      <x:c r="F1795" s="416"/>
      <x:c r="G1795" s="416" t="str">
        <x:v>标点与分段参考《山海经校注》；正文对读：https://ctext.org/shan-hai-jing/da-huang-bei-jing/zh</x:v>
      </x:c>
      <x:c r="H1795" s="416" t="e">
        <x:f>HYPERLINK("#'山海经原文总库'!A3","↩ 返回目录")</x:f>
        <x:v>HYPERLINK is not implemented. linkLocation=#'山海经原文总库'!A3, friendlyName=↩ 返回目录</x:v>
      </x:c>
      <x:c r="I1795" s="416"/>
      <x:c r="J1795" s="416"/>
      <x:c r="K1795" s="416" t="str">
        <x:v>待同名检索｜待建档</x:v>
      </x:c>
    </x:row>
    <x:row r="1796" ht="52" hidden="0" customHeight="1">
      <x:c r="A1796" s="416" t="str">
        <x:v>SHJ-17-023-2</x:v>
      </x:c>
      <x:c r="B1796" s="416" t="str">
        <x:v>卷十七 《大荒北經》</x:v>
      </x:c>
      <x:c r="C1796" s="416"/>
      <x:c r="D1796" s="416" t="str">
        <x:v>順水</x:v>
      </x:c>
      <x:c r="E1796" s="416" t="str">
        <x:v>水系／水域</x:v>
      </x:c>
      <x:c r="F1796" s="416"/>
      <x:c r="G1796" s="416" t="str">
        <x:v>标点与分段参考《山海经校注》；正文对读：https://ctext.org/shan-hai-jing/da-huang-bei-jing/zh</x:v>
      </x:c>
      <x:c r="H1796" s="416" t="e">
        <x:f>HYPERLINK("#'山海经原文总库'!A3","↩ 返回目录")</x:f>
        <x:v>HYPERLINK is not implemented. linkLocation=#'山海经原文总库'!A3, friendlyName=↩ 返回目录</x:v>
      </x:c>
      <x:c r="I1796" s="416"/>
      <x:c r="J1796" s="416"/>
      <x:c r="K1796" s="416" t="str">
        <x:v>待同名检索｜待建档</x:v>
      </x:c>
    </x:row>
    <x:row r="1797" ht="52" hidden="0" customHeight="1">
      <x:c r="A1797" s="416" t="str">
        <x:v>SHJ-17-023-3</x:v>
      </x:c>
      <x:c r="B1797" s="416" t="str">
        <x:v>卷十七 《大荒北經》</x:v>
      </x:c>
      <x:c r="C1797" s="416"/>
      <x:c r="D1797" s="416" t="str">
        <x:v>犬戎</x:v>
      </x:c>
      <x:c r="E1797" s="416" t="str">
        <x:v>地理名稱</x:v>
      </x:c>
      <x:c r="F1797" s="416"/>
      <x:c r="G1797" s="416" t="str">
        <x:v>标点与分段参考《山海经校注》；正文对读：https://ctext.org/shan-hai-jing/da-huang-bei-jing/zh</x:v>
      </x:c>
      <x:c r="H1797" s="416" t="e">
        <x:f>HYPERLINK("#'山海经原文总库'!A3","↩ 返回目录")</x:f>
        <x:v>HYPERLINK is not implemented. linkLocation=#'山海经原文总库'!A3, friendlyName=↩ 返回目录</x:v>
      </x:c>
      <x:c r="I1797" s="416"/>
      <x:c r="J1797" s="416"/>
      <x:c r="K1797" s="416" t="str">
        <x:v>待同名检索｜待建档</x:v>
      </x:c>
    </x:row>
    <x:row r="1798" ht="52" hidden="0" customHeight="1">
      <x:c r="A1798" s="423" t="str">
        <x:v>SHJ-17-024-1</x:v>
      </x:c>
      <x:c r="B1798" s="423" t="str">
        <x:v>卷十七 《大荒北經》</x:v>
      </x:c>
      <x:c r="C1798" s="423" t="str">
        <x:v>有山名曰齊州之山、君山、？山、鮮野山、魚山。</x:v>
      </x:c>
      <x:c r="D1798" s="423" t="str">
        <x:v>齊州山</x:v>
      </x:c>
      <x:c r="E1798" s="423" t="str">
        <x:v>山／丘</x:v>
      </x:c>
      <x:c r="F1798" s="423"/>
      <x:c r="G1798" s="423" t="str">
        <x:v>标点与分段参考《山海经校注》；正文对读：https://ctext.org/shan-hai-jing/da-huang-bei-jing/zh</x:v>
      </x:c>
      <x:c r="H1798" s="423" t="e">
        <x:f>HYPERLINK("#'山海经原文总库'!A3","↩ 返回目录")</x:f>
        <x:v>HYPERLINK is not implemented. linkLocation=#'山海经原文总库'!A3, friendlyName=↩ 返回目录</x:v>
      </x:c>
      <x:c r="I1798" s="423"/>
      <x:c r="J1798" s="423"/>
      <x:c r="K1798" s="423" t="str">
        <x:v>待同名检索｜待建档</x:v>
      </x:c>
    </x:row>
    <x:row r="1799" ht="52" hidden="0" customHeight="1">
      <x:c r="A1799" s="423" t="str">
        <x:v>SHJ-17-024-2</x:v>
      </x:c>
      <x:c r="B1799" s="423" t="str">
        <x:v>卷十七 《大荒北經》</x:v>
      </x:c>
      <x:c r="C1799" s="423"/>
      <x:c r="D1799" s="423" t="str">
        <x:v>君山</x:v>
      </x:c>
      <x:c r="E1799" s="423" t="str">
        <x:v>山／丘</x:v>
      </x:c>
      <x:c r="F1799" s="423"/>
      <x:c r="G1799" s="423" t="str">
        <x:v>标点与分段参考《山海经校注》；正文对读：https://ctext.org/shan-hai-jing/da-huang-bei-jing/zh</x:v>
      </x:c>
      <x:c r="H1799" s="423" t="e">
        <x:f>HYPERLINK("#'山海经原文总库'!A3","↩ 返回目录")</x:f>
        <x:v>HYPERLINK is not implemented. linkLocation=#'山海经原文总库'!A3, friendlyName=↩ 返回目录</x:v>
      </x:c>
      <x:c r="I1799" s="423"/>
      <x:c r="J1799" s="423"/>
      <x:c r="K1799" s="423" t="str">
        <x:v>待同名检索｜待建档</x:v>
      </x:c>
    </x:row>
    <x:row r="1800" ht="52" hidden="0" customHeight="1">
      <x:c r="A1800" s="423" t="str">
        <x:v>SHJ-17-024-3</x:v>
      </x:c>
      <x:c r="B1800" s="423" t="str">
        <x:v>卷十七 《大荒北經》</x:v>
      </x:c>
      <x:c r="C1800" s="423"/>
      <x:c r="D1800" s="423" t="str">
        <x:v>鬵山</x:v>
      </x:c>
      <x:c r="E1800" s="423" t="str">
        <x:v>山／丘</x:v>
      </x:c>
      <x:c r="F1800" s="423"/>
      <x:c r="G1800" s="423" t="str">
        <x:v>标点与分段参考《山海经校注》；正文对读：https://ctext.org/shan-hai-jing/da-huang-bei-jing/zh</x:v>
      </x:c>
      <x:c r="H1800" s="423" t="e">
        <x:f>HYPERLINK("#'山海经原文总库'!A3","↩ 返回目录")</x:f>
        <x:v>HYPERLINK is not implemented. linkLocation=#'山海经原文总库'!A3, friendlyName=↩ 返回目录</x:v>
      </x:c>
      <x:c r="I1800" s="423"/>
      <x:c r="J1800" s="423"/>
      <x:c r="K1800" s="423" t="str">
        <x:v>待同名检索｜待建档</x:v>
      </x:c>
    </x:row>
    <x:row r="1801" ht="52" hidden="0" customHeight="1">
      <x:c r="A1801" s="423" t="str">
        <x:v>SHJ-17-024-4</x:v>
      </x:c>
      <x:c r="B1801" s="423" t="str">
        <x:v>卷十七 《大荒北經》</x:v>
      </x:c>
      <x:c r="C1801" s="423"/>
      <x:c r="D1801" s="423" t="str">
        <x:v>鮮野山</x:v>
      </x:c>
      <x:c r="E1801" s="423" t="str">
        <x:v>山／丘</x:v>
      </x:c>
      <x:c r="F1801" s="423"/>
      <x:c r="G1801" s="423" t="str">
        <x:v>标点与分段参考《山海经校注》；正文对读：https://ctext.org/shan-hai-jing/da-huang-bei-jing/zh</x:v>
      </x:c>
      <x:c r="H1801" s="423" t="e">
        <x:f>HYPERLINK("#'山海经原文总库'!A3","↩ 返回目录")</x:f>
        <x:v>HYPERLINK is not implemented. linkLocation=#'山海经原文总库'!A3, friendlyName=↩ 返回目录</x:v>
      </x:c>
      <x:c r="I1801" s="423"/>
      <x:c r="J1801" s="423"/>
      <x:c r="K1801" s="423" t="str">
        <x:v>待同名检索｜待建档</x:v>
      </x:c>
    </x:row>
    <x:row r="1802" ht="52" hidden="0" customHeight="1">
      <x:c r="A1802" s="423" t="str">
        <x:v>SHJ-17-024-5</x:v>
      </x:c>
      <x:c r="B1802" s="423" t="str">
        <x:v>卷十七 《大荒北經》</x:v>
      </x:c>
      <x:c r="C1802" s="423"/>
      <x:c r="D1802" s="423" t="str">
        <x:v>魚山</x:v>
      </x:c>
      <x:c r="E1802" s="423" t="str">
        <x:v>山／丘</x:v>
      </x:c>
      <x:c r="F1802" s="423"/>
      <x:c r="G1802" s="423" t="str">
        <x:v>标点与分段参考《山海经校注》；正文对读：https://ctext.org/shan-hai-jing/da-huang-bei-jing/zh</x:v>
      </x:c>
      <x:c r="H1802" s="423" t="e">
        <x:f>HYPERLINK("#'山海经原文总库'!A3","↩ 返回目录")</x:f>
        <x:v>HYPERLINK is not implemented. linkLocation=#'山海经原文总库'!A3, friendlyName=↩ 返回目录</x:v>
      </x:c>
      <x:c r="I1802" s="423"/>
      <x:c r="J1802" s="423"/>
      <x:c r="K1802" s="423" t="str">
        <x:v>待同名检索｜待建档</x:v>
      </x:c>
    </x:row>
    <x:row r="1803" ht="52" hidden="0" customHeight="1">
      <x:c r="A1803" s="423" t="str">
        <x:v>SHJ-17-025-1</x:v>
      </x:c>
      <x:c r="B1803" s="423" t="str">
        <x:v>卷十七 《大荒北經》</x:v>
      </x:c>
      <x:c r="C1803" s="423" t="str">
        <x:v>有人一目，當面中生，一曰是威姓，少昊之子，食黍。</x:v>
      </x:c>
      <x:c r="D1803" s="423"/>
      <x:c r="E1803" s="423"/>
      <x:c r="F1803" s="423"/>
      <x:c r="G1803" s="423" t="str">
        <x:v>标点与分段参考《山海经校注》；正文对读：https://ctext.org/shan-hai-jing/da-huang-bei-jing/zh</x:v>
      </x:c>
      <x:c r="H1803" s="423" t="e">
        <x:f>HYPERLINK("#'山海经原文总库'!A3","↩ 返回目录")</x:f>
        <x:v>HYPERLINK is not implemented. linkLocation=#'山海经原文总库'!A3, friendlyName=↩ 返回目录</x:v>
      </x:c>
      <x:c r="I1803" s="423"/>
      <x:c r="J1803" s="423"/>
      <x:c r="K1803" s="423" t="str">
        <x:v>经文已收录｜非地点行</x:v>
      </x:c>
    </x:row>
    <x:row r="1804" ht="52" hidden="0" customHeight="1">
      <x:c r="A1804" s="423" t="str">
        <x:v>SHJ-17-026-1</x:v>
      </x:c>
      <x:c r="B1804" s="423" t="str">
        <x:v>卷十七 《大荒北經》</x:v>
      </x:c>
      <x:c r="C1804" s="423" t="str">
        <x:v>有繼無民，繼無民任姓，無骨子，食氣、魚。</x:v>
      </x:c>
      <x:c r="D1804" s="423" t="str">
        <x:v>繼無民</x:v>
      </x:c>
      <x:c r="E1804" s="423" t="str">
        <x:v>國家／族群</x:v>
      </x:c>
      <x:c r="F1804" s="423"/>
      <x:c r="G1804" s="423" t="str">
        <x:v>标点与分段参考《山海经校注》；正文对读：https://ctext.org/shan-hai-jing/da-huang-bei-jing/zh</x:v>
      </x:c>
      <x:c r="H1804" s="423" t="e">
        <x:f>HYPERLINK("#'山海经原文总库'!A3","↩ 返回目录")</x:f>
        <x:v>HYPERLINK is not implemented. linkLocation=#'山海经原文总库'!A3, friendlyName=↩ 返回目录</x:v>
      </x:c>
      <x:c r="I1804" s="423"/>
      <x:c r="J1804" s="423"/>
      <x:c r="K1804" s="423" t="str">
        <x:v>待同名检索｜待建档</x:v>
      </x:c>
    </x:row>
    <x:row r="1805" ht="52" hidden="0" customHeight="1">
      <x:c r="A1805" s="423" t="str">
        <x:v>SHJ-17-027-1</x:v>
      </x:c>
      <x:c r="B1805" s="423" t="str">
        <x:v>卷十七 《大荒北經》</x:v>
      </x:c>
      <x:c r="C1805" s="423" t="str">
        <x:v>西北海外，流沙之東，有國曰中（車扁），顓頊之子，食黍。</x:v>
      </x:c>
      <x:c r="D1805" s="423" t="str">
        <x:v>西北海外</x:v>
      </x:c>
      <x:c r="E1805" s="423" t="str">
        <x:v>區域</x:v>
      </x:c>
      <x:c r="F1805" s="423"/>
      <x:c r="G1805" s="423" t="str">
        <x:v>标点与分段参考《山海经校注》；正文对读：https://ctext.org/shan-hai-jing/da-huang-bei-jing/zh</x:v>
      </x:c>
      <x:c r="H1805" s="423" t="e">
        <x:f>HYPERLINK("#'山海经原文总库'!A3","↩ 返回目录")</x:f>
        <x:v>HYPERLINK is not implemented. linkLocation=#'山海经原文总库'!A3, friendlyName=↩ 返回目录</x:v>
      </x:c>
      <x:c r="I1805" s="423"/>
      <x:c r="J1805" s="423"/>
      <x:c r="K1805" s="423" t="str">
        <x:v>待同名检索｜待建档</x:v>
      </x:c>
    </x:row>
    <x:row r="1806" ht="52" hidden="0" customHeight="1">
      <x:c r="A1806" s="423" t="str">
        <x:v>SHJ-17-027-2</x:v>
      </x:c>
      <x:c r="B1806" s="423" t="str">
        <x:v>卷十七 《大荒北經》</x:v>
      </x:c>
      <x:c r="C1806" s="423"/>
      <x:c r="D1806" s="423" t="str">
        <x:v>流沙</x:v>
      </x:c>
      <x:c r="E1806" s="423" t="str">
        <x:v>區域</x:v>
      </x:c>
      <x:c r="F1806" s="423"/>
      <x:c r="G1806" s="423" t="str">
        <x:v>标点与分段参考《山海经校注》；正文对读：https://ctext.org/shan-hai-jing/da-huang-bei-jing/zh</x:v>
      </x:c>
      <x:c r="H1806" s="423" t="e">
        <x:f>HYPERLINK("#'山海经原文总库'!A3","↩ 返回目录")</x:f>
        <x:v>HYPERLINK is not implemented. linkLocation=#'山海经原文总库'!A3, friendlyName=↩ 返回目录</x:v>
      </x:c>
      <x:c r="I1806" s="423"/>
      <x:c r="J1806" s="423"/>
      <x:c r="K1806" s="423" t="str">
        <x:v>待同名检索｜待建档</x:v>
      </x:c>
    </x:row>
    <x:row r="1807" ht="52" hidden="0" customHeight="1">
      <x:c r="A1807" s="423" t="str">
        <x:v>SHJ-17-027-3</x:v>
      </x:c>
      <x:c r="B1807" s="423" t="str">
        <x:v>卷十七 《大荒北經》</x:v>
      </x:c>
      <x:c r="C1807" s="423"/>
      <x:c r="D1807" s="423" t="str">
        <x:v>中䡢國</x:v>
      </x:c>
      <x:c r="E1807" s="423" t="str">
        <x:v>國家／族群</x:v>
      </x:c>
      <x:c r="F1807" s="423"/>
      <x:c r="G1807" s="423" t="str">
        <x:v>标点与分段参考《山海经校注》；正文对读：https://ctext.org/shan-hai-jing/da-huang-bei-jing/zh</x:v>
      </x:c>
      <x:c r="H1807" s="423" t="e">
        <x:f>HYPERLINK("#'山海经原文总库'!A3","↩ 返回目录")</x:f>
        <x:v>HYPERLINK is not implemented. linkLocation=#'山海经原文总库'!A3, friendlyName=↩ 返回目录</x:v>
      </x:c>
      <x:c r="I1807" s="423"/>
      <x:c r="J1807" s="423"/>
      <x:c r="K1807" s="423" t="str">
        <x:v>待同名检索｜待建档</x:v>
      </x:c>
    </x:row>
    <x:row r="1808" ht="52" hidden="0" customHeight="1">
      <x:c r="A1808" s="423" t="str">
        <x:v>SHJ-17-028-1</x:v>
      </x:c>
      <x:c r="B1808" s="423" t="str">
        <x:v>卷十七 《大荒北經》</x:v>
      </x:c>
      <x:c r="C1808" s="423" t="str">
        <x:v>有國名曰賴丘。有犬戎國。有神，人面獸身，名曰犬戎。</x:v>
      </x:c>
      <x:c r="D1808" s="423" t="str">
        <x:v>賴丘國</x:v>
      </x:c>
      <x:c r="E1808" s="423" t="str">
        <x:v>國家／族群</x:v>
      </x:c>
      <x:c r="F1808" s="423"/>
      <x:c r="G1808" s="423" t="str">
        <x:v>标点与分段参考《山海经校注》；正文对读：https://ctext.org/shan-hai-jing/da-huang-bei-jing/zh</x:v>
      </x:c>
      <x:c r="H1808" s="423" t="e">
        <x:f>HYPERLINK("#'山海经原文总库'!A3","↩ 返回目录")</x:f>
        <x:v>HYPERLINK is not implemented. linkLocation=#'山海经原文总库'!A3, friendlyName=↩ 返回目录</x:v>
      </x:c>
      <x:c r="I1808" s="423"/>
      <x:c r="J1808" s="423"/>
      <x:c r="K1808" s="423" t="str">
        <x:v>待同名检索｜待建档</x:v>
      </x:c>
    </x:row>
    <x:row r="1809" ht="52" hidden="0" customHeight="1">
      <x:c r="A1809" s="423" t="str">
        <x:v>SHJ-17-028-2</x:v>
      </x:c>
      <x:c r="B1809" s="423" t="str">
        <x:v>卷十七 《大荒北經》</x:v>
      </x:c>
      <x:c r="C1809" s="423"/>
      <x:c r="D1809" s="423" t="str">
        <x:v>犬戎國</x:v>
      </x:c>
      <x:c r="E1809" s="423" t="str">
        <x:v>國家／族群</x:v>
      </x:c>
      <x:c r="F1809" s="423"/>
      <x:c r="G1809" s="423" t="str">
        <x:v>标点与分段参考《山海经校注》；正文对读：https://ctext.org/shan-hai-jing/da-huang-bei-jing/zh</x:v>
      </x:c>
      <x:c r="H1809" s="423" t="e">
        <x:f>HYPERLINK("#'山海经原文总库'!A3","↩ 返回目录")</x:f>
        <x:v>HYPERLINK is not implemented. linkLocation=#'山海经原文总库'!A3, friendlyName=↩ 返回目录</x:v>
      </x:c>
      <x:c r="I1809" s="423"/>
      <x:c r="J1809" s="423"/>
      <x:c r="K1809" s="423" t="str">
        <x:v>待同名检索｜待建档</x:v>
      </x:c>
    </x:row>
    <x:row r="1810" ht="52" hidden="0" customHeight="1">
      <x:c r="A1810" s="423" t="str">
        <x:v>SHJ-17-029-1</x:v>
      </x:c>
      <x:c r="B1810" s="423" t="str">
        <x:v>卷十七 《大荒北經》</x:v>
      </x:c>
      <x:c r="C1810" s="423" t="str">
        <x:v>西北海外，黑水之北，有人有翼，名曰苗民。顓頊生驩頭，驩頭生苗民，苗民釐姓，食肉。有山名曰章山。</x:v>
      </x:c>
      <x:c r="D1810" s="423" t="str">
        <x:v>西北海外</x:v>
      </x:c>
      <x:c r="E1810" s="423" t="str">
        <x:v>區域</x:v>
      </x:c>
      <x:c r="F1810" s="423"/>
      <x:c r="G1810" s="423" t="str">
        <x:v>标点与分段参考《山海经校注》；正文对读：https://ctext.org/shan-hai-jing/da-huang-bei-jing/zh</x:v>
      </x:c>
      <x:c r="H1810" s="423" t="e">
        <x:f>HYPERLINK("#'山海经原文总库'!A3","↩ 返回目录")</x:f>
        <x:v>HYPERLINK is not implemented. linkLocation=#'山海经原文总库'!A3, friendlyName=↩ 返回目录</x:v>
      </x:c>
      <x:c r="I1810" s="423"/>
      <x:c r="J1810" s="423"/>
      <x:c r="K1810" s="423" t="str">
        <x:v>待同名检索｜待建档</x:v>
      </x:c>
    </x:row>
    <x:row r="1811" ht="52" hidden="0" customHeight="1">
      <x:c r="A1811" s="423" t="str">
        <x:v>SHJ-17-029-2</x:v>
      </x:c>
      <x:c r="B1811" s="423" t="str">
        <x:v>卷十七 《大荒北經》</x:v>
      </x:c>
      <x:c r="C1811" s="423"/>
      <x:c r="D1811" s="423" t="str">
        <x:v>黑水之北</x:v>
      </x:c>
      <x:c r="E1811" s="423" t="str">
        <x:v>水系／水域</x:v>
      </x:c>
      <x:c r="F1811" s="423"/>
      <x:c r="G1811" s="423" t="str">
        <x:v>标点与分段参考《山海经校注》；正文对读：https://ctext.org/shan-hai-jing/da-huang-bei-jing/zh</x:v>
      </x:c>
      <x:c r="H1811" s="423" t="e">
        <x:f>HYPERLINK("#'山海经原文总库'!A3","↩ 返回目录")</x:f>
        <x:v>HYPERLINK is not implemented. linkLocation=#'山海经原文总库'!A3, friendlyName=↩ 返回目录</x:v>
      </x:c>
      <x:c r="I1811" s="423"/>
      <x:c r="J1811" s="423"/>
      <x:c r="K1811" s="423" t="str">
        <x:v>待同名检索｜待建档</x:v>
      </x:c>
    </x:row>
    <x:row r="1812" ht="52" hidden="0" customHeight="1">
      <x:c r="A1812" s="423" t="str">
        <x:v>SHJ-17-029-3</x:v>
      </x:c>
      <x:c r="B1812" s="423" t="str">
        <x:v>卷十七 《大荒北經》</x:v>
      </x:c>
      <x:c r="C1812" s="423"/>
      <x:c r="D1812" s="423" t="str">
        <x:v>苗民</x:v>
      </x:c>
      <x:c r="E1812" s="423" t="str">
        <x:v>國家／族群</x:v>
      </x:c>
      <x:c r="F1812" s="423"/>
      <x:c r="G1812" s="423" t="str">
        <x:v>标点与分段参考《山海经校注》；正文对读：https://ctext.org/shan-hai-jing/da-huang-bei-jing/zh</x:v>
      </x:c>
      <x:c r="H1812" s="423" t="e">
        <x:f>HYPERLINK("#'山海经原文总库'!A3","↩ 返回目录")</x:f>
        <x:v>HYPERLINK is not implemented. linkLocation=#'山海经原文总库'!A3, friendlyName=↩ 返回目录</x:v>
      </x:c>
      <x:c r="I1812" s="423"/>
      <x:c r="J1812" s="423"/>
      <x:c r="K1812" s="423" t="str">
        <x:v>待同名检索｜待建档</x:v>
      </x:c>
    </x:row>
    <x:row r="1813" ht="52" hidden="0" customHeight="1">
      <x:c r="A1813" s="423" t="str">
        <x:v>SHJ-17-029-4</x:v>
      </x:c>
      <x:c r="B1813" s="423" t="str">
        <x:v>卷十七 《大荒北經》</x:v>
      </x:c>
      <x:c r="C1813" s="423"/>
      <x:c r="D1813" s="423" t="str">
        <x:v>章山</x:v>
      </x:c>
      <x:c r="E1813" s="423" t="str">
        <x:v>山／丘</x:v>
      </x:c>
      <x:c r="F1813" s="423"/>
      <x:c r="G1813" s="423" t="str">
        <x:v>标点与分段参考《山海经校注》；正文对读：https://ctext.org/shan-hai-jing/da-huang-bei-jing/zh</x:v>
      </x:c>
      <x:c r="H1813" s="423" t="e">
        <x:f>HYPERLINK("#'山海经原文总库'!A3","↩ 返回目录")</x:f>
        <x:v>HYPERLINK is not implemented. linkLocation=#'山海经原文总库'!A3, friendlyName=↩ 返回目录</x:v>
      </x:c>
      <x:c r="I1813" s="423"/>
      <x:c r="J1813" s="423"/>
      <x:c r="K1813" s="423" t="str">
        <x:v>待同名检索｜待建档</x:v>
      </x:c>
    </x:row>
    <x:row r="1814" ht="52" hidden="0" customHeight="1">
      <x:c r="A1814" s="423" t="str">
        <x:v>SHJ-17-030-1</x:v>
      </x:c>
      <x:c r="B1814" s="423" t="str">
        <x:v>卷十七 《大荒北經》</x:v>
      </x:c>
      <x:c r="C1814" s="423" t="str">
        <x:v>大荒之中，有衡石山、九陰山、泂野之山，上有赤樹，青葉，赤華，名曰若木。</x:v>
      </x:c>
      <x:c r="D1814" s="423" t="str">
        <x:v>衡石山</x:v>
      </x:c>
      <x:c r="E1814" s="423" t="str">
        <x:v>山／丘</x:v>
      </x:c>
      <x:c r="F1814" s="423"/>
      <x:c r="G1814" s="423" t="str">
        <x:v>标点与分段参考《山海经校注》；正文对读：https://ctext.org/shan-hai-jing/da-huang-bei-jing/zh</x:v>
      </x:c>
      <x:c r="H1814" s="423" t="e">
        <x:f>HYPERLINK("#'山海经原文总库'!A3","↩ 返回目录")</x:f>
        <x:v>HYPERLINK is not implemented. linkLocation=#'山海经原文总库'!A3, friendlyName=↩ 返回目录</x:v>
      </x:c>
      <x:c r="I1814" s="423"/>
      <x:c r="J1814" s="423"/>
      <x:c r="K1814" s="423" t="str">
        <x:v>待同名检索｜待建档</x:v>
      </x:c>
    </x:row>
    <x:row r="1815" ht="52" hidden="0" customHeight="1">
      <x:c r="A1815" s="423" t="str">
        <x:v>SHJ-17-030-2</x:v>
      </x:c>
      <x:c r="B1815" s="423" t="str">
        <x:v>卷十七 《大荒北經》</x:v>
      </x:c>
      <x:c r="C1815" s="423"/>
      <x:c r="D1815" s="423" t="str">
        <x:v>九陰山</x:v>
      </x:c>
      <x:c r="E1815" s="423" t="str">
        <x:v>山／丘</x:v>
      </x:c>
      <x:c r="F1815" s="423"/>
      <x:c r="G1815" s="423" t="str">
        <x:v>标点与分段参考《山海经校注》；正文对读：https://ctext.org/shan-hai-jing/da-huang-bei-jing/zh</x:v>
      </x:c>
      <x:c r="H1815" s="423" t="e">
        <x:f>HYPERLINK("#'山海经原文总库'!A3","↩ 返回目录")</x:f>
        <x:v>HYPERLINK is not implemented. linkLocation=#'山海经原文总库'!A3, friendlyName=↩ 返回目录</x:v>
      </x:c>
      <x:c r="I1815" s="423"/>
      <x:c r="J1815" s="423"/>
      <x:c r="K1815" s="423" t="str">
        <x:v>待同名检索｜待建档</x:v>
      </x:c>
    </x:row>
    <x:row r="1816" ht="52" hidden="0" customHeight="1">
      <x:c r="A1816" s="423" t="str">
        <x:v>SHJ-17-030-3</x:v>
      </x:c>
      <x:c r="B1816" s="423" t="str">
        <x:v>卷十七 《大荒北經》</x:v>
      </x:c>
      <x:c r="C1816" s="423"/>
      <x:c r="D1816" s="423" t="str">
        <x:v>泂野山</x:v>
      </x:c>
      <x:c r="E1816" s="423" t="str">
        <x:v>山／丘</x:v>
      </x:c>
      <x:c r="F1816" s="423"/>
      <x:c r="G1816" s="423" t="str">
        <x:v>标点与分段参考《山海经校注》；正文对读：https://ctext.org/shan-hai-jing/da-huang-bei-jing/zh</x:v>
      </x:c>
      <x:c r="H1816" s="423" t="e">
        <x:f>HYPERLINK("#'山海经原文总库'!A3","↩ 返回目录")</x:f>
        <x:v>HYPERLINK is not implemented. linkLocation=#'山海经原文总库'!A3, friendlyName=↩ 返回目录</x:v>
      </x:c>
      <x:c r="I1816" s="423"/>
      <x:c r="J1816" s="423"/>
      <x:c r="K1816" s="423" t="str">
        <x:v>待同名检索｜待建档</x:v>
      </x:c>
    </x:row>
    <x:row r="1817" ht="52" hidden="0" customHeight="1">
      <x:c r="A1817" s="423" t="str">
        <x:v>SHJ-17-031-1</x:v>
      </x:c>
      <x:c r="B1817" s="423" t="str">
        <x:v>卷十七 《大荒北經》</x:v>
      </x:c>
      <x:c r="C1817" s="423" t="str">
        <x:v>有牛黎之國。有人無骨，儋耳之子。</x:v>
      </x:c>
      <x:c r="D1817" s="423" t="str">
        <x:v>牛黎國</x:v>
      </x:c>
      <x:c r="E1817" s="423" t="str">
        <x:v>國家／族群</x:v>
      </x:c>
      <x:c r="F1817" s="423"/>
      <x:c r="G1817" s="423" t="str">
        <x:v>标点与分段参考《山海经校注》；正文对读：https://ctext.org/shan-hai-jing/da-huang-bei-jing/zh</x:v>
      </x:c>
      <x:c r="H1817" s="423" t="e">
        <x:f>HYPERLINK("#'山海经原文总库'!A3","↩ 返回目录")</x:f>
        <x:v>HYPERLINK is not implemented. linkLocation=#'山海经原文总库'!A3, friendlyName=↩ 返回目录</x:v>
      </x:c>
      <x:c r="I1817" s="423"/>
      <x:c r="J1817" s="423"/>
      <x:c r="K1817" s="423" t="str">
        <x:v>待同名检索｜待建档</x:v>
      </x:c>
    </x:row>
    <x:row r="1818" ht="52" hidden="0" customHeight="1">
      <x:c r="A1818" s="423" t="str">
        <x:v>SHJ-17-032-1</x:v>
      </x:c>
      <x:c r="B1818" s="423" t="str">
        <x:v>卷十七 《大荒北經》</x:v>
      </x:c>
      <x:c r="C1818" s="423" t="str">
        <x:v>西北海之外，赤水之北，有章尾山。有神，人面蛇身而赤，直目正乘，其瞑乃晦，其視乃明，不食不寢不息，風雨是謁。是燭九陰，是謂燭龍。</x:v>
      </x:c>
      <x:c r="D1818" s="423" t="str">
        <x:v>西北海之外</x:v>
      </x:c>
      <x:c r="E1818" s="423" t="str">
        <x:v>區域</x:v>
      </x:c>
      <x:c r="F1818" s="423"/>
      <x:c r="G1818" s="423" t="str">
        <x:v>标点与分段参考《山海经校注》；正文对读：https://ctext.org/shan-hai-jing/da-huang-bei-jing/zh</x:v>
      </x:c>
      <x:c r="H1818" s="423" t="e">
        <x:f>HYPERLINK("#'山海经原文总库'!A3","↩ 返回目录")</x:f>
        <x:v>HYPERLINK is not implemented. linkLocation=#'山海经原文总库'!A3, friendlyName=↩ 返回目录</x:v>
      </x:c>
      <x:c r="I1818" s="423"/>
      <x:c r="J1818" s="423"/>
      <x:c r="K1818" s="423" t="str">
        <x:v>待同名检索｜待建档</x:v>
      </x:c>
    </x:row>
    <x:row r="1819" ht="52" hidden="0" customHeight="1">
      <x:c r="A1819" s="423" t="str">
        <x:v>SHJ-17-032-2</x:v>
      </x:c>
      <x:c r="B1819" s="423" t="str">
        <x:v>卷十七 《大荒北經》</x:v>
      </x:c>
      <x:c r="C1819" s="423"/>
      <x:c r="D1819" s="423" t="str">
        <x:v>赤水之北</x:v>
      </x:c>
      <x:c r="E1819" s="423" t="str">
        <x:v>水系／水域</x:v>
      </x:c>
      <x:c r="F1819" s="423"/>
      <x:c r="G1819" s="423" t="str">
        <x:v>标点与分段参考《山海经校注》；正文对读：https://ctext.org/shan-hai-jing/da-huang-bei-jing/zh</x:v>
      </x:c>
      <x:c r="H1819" s="423" t="e">
        <x:f>HYPERLINK("#'山海经原文总库'!A3","↩ 返回目录")</x:f>
        <x:v>HYPERLINK is not implemented. linkLocation=#'山海经原文总库'!A3, friendlyName=↩ 返回目录</x:v>
      </x:c>
      <x:c r="I1819" s="423"/>
      <x:c r="J1819" s="423"/>
      <x:c r="K1819" s="423" t="str">
        <x:v>待同名检索｜待建档</x:v>
      </x:c>
    </x:row>
    <x:row r="1820" ht="52" hidden="0" customHeight="1">
      <x:c r="A1820" s="423" t="str">
        <x:v>SHJ-17-032-3</x:v>
      </x:c>
      <x:c r="B1820" s="423" t="str">
        <x:v>卷十七 《大荒北經》</x:v>
      </x:c>
      <x:c r="C1820" s="423"/>
      <x:c r="D1820" s="423" t="str">
        <x:v>章尾山</x:v>
      </x:c>
      <x:c r="E1820" s="423" t="str">
        <x:v>山／丘</x:v>
      </x:c>
      <x:c r="F1820" s="423"/>
      <x:c r="G1820" s="423" t="str">
        <x:v>标点与分段参考《山海经校注》；正文对读：https://ctext.org/shan-hai-jing/da-huang-bei-jing/zh</x:v>
      </x:c>
      <x:c r="H1820" s="423" t="e">
        <x:f>HYPERLINK("#'山海经原文总库'!A3","↩ 返回目录")</x:f>
        <x:v>HYPERLINK is not implemented. linkLocation=#'山海经原文总库'!A3, friendlyName=↩ 返回目录</x:v>
      </x:c>
      <x:c r="I1820" s="423"/>
      <x:c r="J1820" s="423"/>
      <x:c r="K1820" s="423" t="str">
        <x:v>待同名检索｜待建档</x:v>
      </x:c>
    </x:row>
    <x:row r="1821" ht="52" hidden="0" customHeight="1">
      <x:c r="A1821" s="1704" t="str">
        <x:v>SHJ-18-001-1</x:v>
      </x:c>
      <x:c r="B1821" s="1704" t="str">
        <x:v>卷十八 《海內經》</x:v>
      </x:c>
      <x:c r="C1821" s="1704" t="str">
        <x:v>東海之內，北海之隅，有國名曰朝鮮、天毒，其人水居，偎人愛之。</x:v>
      </x:c>
      <x:c r="D1821" s="1704" t="str">
        <x:v>東海之內</x:v>
      </x:c>
      <x:c r="E1821" s="1704" t="str">
        <x:v>區域</x:v>
      </x:c>
      <x:c r="F1821" s="1704" t="e">
        <x:f>HYPERLINK("#'都广核心区总表'!B147","→ 查看条目")</x:f>
        <x:v>HYPERLINK is not implemented. linkLocation=#'都广核心区总表'!B147, friendlyName=→ 查看条目</x:v>
      </x:c>
      <x:c r="G1821" s="1704" t="str">
        <x:v>标点与分段参考《山海经校注》；正文对读：https://ctext.org/shan-hai-jing/hai-nei-jing/zh</x:v>
      </x:c>
      <x:c r="H1821" s="1704" t="e">
        <x:f>HYPERLINK("#'山海经原文总库'!A3","↩ 返回目录")</x:f>
        <x:v>HYPERLINK is not implemented. linkLocation=#'山海经原文总库'!A3, friendlyName=↩ 返回目录</x:v>
      </x:c>
      <x:c r="I1821" s="1704" t="str">
        <x:v>是（拓扑／接口）</x:v>
      </x:c>
      <x:c r="J1821" s="1704" t="str">
        <x:v>总表R147｜东海之内区域层｜卷内拓扑坐标</x:v>
      </x:c>
      <x:c r="K1821" s="1704" t="str">
        <x:v>V030闭合｜已建档</x:v>
      </x:c>
    </x:row>
    <x:row r="1822" ht="52" hidden="0" customHeight="1">
      <x:c r="A1822" s="1704" t="str">
        <x:v>SHJ-18-001-2</x:v>
      </x:c>
      <x:c r="B1822" s="1704" t="str">
        <x:v>卷十八 《海內經》</x:v>
      </x:c>
      <x:c r="C1822" s="1704"/>
      <x:c r="D1822" s="1704" t="str">
        <x:v>北海之隅</x:v>
      </x:c>
      <x:c r="E1822" s="1704" t="str">
        <x:v>區域</x:v>
      </x:c>
      <x:c r="F1822" s="1704" t="e">
        <x:f>HYPERLINK("#'都广核心区总表'!B148","→ 查看条目")</x:f>
        <x:v>HYPERLINK is not implemented. linkLocation=#'都广核心区总表'!B148, friendlyName=→ 查看条目</x:v>
      </x:c>
      <x:c r="G1822" s="1704" t="str">
        <x:v>标点与分段参考《山海经校注》；正文对读：https://ctext.org/shan-hai-jing/hai-nei-jing/zh</x:v>
      </x:c>
      <x:c r="H1822" s="1704" t="e">
        <x:f>HYPERLINK("#'山海经原文总库'!A3","↩ 返回目录")</x:f>
        <x:v>HYPERLINK is not implemented. linkLocation=#'山海经原文总库'!A3, friendlyName=↩ 返回目录</x:v>
      </x:c>
      <x:c r="I1822" s="1704" t="str">
        <x:v>是（拓扑／接口）</x:v>
      </x:c>
      <x:c r="J1822" s="1704" t="str">
        <x:v>总表R148｜北海之隅｜卷内拓扑坐标</x:v>
      </x:c>
      <x:c r="K1822" s="1704" t="str">
        <x:v>V030闭合｜已建档</x:v>
      </x:c>
    </x:row>
    <x:row r="1823" ht="52" hidden="0" customHeight="1">
      <x:c r="A1823" s="1704" t="str">
        <x:v>SHJ-18-001-3</x:v>
      </x:c>
      <x:c r="B1823" s="1704" t="str">
        <x:v>卷十八 《海內經》</x:v>
      </x:c>
      <x:c r="C1823" s="1704"/>
      <x:c r="D1823" s="1704" t="str">
        <x:v>朝鮮國</x:v>
      </x:c>
      <x:c r="E1823" s="1704" t="str">
        <x:v>國家／族群</x:v>
      </x:c>
      <x:c r="F1823" s="1704" t="e">
        <x:f>HYPERLINK("#'都广核心区总表'!B149","→ 查看条目")</x:f>
        <x:v>HYPERLINK is not implemented. linkLocation=#'都广核心区总表'!B149, friendlyName=→ 查看条目</x:v>
      </x:c>
      <x:c r="G1823" s="1704" t="str">
        <x:v>标点与分段参考《山海经校注》；正文对读：https://ctext.org/shan-hai-jing/hai-nei-jing/zh</x:v>
      </x:c>
      <x:c r="H1823" s="1704" t="e">
        <x:f>HYPERLINK("#'山海经原文总库'!A3","↩ 返回目录")</x:f>
        <x:v>HYPERLINK is not implemented. linkLocation=#'山海经原文总库'!A3, friendlyName=↩ 返回目录</x:v>
      </x:c>
      <x:c r="I1823" s="1704" t="str">
        <x:v>是（拓扑／接口）</x:v>
      </x:c>
      <x:c r="J1823" s="1704" t="str">
        <x:v>总表R149｜朝鲜国水居层</x:v>
      </x:c>
      <x:c r="K1823" s="1704" t="str">
        <x:v>V030闭合｜已建档</x:v>
      </x:c>
    </x:row>
    <x:row r="1824" ht="52" hidden="0" customHeight="1">
      <x:c r="A1824" s="1704" t="str">
        <x:v>SHJ-18-001-4</x:v>
      </x:c>
      <x:c r="B1824" s="1704" t="str">
        <x:v>卷十八 《海內經》</x:v>
      </x:c>
      <x:c r="C1824" s="1704"/>
      <x:c r="D1824" s="1704" t="str">
        <x:v>天毒國</x:v>
      </x:c>
      <x:c r="E1824" s="1704" t="str">
        <x:v>國家／族群</x:v>
      </x:c>
      <x:c r="F1824" s="1704" t="e">
        <x:f>HYPERLINK("#'都广核心区总表'!B150","→ 查看条目")</x:f>
        <x:v>HYPERLINK is not implemented. linkLocation=#'都广核心区总表'!B150, friendlyName=→ 查看条目</x:v>
      </x:c>
      <x:c r="G1824" s="1704" t="str">
        <x:v>标点与分段参考《山海经校注》；正文对读：https://ctext.org/shan-hai-jing/hai-nei-jing/zh</x:v>
      </x:c>
      <x:c r="H1824" s="1704" t="e">
        <x:f>HYPERLINK("#'山海经原文总库'!A3","↩ 返回目录")</x:f>
        <x:v>HYPERLINK is not implemented. linkLocation=#'山海经原文总库'!A3, friendlyName=↩ 返回目录</x:v>
      </x:c>
      <x:c r="I1824" s="1704" t="str">
        <x:v>是（拓扑／接口）</x:v>
      </x:c>
      <x:c r="J1824" s="1704" t="str">
        <x:v>总表R150｜天毒国水居层</x:v>
      </x:c>
      <x:c r="K1824" s="1704" t="str">
        <x:v>V030闭合｜已建档</x:v>
      </x:c>
    </x:row>
    <x:row r="1825" ht="52" hidden="0" customHeight="1">
      <x:c r="A1825" s="1704" t="str">
        <x:v>SHJ-18-002-1</x:v>
      </x:c>
      <x:c r="B1825" s="1704" t="str">
        <x:v>卷十八 《海內經》</x:v>
      </x:c>
      <x:c r="C1825" s="1704" t="str">
        <x:v>西海之內，流沙之中，有國名曰壑市。</x:v>
      </x:c>
      <x:c r="D1825" s="1704" t="str">
        <x:v>西海之內</x:v>
      </x:c>
      <x:c r="E1825" s="1704" t="str">
        <x:v>區域</x:v>
      </x:c>
      <x:c r="F1825" s="1704" t="e">
        <x:f>HYPERLINK("#'都广核心区总表'!B151","→ 查看条目")</x:f>
        <x:v>HYPERLINK is not implemented. linkLocation=#'都广核心区总表'!B151, friendlyName=→ 查看条目</x:v>
      </x:c>
      <x:c r="G1825" s="1704" t="str">
        <x:v>标点与分段参考《山海经校注》；正文对读：https://ctext.org/shan-hai-jing/hai-nei-jing/zh</x:v>
      </x:c>
      <x:c r="H1825" s="1704" t="e">
        <x:f>HYPERLINK("#'山海经原文总库'!A3","↩ 返回目录")</x:f>
        <x:v>HYPERLINK is not implemented. linkLocation=#'山海经原文总库'!A3, friendlyName=↩ 返回目录</x:v>
      </x:c>
      <x:c r="I1825" s="1704" t="str">
        <x:v>是（拓扑／接口）</x:v>
      </x:c>
      <x:c r="J1825" s="1704" t="str">
        <x:v>总表R151｜西海之内区域层</x:v>
      </x:c>
      <x:c r="K1825" s="1704" t="str">
        <x:v>V030闭合｜已建档</x:v>
      </x:c>
    </x:row>
    <x:row r="1826" ht="52" hidden="0" customHeight="1">
      <x:c r="A1826" s="1704" t="str">
        <x:v>SHJ-18-002-2</x:v>
      </x:c>
      <x:c r="B1826" s="1704" t="str">
        <x:v>卷十八 《海內經》</x:v>
      </x:c>
      <x:c r="C1826" s="1704"/>
      <x:c r="D1826" s="1704" t="str">
        <x:v>流沙</x:v>
      </x:c>
      <x:c r="E1826" s="1704" t="str">
        <x:v>區域</x:v>
      </x:c>
      <x:c r="F1826" s="1704" t="e">
        <x:f>HYPERLINK("#'都广核心区总表'!B152","→ 查看条目")</x:f>
        <x:v>HYPERLINK is not implemented. linkLocation=#'都广核心区总表'!B152, friendlyName=→ 查看条目</x:v>
      </x:c>
      <x:c r="G1826" s="1704" t="str">
        <x:v>标点与分段参考《山海经校注》；正文对读：https://ctext.org/shan-hai-jing/hai-nei-jing/zh</x:v>
      </x:c>
      <x:c r="H1826" s="1704" t="e">
        <x:f>HYPERLINK("#'山海经原文总库'!A3","↩ 返回目录")</x:f>
        <x:v>HYPERLINK is not implemented. linkLocation=#'山海经原文总库'!A3, friendlyName=↩ 返回目录</x:v>
      </x:c>
      <x:c r="I1826" s="1704" t="str">
        <x:v>是（拓扑／接口）</x:v>
      </x:c>
      <x:c r="J1826" s="1704" t="str">
        <x:v>总表R152｜流沙（卷十八西海层）</x:v>
      </x:c>
      <x:c r="K1826" s="1704" t="str">
        <x:v>V030闭合｜已建档</x:v>
      </x:c>
    </x:row>
    <x:row r="1827" ht="52" hidden="0" customHeight="1">
      <x:c r="A1827" s="1704" t="str">
        <x:v>SHJ-18-002-3</x:v>
      </x:c>
      <x:c r="B1827" s="1704" t="str">
        <x:v>卷十八 《海內經》</x:v>
      </x:c>
      <x:c r="C1827" s="1704"/>
      <x:c r="D1827" s="1704" t="str">
        <x:v>壑市國</x:v>
      </x:c>
      <x:c r="E1827" s="1704" t="str">
        <x:v>國家／族群</x:v>
      </x:c>
      <x:c r="F1827" s="1704" t="e">
        <x:f>HYPERLINK("#'都广核心区总表'!B153","→ 查看条目")</x:f>
        <x:v>HYPERLINK is not implemented. linkLocation=#'都广核心区总表'!B153, friendlyName=→ 查看条目</x:v>
      </x:c>
      <x:c r="G1827" s="1704" t="str">
        <x:v>标点与分段参考《山海经校注》；正文对读：https://ctext.org/shan-hai-jing/hai-nei-jing/zh</x:v>
      </x:c>
      <x:c r="H1827" s="1704" t="e">
        <x:f>HYPERLINK("#'山海经原文总库'!A3","↩ 返回目录")</x:f>
        <x:v>HYPERLINK is not implemented. linkLocation=#'山海经原文总库'!A3, friendlyName=↩ 返回目录</x:v>
      </x:c>
      <x:c r="I1827" s="1704" t="str">
        <x:v>是（拓扑／接口）</x:v>
      </x:c>
      <x:c r="J1827" s="1704" t="str">
        <x:v>总表R153｜壑市国位于流沙之中</x:v>
      </x:c>
      <x:c r="K1827" s="1704" t="str">
        <x:v>V030闭合｜已建档</x:v>
      </x:c>
    </x:row>
    <x:row r="1828" ht="52" hidden="0" customHeight="1">
      <x:c r="A1828" s="1704" t="str">
        <x:v>SHJ-18-003-1</x:v>
      </x:c>
      <x:c r="B1828" s="1704" t="str">
        <x:v>卷十八 《海內經》</x:v>
      </x:c>
      <x:c r="C1828" s="1704" t="str">
        <x:v>西海之內，流沙之西，有國名曰沮葉。</x:v>
      </x:c>
      <x:c r="D1828" s="1704" t="str">
        <x:v>西海之內</x:v>
      </x:c>
      <x:c r="E1828" s="1704" t="str">
        <x:v>區域</x:v>
      </x:c>
      <x:c r="F1828" s="1704" t="e">
        <x:f>HYPERLINK("#'都广核心区总表'!B151","→ 查看条目")</x:f>
        <x:v>HYPERLINK is not implemented. linkLocation=#'都广核心区总表'!B151, friendlyName=→ 查看条目</x:v>
      </x:c>
      <x:c r="G1828" s="1704" t="str">
        <x:v>标点与分段参考《山海经校注》；正文对读：https://ctext.org/shan-hai-jing/hai-nei-jing/zh</x:v>
      </x:c>
      <x:c r="H1828" s="1704" t="e">
        <x:f>HYPERLINK("#'山海经原文总库'!A3","↩ 返回目录")</x:f>
        <x:v>HYPERLINK is not implemented. linkLocation=#'山海经原文总库'!A3, friendlyName=↩ 返回目录</x:v>
      </x:c>
      <x:c r="I1828" s="1704" t="str">
        <x:v>是（拓扑／接口）</x:v>
      </x:c>
      <x:c r="J1828" s="1704" t="str">
        <x:v>总表R151、R154、R155｜西海内—流沙西—沮叶模块</x:v>
      </x:c>
      <x:c r="K1828" s="1704" t="str">
        <x:v>V030闭合｜已建档</x:v>
      </x:c>
    </x:row>
    <x:row r="1829" ht="52" hidden="0" customHeight="1">
      <x:c r="A1829" s="1704" t="str">
        <x:v>SHJ-18-003-2</x:v>
      </x:c>
      <x:c r="B1829" s="1704" t="str">
        <x:v>卷十八 《海內經》</x:v>
      </x:c>
      <x:c r="C1829" s="1704"/>
      <x:c r="D1829" s="1704" t="str">
        <x:v>流沙之西</x:v>
      </x:c>
      <x:c r="E1829" s="1704" t="str">
        <x:v>區域</x:v>
      </x:c>
      <x:c r="F1829" s="1704" t="e">
        <x:f>HYPERLINK("#'都广核心区总表'!B154","→ 查看条目")</x:f>
        <x:v>HYPERLINK is not implemented. linkLocation=#'都广核心区总表'!B154, friendlyName=→ 查看条目</x:v>
      </x:c>
      <x:c r="G1829" s="1704" t="str">
        <x:v>标点与分段参考《山海经校注》；正文对读：https://ctext.org/shan-hai-jing/hai-nei-jing/zh</x:v>
      </x:c>
      <x:c r="H1829" s="1704" t="e">
        <x:f>HYPERLINK("#'山海经原文总库'!A3","↩ 返回目录")</x:f>
        <x:v>HYPERLINK is not implemented. linkLocation=#'山海经原文总库'!A3, friendlyName=↩ 返回目录</x:v>
      </x:c>
      <x:c r="I1829" s="1704" t="str">
        <x:v>是（拓扑／接口）</x:v>
      </x:c>
      <x:c r="J1829" s="1704" t="str">
        <x:v>总表R154｜流沙之西区域层</x:v>
      </x:c>
      <x:c r="K1829" s="1704" t="str">
        <x:v>V030闭合｜已建档</x:v>
      </x:c>
    </x:row>
    <x:row r="1830" ht="52" hidden="0" customHeight="1">
      <x:c r="A1830" s="1704" t="str">
        <x:v>SHJ-18-003-3</x:v>
      </x:c>
      <x:c r="B1830" s="1704" t="str">
        <x:v>卷十八 《海內經》</x:v>
      </x:c>
      <x:c r="C1830" s="1704"/>
      <x:c r="D1830" s="1704" t="str">
        <x:v>沮葉國</x:v>
      </x:c>
      <x:c r="E1830" s="1704" t="str">
        <x:v>國家／族群</x:v>
      </x:c>
      <x:c r="F1830" s="1704" t="e">
        <x:f>HYPERLINK("#'都广核心区总表'!B155","→ 查看条目")</x:f>
        <x:v>HYPERLINK is not implemented. linkLocation=#'都广核心区总表'!B155, friendlyName=→ 查看条目</x:v>
      </x:c>
      <x:c r="G1830" s="1704" t="str">
        <x:v>标点与分段参考《山海经校注》；正文对读：https://ctext.org/shan-hai-jing/hai-nei-jing/zh</x:v>
      </x:c>
      <x:c r="H1830" s="1704" t="e">
        <x:f>HYPERLINK("#'山海经原文总库'!A3","↩ 返回目录")</x:f>
        <x:v>HYPERLINK is not implemented. linkLocation=#'山海经原文总库'!A3, friendlyName=↩ 返回目录</x:v>
      </x:c>
      <x:c r="I1830" s="1704" t="str">
        <x:v>是（拓扑／接口）</x:v>
      </x:c>
      <x:c r="J1830" s="1704" t="str">
        <x:v>总表R155｜沮叶国</x:v>
      </x:c>
      <x:c r="K1830" s="1704" t="str">
        <x:v>V030闭合｜已建档</x:v>
      </x:c>
    </x:row>
    <x:row r="1831" ht="52" hidden="0" customHeight="1">
      <x:c r="A1831" s="1704" t="str">
        <x:v>SHJ-18-004-1</x:v>
      </x:c>
      <x:c r="B1831" s="1704" t="str">
        <x:v>卷十八 《海內經》</x:v>
      </x:c>
      <x:c r="C1831" s="1704" t="str">
        <x:v>流沙之西，有鳥山者，三水出焉。爰有黃金、璇瑰、丹貨、銀鐵，皆流於此中。又有淮山，好水出焉。</x:v>
      </x:c>
      <x:c r="D1831" s="1704" t="str">
        <x:v>流沙之西</x:v>
      </x:c>
      <x:c r="E1831" s="1704" t="str">
        <x:v>區域</x:v>
      </x:c>
      <x:c r="F1831" s="1704" t="e">
        <x:f>HYPERLINK("#'都广核心区总表'!B154","→ 查看条目")</x:f>
        <x:v>HYPERLINK is not implemented. linkLocation=#'都广核心区总表'!B154, friendlyName=→ 查看条目</x:v>
      </x:c>
      <x:c r="G1831" s="1704" t="str">
        <x:v>标点与分段参考《山海经校注》；正文对读：https://ctext.org/shan-hai-jing/hai-nei-jing/zh</x:v>
      </x:c>
      <x:c r="H1831" s="1704" t="e">
        <x:f>HYPERLINK("#'山海经原文总库'!A3","↩ 返回目录")</x:f>
        <x:v>HYPERLINK is not implemented. linkLocation=#'山海经原文总库'!A3, friendlyName=↩ 返回目录</x:v>
      </x:c>
      <x:c r="I1831" s="1704" t="str">
        <x:v>是（拓扑／接口）</x:v>
      </x:c>
      <x:c r="J1831" s="1704" t="str">
        <x:v>总表R154、R156—R159｜流沙西山水模块</x:v>
      </x:c>
      <x:c r="K1831" s="1704" t="str">
        <x:v>V030闭合｜已建档</x:v>
      </x:c>
    </x:row>
    <x:row r="1832" ht="52" hidden="0" customHeight="1">
      <x:c r="A1832" s="1704" t="str">
        <x:v>SHJ-18-004-2</x:v>
      </x:c>
      <x:c r="B1832" s="1704" t="str">
        <x:v>卷十八 《海內經》</x:v>
      </x:c>
      <x:c r="C1832" s="1704"/>
      <x:c r="D1832" s="1704" t="str">
        <x:v>鳥山</x:v>
      </x:c>
      <x:c r="E1832" s="1704" t="str">
        <x:v>山／丘</x:v>
      </x:c>
      <x:c r="F1832" s="1704" t="e">
        <x:f>HYPERLINK("#'都广核心区总表'!B156","→ 查看条目")</x:f>
        <x:v>HYPERLINK is not implemented. linkLocation=#'都广核心区总表'!B156, friendlyName=→ 查看条目</x:v>
      </x:c>
      <x:c r="G1832" s="1704" t="str">
        <x:v>标点与分段参考《山海经校注》；正文对读：https://ctext.org/shan-hai-jing/hai-nei-jing/zh</x:v>
      </x:c>
      <x:c r="H1832" s="1704" t="e">
        <x:f>HYPERLINK("#'山海经原文总库'!A3","↩ 返回目录")</x:f>
        <x:v>HYPERLINK is not implemented. linkLocation=#'山海经原文总库'!A3, friendlyName=↩ 返回目录</x:v>
      </x:c>
      <x:c r="I1832" s="1704" t="str">
        <x:v>是（拓扑／接口）</x:v>
      </x:c>
      <x:c r="J1832" s="1704" t="str">
        <x:v>总表R156｜鸟山</x:v>
      </x:c>
      <x:c r="K1832" s="1704" t="str">
        <x:v>V030闭合｜已建档</x:v>
      </x:c>
    </x:row>
    <x:row r="1833" ht="52" hidden="0" customHeight="1">
      <x:c r="A1833" s="1704" t="str">
        <x:v>SHJ-18-004-3</x:v>
      </x:c>
      <x:c r="B1833" s="1704" t="str">
        <x:v>卷十八 《海內經》</x:v>
      </x:c>
      <x:c r="C1833" s="1704"/>
      <x:c r="D1833" s="1704" t="str">
        <x:v>三水</x:v>
      </x:c>
      <x:c r="E1833" s="1704" t="str">
        <x:v>水系／水域</x:v>
      </x:c>
      <x:c r="F1833" s="1704" t="e">
        <x:f>HYPERLINK("#'都广核心区总表'!B157","→ 查看条目")</x:f>
        <x:v>HYPERLINK is not implemented. linkLocation=#'都广核心区总表'!B157, friendlyName=→ 查看条目</x:v>
      </x:c>
      <x:c r="G1833" s="1704" t="str">
        <x:v>标点与分段参考《山海经校注》；正文对读：https://ctext.org/shan-hai-jing/hai-nei-jing/zh</x:v>
      </x:c>
      <x:c r="H1833" s="1704" t="e">
        <x:f>HYPERLINK("#'山海经原文总库'!A3","↩ 返回目录")</x:f>
        <x:v>HYPERLINK is not implemented. linkLocation=#'山海经原文总库'!A3, friendlyName=↩ 返回目录</x:v>
      </x:c>
      <x:c r="I1833" s="1704" t="str">
        <x:v>是（拓扑／接口）</x:v>
      </x:c>
      <x:c r="J1833" s="1704" t="str">
        <x:v>总表R157｜三水源流群</x:v>
      </x:c>
      <x:c r="K1833" s="1704" t="str">
        <x:v>V030闭合｜已建档</x:v>
      </x:c>
    </x:row>
    <x:row r="1834" ht="52" hidden="0" customHeight="1">
      <x:c r="A1834" s="1704" t="str">
        <x:v>SHJ-18-004-4</x:v>
      </x:c>
      <x:c r="B1834" s="1704" t="str">
        <x:v>卷十八 《海內經》</x:v>
      </x:c>
      <x:c r="C1834" s="1704"/>
      <x:c r="D1834" s="1704" t="str">
        <x:v>淮山</x:v>
      </x:c>
      <x:c r="E1834" s="1704" t="str">
        <x:v>山／丘</x:v>
      </x:c>
      <x:c r="F1834" s="1704" t="e">
        <x:f>HYPERLINK("#'都广核心区总表'!B158","→ 查看条目")</x:f>
        <x:v>HYPERLINK is not implemented. linkLocation=#'都广核心区总表'!B158, friendlyName=→ 查看条目</x:v>
      </x:c>
      <x:c r="G1834" s="1704" t="str">
        <x:v>标点与分段参考《山海经校注》；正文对读：https://ctext.org/shan-hai-jing/hai-nei-jing/zh</x:v>
      </x:c>
      <x:c r="H1834" s="1704" t="e">
        <x:f>HYPERLINK("#'山海经原文总库'!A3","↩ 返回目录")</x:f>
        <x:v>HYPERLINK is not implemented. linkLocation=#'山海经原文总库'!A3, friendlyName=↩ 返回目录</x:v>
      </x:c>
      <x:c r="I1834" s="1704" t="str">
        <x:v>是（拓扑／接口）</x:v>
      </x:c>
      <x:c r="J1834" s="1704" t="str">
        <x:v>总表R158｜淮山</x:v>
      </x:c>
      <x:c r="K1834" s="1704" t="str">
        <x:v>V030闭合｜已建档</x:v>
      </x:c>
    </x:row>
    <x:row r="1835" ht="52" hidden="0" customHeight="1">
      <x:c r="A1835" s="1704" t="str">
        <x:v>SHJ-18-004-5</x:v>
      </x:c>
      <x:c r="B1835" s="1704" t="str">
        <x:v>卷十八 《海內經》</x:v>
      </x:c>
      <x:c r="C1835" s="1704"/>
      <x:c r="D1835" s="1704" t="str">
        <x:v>好水</x:v>
      </x:c>
      <x:c r="E1835" s="1704" t="str">
        <x:v>水系／水域</x:v>
      </x:c>
      <x:c r="F1835" s="1704" t="e">
        <x:f>HYPERLINK("#'都广核心区总表'!B159","→ 查看条目")</x:f>
        <x:v>HYPERLINK is not implemented. linkLocation=#'都广核心区总表'!B159, friendlyName=→ 查看条目</x:v>
      </x:c>
      <x:c r="G1835" s="1704" t="str">
        <x:v>标点与分段参考《山海经校注》；正文对读：https://ctext.org/shan-hai-jing/hai-nei-jing/zh</x:v>
      </x:c>
      <x:c r="H1835" s="1704" t="e">
        <x:f>HYPERLINK("#'山海经原文总库'!A3","↩ 返回目录")</x:f>
        <x:v>HYPERLINK is not implemented. linkLocation=#'山海经原文总库'!A3, friendlyName=↩ 返回目录</x:v>
      </x:c>
      <x:c r="I1835" s="1704" t="str">
        <x:v>是（拓扑／接口）</x:v>
      </x:c>
      <x:c r="J1835" s="1704" t="str">
        <x:v>总表R159｜好水源段</x:v>
      </x:c>
      <x:c r="K1835" s="1704" t="str">
        <x:v>V030闭合｜已建档</x:v>
      </x:c>
    </x:row>
    <x:row r="1836" ht="52" hidden="0" customHeight="1">
      <x:c r="A1836" s="1704" t="str">
        <x:v>SHJ-18-005-1</x:v>
      </x:c>
      <x:c r="B1836" s="1704" t="str">
        <x:v>卷十八 《海內經》</x:v>
      </x:c>
      <x:c r="C1836" s="1704" t="str">
        <x:v>流沙之東，黑水之西，有朝雲之國、司彘之國。黃帝妻雷祖，生昌意，昌意降處若水，生韓流。韓流擢首、謹耳、人面、豕喙、麟身、渠股、豚止，取淖子曰阿女，生帝顓頊。</x:v>
      </x:c>
      <x:c r="D1836" s="1704" t="str">
        <x:v>流沙之東</x:v>
      </x:c>
      <x:c r="E1836" s="1704" t="str">
        <x:v>區域</x:v>
      </x:c>
      <x:c r="F1836" s="1704" t="e">
        <x:f>HYPERLINK("#'都广核心区总表'!B142","→ 查看条目")</x:f>
        <x:v>HYPERLINK is not implemented. linkLocation=#'都广核心区总表'!B142, friendlyName=→ 查看条目</x:v>
      </x:c>
      <x:c r="G1836" s="1704" t="str">
        <x:v>标点与分段参考《山海经校注》；正文对读：https://ctext.org/shan-hai-jing/hai-nei-jing/zh</x:v>
      </x:c>
      <x:c r="H1836" s="1704" t="e">
        <x:f>HYPERLINK("#'山海经原文总库'!A3","↩ 返回目录")</x:f>
        <x:v>HYPERLINK is not implemented. linkLocation=#'山海经原文总库'!A3, friendlyName=↩ 返回目录</x:v>
      </x:c>
      <x:c r="I1836" s="1704" t="str">
        <x:v>是</x:v>
      </x:c>
      <x:c r="J1836" s="1704" t="str">
        <x:v>总表第142—144行｜流沙东、黑水西的卷十八国家走廊已建档</x:v>
      </x:c>
      <x:c r="K1836" s="1704" t="str">
        <x:v>V027已审计｜已建档</x:v>
      </x:c>
    </x:row>
    <x:row r="1837" ht="52" hidden="0" customHeight="1">
      <x:c r="A1837" s="1704" t="str">
        <x:v>SHJ-18-005-2</x:v>
      </x:c>
      <x:c r="B1837" s="1704" t="str">
        <x:v>卷十八 《海內經》</x:v>
      </x:c>
      <x:c r="C1837" s="1704"/>
      <x:c r="D1837" s="1704" t="str">
        <x:v>黑水之西</x:v>
      </x:c>
      <x:c r="E1837" s="1704" t="str">
        <x:v>水系／水域</x:v>
      </x:c>
      <x:c r="F1837" s="1704" t="e">
        <x:f>HYPERLINK("#'都广核心区总表'!B42","→ 查看条目")</x:f>
        <x:v>HYPERLINK is not implemented. linkLocation=#'都广核心区总表'!B42, friendlyName=→ 查看条目</x:v>
      </x:c>
      <x:c r="G1837" s="1704" t="str">
        <x:v>标点与分段参考《山海经校注》；正文对读：https://ctext.org/shan-hai-jing/hai-nei-jing/zh</x:v>
      </x:c>
      <x:c r="H1837" s="1704" t="e">
        <x:f>HYPERLINK("#'山海经原文总库'!A3","↩ 返回目录")</x:f>
        <x:v>HYPERLINK is not implemented. linkLocation=#'山海经原文总库'!A3, friendlyName=↩ 返回目录</x:v>
      </x:c>
      <x:c r="I1837" s="1704" t="str">
        <x:v>是</x:v>
      </x:c>
      <x:c r="J1837" s="1704" t="str">
        <x:v>总表第42、143、144行｜朝云国、司彘国位于黑水西关系锁定</x:v>
      </x:c>
      <x:c r="K1837" s="1704" t="str">
        <x:v>V027已审计｜已建档</x:v>
      </x:c>
    </x:row>
    <x:row r="1838" ht="52" hidden="0" customHeight="1">
      <x:c r="A1838" s="1704" t="str">
        <x:v>SHJ-18-005-3</x:v>
      </x:c>
      <x:c r="B1838" s="1704" t="str">
        <x:v>卷十八 《海內經》</x:v>
      </x:c>
      <x:c r="C1838" s="1704"/>
      <x:c r="D1838" s="1704" t="str">
        <x:v>朝雲國</x:v>
      </x:c>
      <x:c r="E1838" s="1704" t="str">
        <x:v>國家／族群</x:v>
      </x:c>
      <x:c r="F1838" s="1704" t="e">
        <x:f>HYPERLINK("#'都广核心区总表'!B143","→ 查看条目")</x:f>
        <x:v>HYPERLINK is not implemented. linkLocation=#'都广核心区总表'!B143, friendlyName=→ 查看条目</x:v>
      </x:c>
      <x:c r="G1838" s="1704" t="str">
        <x:v>标点与分段参考《山海经校注》；正文对读：https://ctext.org/shan-hai-jing/hai-nei-jing/zh</x:v>
      </x:c>
      <x:c r="H1838" s="1704" t="e">
        <x:f>HYPERLINK("#'山海经原文总库'!A3","↩ 返回目录")</x:f>
        <x:v>HYPERLINK is not implemented. linkLocation=#'山海经原文总库'!A3, friendlyName=↩ 返回目录</x:v>
      </x:c>
      <x:c r="I1838" s="1704" t="str">
        <x:v>是</x:v>
      </x:c>
      <x:c r="J1838" s="1704" t="str">
        <x:v>总表第143行｜X=-145里，Y=-190里｜流沙东、黑水西关系锁定</x:v>
      </x:c>
      <x:c r="K1838" s="1704" t="str">
        <x:v>V027已审计｜已建档</x:v>
      </x:c>
    </x:row>
    <x:row r="1839" ht="52" hidden="0" customHeight="1">
      <x:c r="A1839" s="1704" t="str">
        <x:v>SHJ-18-005-4</x:v>
      </x:c>
      <x:c r="B1839" s="1704" t="str">
        <x:v>卷十八 《海內經》</x:v>
      </x:c>
      <x:c r="C1839" s="1704"/>
      <x:c r="D1839" s="1704" t="str">
        <x:v>司彘國</x:v>
      </x:c>
      <x:c r="E1839" s="1704" t="str">
        <x:v>國家／族群</x:v>
      </x:c>
      <x:c r="F1839" s="1704" t="e">
        <x:f>HYPERLINK("#'都广核心区总表'!B144","→ 查看条目")</x:f>
        <x:v>HYPERLINK is not implemented. linkLocation=#'都广核心区总表'!B144, friendlyName=→ 查看条目</x:v>
      </x:c>
      <x:c r="G1839" s="1704" t="str">
        <x:v>标点与分段参考《山海经校注》；正文对读：https://ctext.org/shan-hai-jing/hai-nei-jing/zh</x:v>
      </x:c>
      <x:c r="H1839" s="1704" t="e">
        <x:f>HYPERLINK("#'山海经原文总库'!A3","↩ 返回目录")</x:f>
        <x:v>HYPERLINK is not implemented. linkLocation=#'山海经原文总库'!A3, friendlyName=↩ 返回目录</x:v>
      </x:c>
      <x:c r="I1839" s="1704" t="str">
        <x:v>是</x:v>
      </x:c>
      <x:c r="J1839" s="1704" t="str">
        <x:v>总表第144行｜X=-135里，Y=-210里｜流沙东、黑水西关系锁定</x:v>
      </x:c>
      <x:c r="K1839" s="1704" t="str">
        <x:v>V027已审计｜已建档</x:v>
      </x:c>
    </x:row>
    <x:row r="1840" ht="52" hidden="0" customHeight="1">
      <x:c r="A1840" s="1704" t="str">
        <x:v>SHJ-18-005-5</x:v>
      </x:c>
      <x:c r="B1840" s="1704" t="str">
        <x:v>卷十八 《海內經》</x:v>
      </x:c>
      <x:c r="C1840" s="1704"/>
      <x:c r="D1840" s="1704" t="str">
        <x:v>若水</x:v>
      </x:c>
      <x:c r="E1840" s="1704" t="str">
        <x:v>水系／水域</x:v>
      </x:c>
      <x:c r="F1840" s="1704" t="e">
        <x:f>HYPERLINK("#'都广核心区总表'!B41","→ 查看条目")</x:f>
        <x:v>HYPERLINK is not implemented. linkLocation=#'都广核心区总表'!B41, friendlyName=→ 查看条目</x:v>
      </x:c>
      <x:c r="G1840" s="1704" t="str">
        <x:v>标点与分段参考《山海经校注》；正文对读：https://ctext.org/shan-hai-jing/hai-nei-jing/zh</x:v>
      </x:c>
      <x:c r="H1840" s="1704" t="e">
        <x:f>HYPERLINK("#'山海经原文总库'!A3","↩ 返回目录")</x:f>
        <x:v>HYPERLINK is not implemented. linkLocation=#'山海经原文总库'!A3, friendlyName=↩ 返回目录</x:v>
      </x:c>
      <x:c r="I1840" s="1704" t="str">
        <x:v>是</x:v>
      </x:c>
      <x:c r="J1840" s="1704" t="str">
        <x:v>总表第41行｜若水源点与若木同格；下游方向未锁</x:v>
      </x:c>
      <x:c r="K1840" s="1704" t="str">
        <x:v>V027已审计｜已建档</x:v>
      </x:c>
    </x:row>
    <x:row r="1841" ht="52" hidden="0" customHeight="1">
      <x:c r="A1841" s="1704" t="str">
        <x:v>SHJ-18-006-1</x:v>
      </x:c>
      <x:c r="B1841" s="1704" t="str">
        <x:v>卷十八 《海內經》</x:v>
      </x:c>
      <x:c r="C1841" s="1704" t="str">
        <x:v>流沙之東，黑水之間，有山名不死之山。</x:v>
      </x:c>
      <x:c r="D1841" s="1704" t="str">
        <x:v>流沙之東</x:v>
      </x:c>
      <x:c r="E1841" s="1704" t="str">
        <x:v>區域</x:v>
      </x:c>
      <x:c r="F1841" s="1704" t="e">
        <x:f>HYPERLINK("#'都广核心区总表'!B142","→ 查看条目")</x:f>
        <x:v>HYPERLINK is not implemented. linkLocation=#'都广核心区总表'!B142, friendlyName=→ 查看条目</x:v>
      </x:c>
      <x:c r="G1841" s="1704" t="str">
        <x:v>标点与分段参考《山海经校注》；正文对读：https://ctext.org/shan-hai-jing/hai-nei-jing/zh</x:v>
      </x:c>
      <x:c r="H1841" s="1704" t="e">
        <x:f>HYPERLINK("#'山海经原文总库'!A3","↩ 返回目录")</x:f>
        <x:v>HYPERLINK is not implemented. linkLocation=#'山海经原文总库'!A3, friendlyName=↩ 返回目录</x:v>
      </x:c>
      <x:c r="I1841" s="1704" t="str">
        <x:v>是</x:v>
      </x:c>
      <x:c r="J1841" s="1704" t="str">
        <x:v>总表第142、145行｜流沙东界与不死山模块已建档</x:v>
      </x:c>
      <x:c r="K1841" s="1704" t="str">
        <x:v>V027已审计｜已建档</x:v>
      </x:c>
    </x:row>
    <x:row r="1842" ht="52" hidden="0" customHeight="1">
      <x:c r="A1842" s="1704" t="str">
        <x:v>SHJ-18-006-2</x:v>
      </x:c>
      <x:c r="B1842" s="1704" t="str">
        <x:v>卷十八 《海內經》</x:v>
      </x:c>
      <x:c r="C1842" s="1704"/>
      <x:c r="D1842" s="1704" t="str">
        <x:v>黑水之間</x:v>
      </x:c>
      <x:c r="E1842" s="1704" t="str">
        <x:v>水系／水域</x:v>
      </x:c>
      <x:c r="F1842" s="1704" t="e">
        <x:f>HYPERLINK("#'都广核心区总表'!B42","→ 查看条目")</x:f>
        <x:v>HYPERLINK is not implemented. linkLocation=#'都广核心区总表'!B42, friendlyName=→ 查看条目</x:v>
      </x:c>
      <x:c r="G1842" s="1704" t="str">
        <x:v>标点与分段参考《山海经校注》；正文对读：https://ctext.org/shan-hai-jing/hai-nei-jing/zh</x:v>
      </x:c>
      <x:c r="H1842" s="1704" t="e">
        <x:f>HYPERLINK("#'山海经原文总库'!A3","↩ 返回目录")</x:f>
        <x:v>HYPERLINK is not implemented. linkLocation=#'山海经原文总库'!A3, friendlyName=↩ 返回目录</x:v>
      </x:c>
      <x:c r="I1842" s="1704" t="str">
        <x:v>是</x:v>
      </x:c>
      <x:c r="J1842" s="1704" t="str">
        <x:v>总表第42、145行｜‘黑水之间’作为水网／界面候选保留</x:v>
      </x:c>
      <x:c r="K1842" s="1704" t="str">
        <x:v>V027已审计｜已建档</x:v>
      </x:c>
    </x:row>
    <x:row r="1843" ht="52" hidden="0" customHeight="1">
      <x:c r="A1843" s="1704" t="str">
        <x:v>SHJ-18-006-3</x:v>
      </x:c>
      <x:c r="B1843" s="1704" t="str">
        <x:v>卷十八 《海內經》</x:v>
      </x:c>
      <x:c r="C1843" s="1704"/>
      <x:c r="D1843" s="1704" t="str">
        <x:v>不死山</x:v>
      </x:c>
      <x:c r="E1843" s="1704" t="str">
        <x:v>山／丘</x:v>
      </x:c>
      <x:c r="F1843" s="1704" t="e">
        <x:f>HYPERLINK("#'都广核心区总表'!B145","→ 查看条目")</x:f>
        <x:v>HYPERLINK is not implemented. linkLocation=#'都广核心区总表'!B145, friendlyName=→ 查看条目</x:v>
      </x:c>
      <x:c r="G1843" s="1704" t="str">
        <x:v>标点与分段参考《山海经校注》；正文对读：https://ctext.org/shan-hai-jing/hai-nei-jing/zh</x:v>
      </x:c>
      <x:c r="H1843" s="1704" t="e">
        <x:f>HYPERLINK("#'山海经原文总库'!A3","↩ 返回目录")</x:f>
        <x:v>HYPERLINK is not implemented. linkLocation=#'山海经原文总库'!A3, friendlyName=↩ 返回目录</x:v>
      </x:c>
      <x:c r="I1843" s="1704" t="str">
        <x:v>是</x:v>
      </x:c>
      <x:c r="J1843" s="1704" t="str">
        <x:v>总表第145行｜X=-130里，Y=-180里｜流沙东关系锁定</x:v>
      </x:c>
      <x:c r="K1843" s="1704" t="str">
        <x:v>V027已审计｜已建档</x:v>
      </x:c>
    </x:row>
    <x:row r="1844" ht="52" hidden="0" customHeight="1">
      <x:c r="A1844" s="1704" t="str">
        <x:v>SHJ-18-007-1</x:v>
      </x:c>
      <x:c r="B1844" s="1704" t="str">
        <x:v>卷十八 《海內經》</x:v>
      </x:c>
      <x:c r="C1844" s="1704" t="str">
        <x:v>華山青水之東，有山名曰肇山，有人名曰柏高，柏高上下於此，至於天。</x:v>
      </x:c>
      <x:c r="D1844" s="1704" t="str">
        <x:v>華山</x:v>
      </x:c>
      <x:c r="E1844" s="1704" t="str">
        <x:v>山／丘</x:v>
      </x:c>
      <x:c r="F1844" s="1704" t="e">
        <x:f>HYPERLINK("#'都广核心区总表'!B80","→ 查看条目")</x:f>
        <x:v>HYPERLINK is not implemented. linkLocation=#'都广核心区总表'!B80, friendlyName=→ 查看条目</x:v>
      </x:c>
      <x:c r="G1844" s="1704" t="str">
        <x:v>标点与分段参考《山海经校注》；正文对读：https://ctext.org/shan-hai-jing/hai-nei-jing/zh</x:v>
      </x:c>
      <x:c r="H1844" s="1704" t="e">
        <x:f>HYPERLINK("#'山海经原文总库'!A3","↩ 返回目录")</x:f>
        <x:v>HYPERLINK is not implemented. linkLocation=#'山海经原文总库'!A3, friendlyName=↩ 返回目录</x:v>
      </x:c>
      <x:c r="I1844" s="1704" t="str">
        <x:v>是</x:v>
      </x:c>
      <x:c r="J1844" s="1704" t="str">
        <x:v>总表第79、80、81、146行｜华山、青水为西侧参照；肇山与柏高共位；全部收入同一100里主格</x:v>
      </x:c>
      <x:c r="K1844" s="1704" t="str">
        <x:v>V028已审计｜已建档</x:v>
      </x:c>
    </x:row>
    <x:row r="1845" ht="52" hidden="0" customHeight="1">
      <x:c r="A1845" s="1704" t="str">
        <x:v>SHJ-18-007-2</x:v>
      </x:c>
      <x:c r="B1845" s="1704" t="str">
        <x:v>卷十八 《海內經》</x:v>
      </x:c>
      <x:c r="C1845" s="1704"/>
      <x:c r="D1845" s="1704" t="str">
        <x:v>青水</x:v>
      </x:c>
      <x:c r="E1845" s="1704" t="str">
        <x:v>水系／水域</x:v>
      </x:c>
      <x:c r="F1845" s="1704" t="e">
        <x:f>HYPERLINK("#'都广核心区总表'!B79","→ 查看条目")</x:f>
        <x:v>HYPERLINK is not implemented. linkLocation=#'都广核心区总表'!B79, friendlyName=→ 查看条目</x:v>
      </x:c>
      <x:c r="G1845" s="1704" t="str">
        <x:v>标点与分段参考《山海经校注》；正文对读：https://ctext.org/shan-hai-jing/hai-nei-jing/zh</x:v>
      </x:c>
      <x:c r="H1845" s="1704" t="e">
        <x:f>HYPERLINK("#'山海经原文总库'!A3","↩ 返回目录")</x:f>
        <x:v>HYPERLINK is not implemented. linkLocation=#'山海经原文总库'!A3, friendlyName=↩ 返回目录</x:v>
      </x:c>
      <x:c r="I1845" s="1704" t="str">
        <x:v>是</x:v>
      </x:c>
      <x:c r="J1845" s="1704" t="str">
        <x:v>总表第79行｜X=+80里，Y=-290里｜位于肇山西侧；与若木青水未合并</x:v>
      </x:c>
      <x:c r="K1845" s="1704" t="str">
        <x:v>V028已审计｜已建档</x:v>
      </x:c>
    </x:row>
    <x:row r="1846" ht="52" hidden="0" customHeight="1">
      <x:c r="A1846" s="1704" t="str">
        <x:v>SHJ-18-007-3</x:v>
      </x:c>
      <x:c r="B1846" s="1704" t="str">
        <x:v>卷十八 《海內經》</x:v>
      </x:c>
      <x:c r="C1846" s="1704"/>
      <x:c r="D1846" s="1704" t="str">
        <x:v>肇山</x:v>
      </x:c>
      <x:c r="E1846" s="1704" t="str">
        <x:v>山／丘</x:v>
      </x:c>
      <x:c r="F1846" s="1704" t="e">
        <x:f>HYPERLINK("#'都广核心区总表'!B81","→ 查看条目")</x:f>
        <x:v>HYPERLINK is not implemented. linkLocation=#'都广核心区总表'!B81, friendlyName=→ 查看条目</x:v>
      </x:c>
      <x:c r="G1846" s="1704" t="str">
        <x:v>标点与分段参考《山海经校注》；正文对读：https://ctext.org/shan-hai-jing/hai-nei-jing/zh</x:v>
      </x:c>
      <x:c r="H1846" s="1704" t="e">
        <x:f>HYPERLINK("#'山海经原文总库'!A3","↩ 返回目录")</x:f>
        <x:v>HYPERLINK is not implemented. linkLocation=#'山海经原文总库'!A3, friendlyName=↩ 返回目录</x:v>
      </x:c>
      <x:c r="I1846" s="1704" t="str">
        <x:v>是</x:v>
      </x:c>
      <x:c r="J1846" s="1704" t="str">
        <x:v>总表第81、146行｜X=+120里，Y=-300里｜肇山东向关系与柏高升降事件锁定</x:v>
      </x:c>
      <x:c r="K1846" s="1704" t="str">
        <x:v>V028已审计｜已建档</x:v>
      </x:c>
    </x:row>
    <x:row r="1847" ht="52" hidden="0" customHeight="1">
      <x:c r="A1847" s="1704" t="str">
        <x:v>SHJ-18-007-4</x:v>
      </x:c>
      <x:c r="B1847" s="1704" t="str">
        <x:v>卷十八 《海內經》</x:v>
      </x:c>
      <x:c r="C1847" s="1704"/>
      <x:c r="D1847" s="1704" t="str">
        <x:v>柏高</x:v>
      </x:c>
      <x:c r="E1847" s="1704" t="str">
        <x:v>人物／升降事件</x:v>
      </x:c>
      <x:c r="F1847" s="1704" t="e">
        <x:f>HYPERLINK("#'都广核心区总表'!B146","→ 查看条目")</x:f>
        <x:v>HYPERLINK is not implemented. linkLocation=#'都广核心区总表'!B146, friendlyName=→ 查看条目</x:v>
      </x:c>
      <x:c r="G1847" s="1704" t="str">
        <x:v>标点与分段参考《山海经校注》；正文对读：https://ctext.org/shan-hai-jing/hai-nei-jing/zh</x:v>
      </x:c>
      <x:c r="H1847" s="1704" t="e">
        <x:f>HYPERLINK("#'山海经原文总库'!A3","↩ 返回目录")</x:f>
        <x:v>HYPERLINK is not implemented. linkLocation=#'山海经原文总库'!A3, friendlyName=↩ 返回目录</x:v>
      </x:c>
      <x:c r="I1847" s="1704" t="str">
        <x:v>是（拓扑／接口）</x:v>
      </x:c>
      <x:c r="J1847" s="1704" t="str">
        <x:v>总表R146｜柏高（肇山升降者）</x:v>
      </x:c>
      <x:c r="K1847" s="1704" t="str">
        <x:v>V031漏拆修复｜已建档</x:v>
      </x:c>
    </x:row>
    <x:row r="1848" ht="52" hidden="0" customHeight="1">
      <x:c r="A1848" s="1704" t="str">
        <x:v>SHJ-18-008-1</x:v>
      </x:c>
      <x:c r="B1848" s="1704" t="str">
        <x:v>卷十八 《海內經》</x:v>
      </x:c>
      <x:c r="C1848" s="1704" t="str">
        <x:v>西南黑水之間，有都廣之野，后稷葬焉。爰有膏菽、膏稻、膏黍、膏稷，百穀自生，冬夏播琴。鸞鳥自歌，鳳鳥自儛，靈壽實華，草木所聚。爰有百獸，相羣爰處。此草也，冬夏不死。</x:v>
      </x:c>
      <x:c r="D1848" s="1704" t="str">
        <x:v>都廣之野</x:v>
      </x:c>
      <x:c r="E1848" s="1704" t="str">
        <x:v>區域</x:v>
      </x:c>
      <x:c r="F1848" s="1704" t="e">
        <x:f>HYPERLINK("#'都广核心区总表'!B9","→ 查看条目")</x:f>
        <x:v>HYPERLINK is not implemented. linkLocation=#'都广核心区总表'!B9, friendlyName=→ 查看条目</x:v>
      </x:c>
      <x:c r="G1848" s="1704" t="str">
        <x:v>标点与分段参考《山海经校注》；正文对读：https://ctext.org/shan-hai-jing/hai-nei-jing/zh</x:v>
      </x:c>
      <x:c r="H1848" s="1704" t="e">
        <x:f>HYPERLINK("#'山海经原文总库'!A3","↩ 返回目录")</x:f>
        <x:v>HYPERLINK is not implemented. linkLocation=#'山海经原文总库'!A3, friendlyName=↩ 返回目录</x:v>
      </x:c>
      <x:c r="I1848" s="1704" t="str">
        <x:v>是</x:v>
      </x:c>
      <x:c r="J1848" s="1704" t="str">
        <x:v>总表R9｜都广之野</x:v>
      </x:c>
      <x:c r="K1848" s="1704" t="str">
        <x:v>V026已审计｜已建档</x:v>
      </x:c>
    </x:row>
    <x:row r="1849" ht="52" hidden="0" customHeight="1">
      <x:c r="A1849" s="1704" t="str">
        <x:v>SHJ-18-008-2</x:v>
      </x:c>
      <x:c r="B1849" s="1704" t="str">
        <x:v>卷十八 《海內經》</x:v>
      </x:c>
      <x:c r="C1849" s="1704"/>
      <x:c r="D1849" s="1704" t="str">
        <x:v>黑水</x:v>
      </x:c>
      <x:c r="E1849" s="1704" t="str">
        <x:v>水系／水域</x:v>
      </x:c>
      <x:c r="F1849" s="1704" t="e">
        <x:f>HYPERLINK("#'都广核心区总表'!B42","→ 查看条目")</x:f>
        <x:v>HYPERLINK is not implemented. linkLocation=#'都广核心区总表'!B42, friendlyName=→ 查看条目</x:v>
      </x:c>
      <x:c r="G1849" s="1704" t="str">
        <x:v>标点与分段参考《山海经校注》；正文对读：https://ctext.org/shan-hai-jing/hai-nei-jing/zh</x:v>
      </x:c>
      <x:c r="H1849" s="1704" t="e">
        <x:f>HYPERLINK("#'山海经原文总库'!A3","↩ 返回目录")</x:f>
        <x:v>HYPERLINK is not implemented. linkLocation=#'山海经原文总库'!A3, friendlyName=↩ 返回目录</x:v>
      </x:c>
      <x:c r="I1849" s="1704" t="str">
        <x:v>是</x:v>
      </x:c>
      <x:c r="J1849" s="1704" t="str">
        <x:v>总表第42行｜X=-200里，Y=-200里（-2，-2格）｜代表段锁定；与昆仑源、幽都源均未闭合</x:v>
      </x:c>
      <x:c r="K1849" s="1704" t="str">
        <x:v>V026已审计｜已建档</x:v>
      </x:c>
    </x:row>
    <x:row r="1850" ht="52" hidden="0" customHeight="1">
      <x:c r="A1850" s="1704" t="str">
        <x:v>SHJ-18-008-3</x:v>
      </x:c>
      <x:c r="B1850" s="1704" t="str">
        <x:v>卷十八 《海內經》</x:v>
      </x:c>
      <x:c r="C1850" s="1704"/>
      <x:c r="D1850" s="1704" t="str">
        <x:v>后稷葬地</x:v>
      </x:c>
      <x:c r="E1850" s="1704" t="str">
        <x:v>墓葬</x:v>
      </x:c>
      <x:c r="F1850" s="1704" t="e">
        <x:f>HYPERLINK("#'都广核心区总表'!B22","→ 查看条目")</x:f>
        <x:v>HYPERLINK is not implemented. linkLocation=#'都广核心区总表'!B22, friendlyName=→ 查看条目</x:v>
      </x:c>
      <x:c r="G1850" s="1704" t="str">
        <x:v>标点与分段参考《山海经校注》；正文对读：https://ctext.org/shan-hai-jing/hai-nei-jing/zh</x:v>
      </x:c>
      <x:c r="H1850" s="1704" t="e">
        <x:f>HYPERLINK("#'山海经原文总库'!A3","↩ 返回目录")</x:f>
        <x:v>HYPERLINK is not implemented. linkLocation=#'山海经原文总库'!A3, friendlyName=↩ 返回目录</x:v>
      </x:c>
      <x:c r="I1850" s="1704" t="str">
        <x:v>是</x:v>
      </x:c>
      <x:c r="J1850" s="1704" t="str">
        <x:v>总表第22行｜X=-20里，Y=0里｜后稷葬于都广内部；20里为格内排版偏移</x:v>
      </x:c>
      <x:c r="K1850" s="1704" t="str">
        <x:v>V026已审计｜已建档</x:v>
      </x:c>
    </x:row>
    <x:row r="1851" ht="52" hidden="0" customHeight="1">
      <x:c r="A1851" s="1704" t="str">
        <x:v>SHJ-18-008-4</x:v>
      </x:c>
      <x:c r="B1851" s="1704" t="str">
        <x:v>卷十八 《海內經》</x:v>
      </x:c>
      <x:c r="C1851" s="1704"/>
      <x:c r="D1851" s="1704" t="str">
        <x:v>都广百谷—鸾凤草木生态层</x:v>
      </x:c>
      <x:c r="E1851" s="1704" t="str">
        <x:v>生态区域／作用层</x:v>
      </x:c>
      <x:c r="F1851" s="1704" t="e">
        <x:f>HYPERLINK("#'都广核心区总表'!B140","→ 查看条目")</x:f>
        <x:v>HYPERLINK is not implemented. linkLocation=#'都广核心区总表'!B140, friendlyName=→ 查看条目</x:v>
      </x:c>
      <x:c r="G1851" s="1704" t="str">
        <x:v>标点与分段参考《山海经校注》；正文对读：https://ctext.org/shan-hai-jing/hai-nei-jing/zh</x:v>
      </x:c>
      <x:c r="H1851" s="1704" t="e">
        <x:f>HYPERLINK("#'山海经原文总库'!A3","↩ 返回目录")</x:f>
        <x:v>HYPERLINK is not implemented. linkLocation=#'山海经原文总库'!A3, friendlyName=↩ 返回目录</x:v>
      </x:c>
      <x:c r="I1851" s="1704" t="str">
        <x:v>是（拓扑／接口）</x:v>
      </x:c>
      <x:c r="J1851" s="1704" t="str">
        <x:v>总表R140｜都广丰饶生态层</x:v>
      </x:c>
      <x:c r="K1851" s="1704" t="str">
        <x:v>V031漏拆修复｜已建档</x:v>
      </x:c>
    </x:row>
    <x:row r="1852" ht="52" hidden="0" customHeight="1">
      <x:c r="A1852" s="1704" t="str">
        <x:v>SHJ-18-009-1</x:v>
      </x:c>
      <x:c r="B1852" s="1704" t="str">
        <x:v>卷十八 《海內經》</x:v>
      </x:c>
      <x:c r="C1852" s="1704" t="str">
        <x:v>南海之內，黑水青水之間，有木名曰若木，若水出焉。</x:v>
      </x:c>
      <x:c r="D1852" s="1704" t="str">
        <x:v>南海之內</x:v>
      </x:c>
      <x:c r="E1852" s="1704" t="str">
        <x:v>區域</x:v>
      </x:c>
      <x:c r="F1852" s="1704" t="e">
        <x:f>HYPERLINK("#'都广核心区总表'!B141","→ 查看条目")</x:f>
        <x:v>HYPERLINK is not implemented. linkLocation=#'都广核心区总表'!B141, friendlyName=→ 查看条目</x:v>
      </x:c>
      <x:c r="G1852" s="1704" t="str">
        <x:v>标点与分段参考《山海经校注》；正文对读：https://ctext.org/shan-hai-jing/hai-nei-jing/zh</x:v>
      </x:c>
      <x:c r="H1852" s="1704" t="e">
        <x:f>HYPERLINK("#'山海经原文总库'!A3","↩ 返回目录")</x:f>
        <x:v>HYPERLINK is not implemented. linkLocation=#'山海经原文总库'!A3, friendlyName=↩ 返回目录</x:v>
      </x:c>
      <x:c r="I1852" s="1704" t="str">
        <x:v>是</x:v>
      </x:c>
      <x:c r="J1852" s="1704" t="str">
        <x:v>总表第40—43、141行｜南海之内的若木—黑水—青水系统已建档</x:v>
      </x:c>
      <x:c r="K1852" s="1704" t="str">
        <x:v>V027已审计｜已建档</x:v>
      </x:c>
    </x:row>
    <x:row r="1853" ht="52" hidden="0" customHeight="1">
      <x:c r="A1853" s="1704" t="str">
        <x:v>SHJ-18-009-2</x:v>
      </x:c>
      <x:c r="B1853" s="1704" t="str">
        <x:v>卷十八 《海內經》</x:v>
      </x:c>
      <x:c r="C1853" s="1704"/>
      <x:c r="D1853" s="1704" t="str">
        <x:v>黑水</x:v>
      </x:c>
      <x:c r="E1853" s="1704" t="str">
        <x:v>水系／水域</x:v>
      </x:c>
      <x:c r="F1853" s="1704" t="e">
        <x:f>HYPERLINK("#'都广核心区总表'!B42","→ 查看条目")</x:f>
        <x:v>HYPERLINK is not implemented. linkLocation=#'都广核心区总表'!B42, friendlyName=→ 查看条目</x:v>
      </x:c>
      <x:c r="G1853" s="1704" t="str">
        <x:v>标点与分段参考《山海经校注》；正文对读：https://ctext.org/shan-hai-jing/hai-nei-jing/zh</x:v>
      </x:c>
      <x:c r="H1853" s="1704" t="e">
        <x:f>HYPERLINK("#'山海经原文总库'!A3","↩ 返回目录")</x:f>
        <x:v>HYPERLINK is not implemented. linkLocation=#'山海经原文总库'!A3, friendlyName=↩ 返回目录</x:v>
      </x:c>
      <x:c r="I1853" s="1704" t="str">
        <x:v>是</x:v>
      </x:c>
      <x:c r="J1853" s="1704" t="str">
        <x:v>总表第42行｜X=-120里，Y=-200里｜若木西侧20里排版位</x:v>
      </x:c>
      <x:c r="K1853" s="1704" t="str">
        <x:v>V027已审计｜已建档</x:v>
      </x:c>
    </x:row>
    <x:row r="1854" ht="52" hidden="0" customHeight="1">
      <x:c r="A1854" s="1704" t="str">
        <x:v>SHJ-18-009-3</x:v>
      </x:c>
      <x:c r="B1854" s="1704" t="str">
        <x:v>卷十八 《海內經》</x:v>
      </x:c>
      <x:c r="C1854" s="1704"/>
      <x:c r="D1854" s="1704" t="str">
        <x:v>青水</x:v>
      </x:c>
      <x:c r="E1854" s="1704" t="str">
        <x:v>水系／水域</x:v>
      </x:c>
      <x:c r="F1854" s="1704" t="e">
        <x:f>HYPERLINK("#'都广核心区总表'!B43","→ 查看条目")</x:f>
        <x:v>HYPERLINK is not implemented. linkLocation=#'都广核心区总表'!B43, friendlyName=→ 查看条目</x:v>
      </x:c>
      <x:c r="G1854" s="1704" t="str">
        <x:v>标点与分段参考《山海经校注》；正文对读：https://ctext.org/shan-hai-jing/hai-nei-jing/zh</x:v>
      </x:c>
      <x:c r="H1854" s="1704" t="e">
        <x:f>HYPERLINK("#'山海经原文总库'!A3","↩ 返回目录")</x:f>
        <x:v>HYPERLINK is not implemented. linkLocation=#'山海经原文总库'!A3, friendlyName=↩ 返回目录</x:v>
      </x:c>
      <x:c r="I1854" s="1704" t="str">
        <x:v>是</x:v>
      </x:c>
      <x:c r="J1854" s="1704" t="str">
        <x:v>总表第43行｜X=-80里，Y=-200里｜若木东侧20里排版位</x:v>
      </x:c>
      <x:c r="K1854" s="1704" t="str">
        <x:v>V027已审计｜已建档</x:v>
      </x:c>
    </x:row>
    <x:row r="1855" ht="52" hidden="0" customHeight="1">
      <x:c r="A1855" s="1704" t="str">
        <x:v>SHJ-18-009-4</x:v>
      </x:c>
      <x:c r="B1855" s="1704" t="str">
        <x:v>卷十八 《海內經》</x:v>
      </x:c>
      <x:c r="C1855" s="1704"/>
      <x:c r="D1855" s="1704" t="str">
        <x:v>若木</x:v>
      </x:c>
      <x:c r="E1855" s="1704" t="str">
        <x:v>神木／地標</x:v>
      </x:c>
      <x:c r="F1855" s="1704" t="e">
        <x:f>HYPERLINK("#'都广核心区总表'!B40","→ 查看条目")</x:f>
        <x:v>HYPERLINK is not implemented. linkLocation=#'都广核心区总表'!B40, friendlyName=→ 查看条目</x:v>
      </x:c>
      <x:c r="G1855" s="1704" t="str">
        <x:v>标点与分段参考《山海经校注》；正文对读：https://ctext.org/shan-hai-jing/hai-nei-jing/zh</x:v>
      </x:c>
      <x:c r="H1855" s="1704" t="e">
        <x:f>HYPERLINK("#'山海经原文总库'!A3","↩ 返回目录")</x:f>
        <x:v>HYPERLINK is not implemented. linkLocation=#'山海经原文总库'!A3, friendlyName=↩ 返回目录</x:v>
      </x:c>
      <x:c r="I1855" s="1704" t="str">
        <x:v>是</x:v>
      </x:c>
      <x:c r="J1855" s="1704" t="str">
        <x:v>总表第40行｜X=-100里，Y=-200里｜位于黑水、青水之间</x:v>
      </x:c>
      <x:c r="K1855" s="1704" t="str">
        <x:v>V027已审计｜已建档</x:v>
      </x:c>
    </x:row>
    <x:row r="1856" ht="52" hidden="0" customHeight="1">
      <x:c r="A1856" s="1704" t="str">
        <x:v>SHJ-18-009-5</x:v>
      </x:c>
      <x:c r="B1856" s="1704" t="str">
        <x:v>卷十八 《海內經》</x:v>
      </x:c>
      <x:c r="C1856" s="1704"/>
      <x:c r="D1856" s="1704" t="str">
        <x:v>若水</x:v>
      </x:c>
      <x:c r="E1856" s="1704" t="str">
        <x:v>水系／水域</x:v>
      </x:c>
      <x:c r="F1856" s="1704" t="e">
        <x:f>HYPERLINK("#'都广核心区总表'!B41","→ 查看条目")</x:f>
        <x:v>HYPERLINK is not implemented. linkLocation=#'都广核心区总表'!B41, friendlyName=→ 查看条目</x:v>
      </x:c>
      <x:c r="G1856" s="1704" t="str">
        <x:v>标点与分段参考《山海经校注》；正文对读：https://ctext.org/shan-hai-jing/hai-nei-jing/zh</x:v>
      </x:c>
      <x:c r="H1856" s="1704" t="e">
        <x:f>HYPERLINK("#'山海经原文总库'!A3","↩ 返回目录")</x:f>
        <x:v>HYPERLINK is not implemented. linkLocation=#'山海经原文总库'!A3, friendlyName=↩ 返回目录</x:v>
      </x:c>
      <x:c r="I1856" s="1704" t="str">
        <x:v>是</x:v>
      </x:c>
      <x:c r="J1856" s="1704" t="str">
        <x:v>总表第41行｜X=-100里，Y=-220里｜若水从若木发源</x:v>
      </x:c>
      <x:c r="K1856" s="1704" t="str">
        <x:v>V027已审计｜已建档</x:v>
      </x:c>
    </x:row>
    <x:row r="1857" ht="52" hidden="0" customHeight="1">
      <x:c r="A1857" s="1704" t="str">
        <x:v>SHJ-18-010-1</x:v>
      </x:c>
      <x:c r="B1857" s="1704" t="str">
        <x:v>卷十八 《海內經》</x:v>
      </x:c>
      <x:c r="C1857" s="1704" t="str">
        <x:v>有禺中之國。有列襄之國。有靈山，有赤蛇在木上，名曰蝡蛇，木食。</x:v>
      </x:c>
      <x:c r="D1857" s="1704" t="str">
        <x:v>禺中国</x:v>
      </x:c>
      <x:c r="E1857" s="1704" t="str">
        <x:v>国家／族群</x:v>
      </x:c>
      <x:c r="F1857" s="1704" t="e">
        <x:f>HYPERLINK("#'都广核心区总表'!B160","→ 查看条目")</x:f>
        <x:v>HYPERLINK is not implemented. linkLocation=#'都广核心区总表'!B160, friendlyName=→ 查看条目</x:v>
      </x:c>
      <x:c r="G1857" s="1704" t="str">
        <x:v>标点与分段参考《山海经校注》；正文对读：https://ctext.org/shan-hai-jing/hai-nei-jing/zh</x:v>
      </x:c>
      <x:c r="H1857" s="1704" t="e">
        <x:f>HYPERLINK("#'山海经原文总库'!A3","↩ 返回目录")</x:f>
        <x:v>HYPERLINK is not implemented. linkLocation=#'山海经原文总库'!A3, friendlyName=↩ 返回目录</x:v>
      </x:c>
      <x:c r="I1857" s="1704" t="str">
        <x:v>是（拓扑／接口）</x:v>
      </x:c>
      <x:c r="J1857" s="1704" t="str">
        <x:v>总表R160｜禺中国</x:v>
      </x:c>
      <x:c r="K1857" s="1704" t="str">
        <x:v>V030闭合｜已建档</x:v>
      </x:c>
    </x:row>
    <x:row r="1858" ht="52" hidden="0" customHeight="1">
      <x:c r="A1858" s="1704" t="str">
        <x:v>SHJ-18-010-2</x:v>
      </x:c>
      <x:c r="B1858" s="1704" t="str">
        <x:v>卷十八 《海內經》</x:v>
      </x:c>
      <x:c r="C1858" s="1704"/>
      <x:c r="D1858" s="1704" t="str">
        <x:v>列襄國</x:v>
      </x:c>
      <x:c r="E1858" s="1704" t="str">
        <x:v>國家／族群</x:v>
      </x:c>
      <x:c r="F1858" s="1704" t="e">
        <x:f>HYPERLINK("#'都广核心区总表'!B161","→ 查看条目")</x:f>
        <x:v>HYPERLINK is not implemented. linkLocation=#'都广核心区总表'!B161, friendlyName=→ 查看条目</x:v>
      </x:c>
      <x:c r="G1858" s="1704" t="str">
        <x:v>标点与分段参考《山海经校注》；正文对读：https://ctext.org/shan-hai-jing/hai-nei-jing/zh</x:v>
      </x:c>
      <x:c r="H1858" s="1704" t="e">
        <x:f>HYPERLINK("#'山海经原文总库'!A3","↩ 返回目录")</x:f>
        <x:v>HYPERLINK is not implemented. linkLocation=#'山海经原文总库'!A3, friendlyName=↩ 返回目录</x:v>
      </x:c>
      <x:c r="I1858" s="1704" t="str">
        <x:v>是（拓扑／接口）</x:v>
      </x:c>
      <x:c r="J1858" s="1704" t="str">
        <x:v>总表R161｜列襄国</x:v>
      </x:c>
      <x:c r="K1858" s="1704" t="str">
        <x:v>V030闭合｜已建档</x:v>
      </x:c>
    </x:row>
    <x:row r="1859" ht="52" hidden="0" customHeight="1">
      <x:c r="A1859" s="1704" t="str">
        <x:v>SHJ-18-010-3</x:v>
      </x:c>
      <x:c r="B1859" s="1704" t="str">
        <x:v>卷十八 《海內經》</x:v>
      </x:c>
      <x:c r="C1859" s="1704"/>
      <x:c r="D1859" s="1704" t="str">
        <x:v>靈山</x:v>
      </x:c>
      <x:c r="E1859" s="1704" t="str">
        <x:v>山／丘</x:v>
      </x:c>
      <x:c r="F1859" s="1704" t="e">
        <x:f>HYPERLINK("#'都广核心区总表'!B162","→ 查看条目")</x:f>
        <x:v>HYPERLINK is not implemented. linkLocation=#'都广核心区总表'!B162, friendlyName=→ 查看条目</x:v>
      </x:c>
      <x:c r="G1859" s="1704" t="str">
        <x:v>标点与分段参考《山海经校注》；正文对读：https://ctext.org/shan-hai-jing/hai-nei-jing/zh</x:v>
      </x:c>
      <x:c r="H1859" s="1704" t="e">
        <x:f>HYPERLINK("#'山海经原文总库'!A3","↩ 返回目录")</x:f>
        <x:v>HYPERLINK is not implemented. linkLocation=#'山海经原文总库'!A3, friendlyName=↩ 返回目录</x:v>
      </x:c>
      <x:c r="I1859" s="1704" t="str">
        <x:v>是（拓扑／接口）</x:v>
      </x:c>
      <x:c r="J1859" s="1704" t="str">
        <x:v>总表R162｜灵山</x:v>
      </x:c>
      <x:c r="K1859" s="1704" t="str">
        <x:v>V030闭合｜已建档</x:v>
      </x:c>
    </x:row>
    <x:row r="1860" ht="52" hidden="0" customHeight="1">
      <x:c r="A1860" s="1704" t="str">
        <x:v>SHJ-18-010-4</x:v>
      </x:c>
      <x:c r="B1860" s="1704" t="str">
        <x:v>卷十八 《海內經》</x:v>
      </x:c>
      <x:c r="C1860" s="1704"/>
      <x:c r="D1860" s="1704" t="str">
        <x:v>蝡蛇</x:v>
      </x:c>
      <x:c r="E1860" s="1704" t="str">
        <x:v>异蛇／灵山居者</x:v>
      </x:c>
      <x:c r="F1860" s="1704" t="e">
        <x:f>HYPERLINK("#'都广核心区总表'!B163","→ 查看条目")</x:f>
        <x:v>HYPERLINK is not implemented. linkLocation=#'都广核心区总表'!B163, friendlyName=→ 查看条目</x:v>
      </x:c>
      <x:c r="G1860" s="1704" t="str">
        <x:v>标点与分段参考《山海经校注》；正文对读：https://ctext.org/shan-hai-jing/hai-nei-jing/zh</x:v>
      </x:c>
      <x:c r="H1860" s="1704" t="e">
        <x:f>HYPERLINK("#'山海经原文总库'!A3","↩ 返回目录")</x:f>
        <x:v>HYPERLINK is not implemented. linkLocation=#'山海经原文总库'!A3, friendlyName=↩ 返回目录</x:v>
      </x:c>
      <x:c r="I1860" s="1704" t="str">
        <x:v>是（拓扑／接口）</x:v>
      </x:c>
      <x:c r="J1860" s="1704" t="str">
        <x:v>总表R163｜蝡蛇</x:v>
      </x:c>
      <x:c r="K1860" s="1704" t="str">
        <x:v>V031漏拆修复｜已建档</x:v>
      </x:c>
    </x:row>
    <x:row r="1861" ht="52" hidden="0" customHeight="1">
      <x:c r="A1861" s="1704" t="str">
        <x:v>SHJ-18-011-1</x:v>
      </x:c>
      <x:c r="B1861" s="1704" t="str">
        <x:v>卷十八 《海內經》</x:v>
      </x:c>
      <x:c r="C1861" s="1704" t="str">
        <x:v>有鹽長之國。有人焉鳥首，名曰鳥氏。</x:v>
      </x:c>
      <x:c r="D1861" s="1704" t="str">
        <x:v>盐长国</x:v>
      </x:c>
      <x:c r="E1861" s="1704" t="str">
        <x:v>国家／族群</x:v>
      </x:c>
      <x:c r="F1861" s="1704" t="e">
        <x:f>HYPERLINK("#'都广核心区总表'!B164","→ 查看条目")</x:f>
        <x:v>HYPERLINK is not implemented. linkLocation=#'都广核心区总表'!B164, friendlyName=→ 查看条目</x:v>
      </x:c>
      <x:c r="G1861" s="1704" t="str">
        <x:v>标点与分段参考《山海经校注》；正文对读：https://ctext.org/shan-hai-jing/hai-nei-jing/zh</x:v>
      </x:c>
      <x:c r="H1861" s="1704" t="e">
        <x:f>HYPERLINK("#'山海经原文总库'!A3","↩ 返回目录")</x:f>
        <x:v>HYPERLINK is not implemented. linkLocation=#'山海经原文总库'!A3, friendlyName=↩ 返回目录</x:v>
      </x:c>
      <x:c r="I1861" s="1704" t="str">
        <x:v>是（拓扑／接口）</x:v>
      </x:c>
      <x:c r="J1861" s="1704" t="str">
        <x:v>总表R164｜盐长国</x:v>
      </x:c>
      <x:c r="K1861" s="1704" t="str">
        <x:v>V030闭合｜已建档</x:v>
      </x:c>
    </x:row>
    <x:row r="1862" ht="52" hidden="0" customHeight="1">
      <x:c r="A1862" s="1704" t="str">
        <x:v>SHJ-18-011-2</x:v>
      </x:c>
      <x:c r="B1862" s="1704" t="str">
        <x:v>卷十八 《海內經》</x:v>
      </x:c>
      <x:c r="C1862" s="1704"/>
      <x:c r="D1862" s="1704" t="str">
        <x:v>鸟氏</x:v>
      </x:c>
      <x:c r="E1862" s="1704" t="str">
        <x:v>人物／族类代表</x:v>
      </x:c>
      <x:c r="F1862" s="1704" t="e">
        <x:f>HYPERLINK("#'都广核心区总表'!B165","→ 查看条目")</x:f>
        <x:v>HYPERLINK is not implemented. linkLocation=#'都广核心区总表'!B165, friendlyName=→ 查看条目</x:v>
      </x:c>
      <x:c r="G1862" s="1704" t="str">
        <x:v>标点与分段参考《山海经校注》；正文对读：https://ctext.org/shan-hai-jing/hai-nei-jing/zh</x:v>
      </x:c>
      <x:c r="H1862" s="1704" t="e">
        <x:f>HYPERLINK("#'山海经原文总库'!A3","↩ 返回目录")</x:f>
        <x:v>HYPERLINK is not implemented. linkLocation=#'山海经原文总库'!A3, friendlyName=↩ 返回目录</x:v>
      </x:c>
      <x:c r="I1862" s="1704" t="str">
        <x:v>是（拓扑／接口）</x:v>
      </x:c>
      <x:c r="J1862" s="1704" t="str">
        <x:v>总表R165｜鸟氏</x:v>
      </x:c>
      <x:c r="K1862" s="1704" t="str">
        <x:v>V031漏拆修复｜已建档</x:v>
      </x:c>
    </x:row>
    <x:row r="1863" ht="52" hidden="0" customHeight="1">
      <x:c r="A1863" s="1704" t="str">
        <x:v>SHJ-18-012-1</x:v>
      </x:c>
      <x:c r="B1863" s="1704" t="str">
        <x:v>卷十八 《海內經》</x:v>
      </x:c>
      <x:c r="C1863" s="1704" t="str">
        <x:v>有九丘，以水絡之：名曰陶唐之丘、有叔得之丘、孟盈之丘、昆吾之丘、黑白之丘、赤望之丘、參衛之丘、武夫之丘、神民之丘。有木，青葉紫莖，玄華黃實，名曰建木，百仞無枝，有九欘，下有九枸，其實如麻，其葉如芒，大皞爰過，黃帝所爲。</x:v>
      </x:c>
      <x:c r="D1863" s="1704" t="str">
        <x:v>九丘</x:v>
      </x:c>
      <x:c r="E1863" s="1704" t="str">
        <x:v>山／丘</x:v>
      </x:c>
      <x:c r="F1863" s="1704" t="e">
        <x:f>HYPERLINK("#'都广核心区总表'!B11","→ 查看条目")</x:f>
        <x:v>HYPERLINK is not implemented. linkLocation=#'都广核心区总表'!B11, friendlyName=→ 查看条目</x:v>
      </x:c>
      <x:c r="G1863" s="1704" t="str">
        <x:v>标点与分段参考《山海经校注》；正文对读：https://ctext.org/shan-hai-jing/hai-nei-jing/zh</x:v>
      </x:c>
      <x:c r="H1863" s="1704" t="e">
        <x:f>HYPERLINK("#'山海经原文总库'!A3","↩ 返回目录")</x:f>
        <x:v>HYPERLINK is not implemented. linkLocation=#'山海经原文总库'!A3, friendlyName=↩ 返回目录</x:v>
      </x:c>
      <x:c r="I1863" s="1704" t="str">
        <x:v>是</x:v>
      </x:c>
      <x:c r="J1863" s="1704" t="str">
        <x:v>总表第11行｜X=0里，Y=0里（0，0格）｜范围锁定；内部次序为布局推定</x:v>
      </x:c>
      <x:c r="K1863" s="1704" t="str">
        <x:v>V026已审计｜已建档</x:v>
      </x:c>
    </x:row>
    <x:row r="1864" ht="52" hidden="0" customHeight="1">
      <x:c r="A1864" s="1704" t="str">
        <x:v>SHJ-18-012-2</x:v>
      </x:c>
      <x:c r="B1864" s="1704" t="str">
        <x:v>卷十八 《海內經》</x:v>
      </x:c>
      <x:c r="C1864" s="1704"/>
      <x:c r="D1864" s="1704" t="str">
        <x:v>九丘水絡</x:v>
      </x:c>
      <x:c r="E1864" s="1704" t="str">
        <x:v>山／丘</x:v>
      </x:c>
      <x:c r="F1864" s="1704" t="e">
        <x:f>HYPERLINK("#'都广核心区总表'!B12","→ 查看条目")</x:f>
        <x:v>HYPERLINK is not implemented. linkLocation=#'都广核心区总表'!B12, friendlyName=→ 查看条目</x:v>
      </x:c>
      <x:c r="G1864" s="1704" t="str">
        <x:v>标点与分段参考《山海经校注》；正文对读：https://ctext.org/shan-hai-jing/hai-nei-jing/zh</x:v>
      </x:c>
      <x:c r="H1864" s="1704" t="e">
        <x:f>HYPERLINK("#'山海经原文总库'!A3","↩ 返回目录")</x:f>
        <x:v>HYPERLINK is not implemented. linkLocation=#'山海经原文总库'!A3, friendlyName=↩ 返回目录</x:v>
      </x:c>
      <x:c r="I1864" s="1704" t="str">
        <x:v>是</x:v>
      </x:c>
      <x:c r="J1864" s="1704" t="str">
        <x:v>总表第12行｜X=0里，Y=0里（0，0格）｜关系锁定；线型未锁</x:v>
      </x:c>
      <x:c r="K1864" s="1704" t="str">
        <x:v>V026已审计｜已建档</x:v>
      </x:c>
    </x:row>
    <x:row r="1865" ht="52" hidden="0" customHeight="1">
      <x:c r="A1865" s="1704" t="str">
        <x:v>SHJ-18-012-3</x:v>
      </x:c>
      <x:c r="B1865" s="1704" t="str">
        <x:v>卷十八 《海內經》</x:v>
      </x:c>
      <x:c r="C1865" s="1704"/>
      <x:c r="D1865" s="1704" t="str">
        <x:v>陶唐之丘</x:v>
      </x:c>
      <x:c r="E1865" s="1704" t="str">
        <x:v>山／丘</x:v>
      </x:c>
      <x:c r="F1865" s="1704" t="e">
        <x:f>HYPERLINK("#'都广核心区总表'!B13","→ 查看条目")</x:f>
        <x:v>HYPERLINK is not implemented. linkLocation=#'都广核心区总表'!B13, friendlyName=→ 查看条目</x:v>
      </x:c>
      <x:c r="G1865" s="1704" t="str">
        <x:v>标点与分段参考《山海经校注》；正文对读：https://ctext.org/shan-hai-jing/hai-nei-jing/zh</x:v>
      </x:c>
      <x:c r="H1865" s="1704" t="e">
        <x:f>HYPERLINK("#'山海经原文总库'!A3","↩ 返回目录")</x:f>
        <x:v>HYPERLINK is not implemented. linkLocation=#'山海经原文总库'!A3, friendlyName=↩ 返回目录</x:v>
      </x:c>
      <x:c r="I1865" s="1704" t="str">
        <x:v>是</x:v>
      </x:c>
      <x:c r="J1865" s="1704" t="str">
        <x:v>总表第13行｜X=-100里，Y=+100里（-1，+1格）｜布局锁定，可随新证据整体重排</x:v>
      </x:c>
      <x:c r="K1865" s="1704" t="str">
        <x:v>V026已审计｜已建档</x:v>
      </x:c>
    </x:row>
    <x:row r="1866" ht="52" hidden="0" customHeight="1">
      <x:c r="A1866" s="1704" t="str">
        <x:v>SHJ-18-012-4</x:v>
      </x:c>
      <x:c r="B1866" s="1704" t="str">
        <x:v>卷十八 《海內經》</x:v>
      </x:c>
      <x:c r="C1866" s="1704"/>
      <x:c r="D1866" s="1704" t="str">
        <x:v>叔得之丘</x:v>
      </x:c>
      <x:c r="E1866" s="1704" t="str">
        <x:v>山／丘</x:v>
      </x:c>
      <x:c r="F1866" s="1704" t="e">
        <x:f>HYPERLINK("#'都广核心区总表'!B14","→ 查看条目")</x:f>
        <x:v>HYPERLINK is not implemented. linkLocation=#'都广核心区总表'!B14, friendlyName=→ 查看条目</x:v>
      </x:c>
      <x:c r="G1866" s="1704" t="str">
        <x:v>标点与分段参考《山海经校注》；正文对读：https://ctext.org/shan-hai-jing/hai-nei-jing/zh</x:v>
      </x:c>
      <x:c r="H1866" s="1704" t="e">
        <x:f>HYPERLINK("#'山海经原文总库'!A3","↩ 返回目录")</x:f>
        <x:v>HYPERLINK is not implemented. linkLocation=#'山海经原文总库'!A3, friendlyName=↩ 返回目录</x:v>
      </x:c>
      <x:c r="I1866" s="1704" t="str">
        <x:v>是</x:v>
      </x:c>
      <x:c r="J1866" s="1704" t="str">
        <x:v>总表第14行｜X=0里，Y=+100里（0，+1格）｜布局锁定，可随新证据整体重排</x:v>
      </x:c>
      <x:c r="K1866" s="1704" t="str">
        <x:v>V026已审计｜已建档</x:v>
      </x:c>
    </x:row>
    <x:row r="1867" ht="52" hidden="0" customHeight="1">
      <x:c r="A1867" s="1704" t="str">
        <x:v>SHJ-18-012-5</x:v>
      </x:c>
      <x:c r="B1867" s="1704" t="str">
        <x:v>卷十八 《海內經》</x:v>
      </x:c>
      <x:c r="C1867" s="1704"/>
      <x:c r="D1867" s="1704" t="str">
        <x:v>孟盈之丘</x:v>
      </x:c>
      <x:c r="E1867" s="1704" t="str">
        <x:v>山／丘</x:v>
      </x:c>
      <x:c r="F1867" s="1704" t="e">
        <x:f>HYPERLINK("#'都广核心区总表'!B15","→ 查看条目")</x:f>
        <x:v>HYPERLINK is not implemented. linkLocation=#'都广核心区总表'!B15, friendlyName=→ 查看条目</x:v>
      </x:c>
      <x:c r="G1867" s="1704" t="str">
        <x:v>标点与分段参考《山海经校注》；正文对读：https://ctext.org/shan-hai-jing/hai-nei-jing/zh</x:v>
      </x:c>
      <x:c r="H1867" s="1704" t="e">
        <x:f>HYPERLINK("#'山海经原文总库'!A3","↩ 返回目录")</x:f>
        <x:v>HYPERLINK is not implemented. linkLocation=#'山海经原文总库'!A3, friendlyName=↩ 返回目录</x:v>
      </x:c>
      <x:c r="I1867" s="1704" t="str">
        <x:v>是</x:v>
      </x:c>
      <x:c r="J1867" s="1704" t="str">
        <x:v>总表第15行｜X=+100里，Y=+100里（+1，+1格）｜布局锁定，可随新证据整体重排</x:v>
      </x:c>
      <x:c r="K1867" s="1704" t="str">
        <x:v>V026已审计｜已建档</x:v>
      </x:c>
    </x:row>
    <x:row r="1868" ht="52" hidden="0" customHeight="1">
      <x:c r="A1868" s="1704" t="str">
        <x:v>SHJ-18-012-6</x:v>
      </x:c>
      <x:c r="B1868" s="1704" t="str">
        <x:v>卷十八 《海內經》</x:v>
      </x:c>
      <x:c r="C1868" s="1704"/>
      <x:c r="D1868" s="1704" t="str">
        <x:v>昆吾之丘</x:v>
      </x:c>
      <x:c r="E1868" s="1704" t="str">
        <x:v>山／丘</x:v>
      </x:c>
      <x:c r="F1868" s="1704" t="e">
        <x:f>HYPERLINK("#'都广核心区总表'!B16","→ 查看条目")</x:f>
        <x:v>HYPERLINK is not implemented. linkLocation=#'都广核心区总表'!B16, friendlyName=→ 查看条目</x:v>
      </x:c>
      <x:c r="G1868" s="1704" t="str">
        <x:v>标点与分段参考《山海经校注》；正文对读：https://ctext.org/shan-hai-jing/hai-nei-jing/zh</x:v>
      </x:c>
      <x:c r="H1868" s="1704" t="e">
        <x:f>HYPERLINK("#'山海经原文总库'!A3","↩ 返回目录")</x:f>
        <x:v>HYPERLINK is not implemented. linkLocation=#'山海经原文总库'!A3, friendlyName=↩ 返回目录</x:v>
      </x:c>
      <x:c r="I1868" s="1704" t="str">
        <x:v>是</x:v>
      </x:c>
      <x:c r="J1868" s="1704" t="str">
        <x:v>总表第16行｜X=-100里，Y=0里（-1，0格）｜布局锁定，可随新证据整体重排</x:v>
      </x:c>
      <x:c r="K1868" s="1704" t="str">
        <x:v>V026已审计｜已建档</x:v>
      </x:c>
    </x:row>
    <x:row r="1869" ht="52" hidden="0" customHeight="1">
      <x:c r="A1869" s="1704" t="str">
        <x:v>SHJ-18-012-7</x:v>
      </x:c>
      <x:c r="B1869" s="1704" t="str">
        <x:v>卷十八 《海內經》</x:v>
      </x:c>
      <x:c r="C1869" s="1704"/>
      <x:c r="D1869" s="1704" t="str">
        <x:v>黑白之丘</x:v>
      </x:c>
      <x:c r="E1869" s="1704" t="str">
        <x:v>山／丘</x:v>
      </x:c>
      <x:c r="F1869" s="1704" t="e">
        <x:f>HYPERLINK("#'都广核心区总表'!B17","→ 查看条目")</x:f>
        <x:v>HYPERLINK is not implemented. linkLocation=#'都广核心区总表'!B17, friendlyName=→ 查看条目</x:v>
      </x:c>
      <x:c r="G1869" s="1704" t="str">
        <x:v>标点与分段参考《山海经校注》；正文对读：https://ctext.org/shan-hai-jing/hai-nei-jing/zh</x:v>
      </x:c>
      <x:c r="H1869" s="1704" t="e">
        <x:f>HYPERLINK("#'山海经原文总库'!A3","↩ 返回目录")</x:f>
        <x:v>HYPERLINK is not implemented. linkLocation=#'山海经原文总库'!A3, friendlyName=↩ 返回目录</x:v>
      </x:c>
      <x:c r="I1869" s="1704" t="str">
        <x:v>是</x:v>
      </x:c>
      <x:c r="J1869" s="1704" t="str">
        <x:v>总表第17行｜X=0里，Y=0里（0，0格）｜布局锁定，可随新证据整体重排</x:v>
      </x:c>
      <x:c r="K1869" s="1704" t="str">
        <x:v>V026已审计｜已建档</x:v>
      </x:c>
    </x:row>
    <x:row r="1870" ht="52" hidden="0" customHeight="1">
      <x:c r="A1870" s="1704" t="str">
        <x:v>SHJ-18-012-8</x:v>
      </x:c>
      <x:c r="B1870" s="1704" t="str">
        <x:v>卷十八 《海內經》</x:v>
      </x:c>
      <x:c r="C1870" s="1704"/>
      <x:c r="D1870" s="1704" t="str">
        <x:v>赤望之丘</x:v>
      </x:c>
      <x:c r="E1870" s="1704" t="str">
        <x:v>山／丘</x:v>
      </x:c>
      <x:c r="F1870" s="1704" t="e">
        <x:f>HYPERLINK("#'都广核心区总表'!B18","→ 查看条目")</x:f>
        <x:v>HYPERLINK is not implemented. linkLocation=#'都广核心区总表'!B18, friendlyName=→ 查看条目</x:v>
      </x:c>
      <x:c r="G1870" s="1704" t="str">
        <x:v>标点与分段参考《山海经校注》；正文对读：https://ctext.org/shan-hai-jing/hai-nei-jing/zh</x:v>
      </x:c>
      <x:c r="H1870" s="1704" t="e">
        <x:f>HYPERLINK("#'山海经原文总库'!A3","↩ 返回目录")</x:f>
        <x:v>HYPERLINK is not implemented. linkLocation=#'山海经原文总库'!A3, friendlyName=↩ 返回目录</x:v>
      </x:c>
      <x:c r="I1870" s="1704" t="str">
        <x:v>是</x:v>
      </x:c>
      <x:c r="J1870" s="1704" t="str">
        <x:v>总表第18行｜X=+100里，Y=0里（+1，0格）｜布局锁定，可随新证据整体重排</x:v>
      </x:c>
      <x:c r="K1870" s="1704" t="str">
        <x:v>V026已审计｜已建档</x:v>
      </x:c>
    </x:row>
    <x:row r="1871" ht="52" hidden="0" customHeight="1">
      <x:c r="A1871" s="1704" t="str">
        <x:v>SHJ-18-012-9</x:v>
      </x:c>
      <x:c r="B1871" s="1704" t="str">
        <x:v>卷十八 《海內經》</x:v>
      </x:c>
      <x:c r="C1871" s="1704"/>
      <x:c r="D1871" s="1704" t="str">
        <x:v>參衛之丘</x:v>
      </x:c>
      <x:c r="E1871" s="1704" t="str">
        <x:v>山／丘</x:v>
      </x:c>
      <x:c r="F1871" s="1704" t="e">
        <x:f>HYPERLINK("#'都广核心区总表'!B19","→ 查看条目")</x:f>
        <x:v>HYPERLINK is not implemented. linkLocation=#'都广核心区总表'!B19, friendlyName=→ 查看条目</x:v>
      </x:c>
      <x:c r="G1871" s="1704" t="str">
        <x:v>标点与分段参考《山海经校注》；正文对读：https://ctext.org/shan-hai-jing/hai-nei-jing/zh</x:v>
      </x:c>
      <x:c r="H1871" s="1704" t="e">
        <x:f>HYPERLINK("#'山海经原文总库'!A3","↩ 返回目录")</x:f>
        <x:v>HYPERLINK is not implemented. linkLocation=#'山海经原文总库'!A3, friendlyName=↩ 返回目录</x:v>
      </x:c>
      <x:c r="I1871" s="1704" t="str">
        <x:v>是</x:v>
      </x:c>
      <x:c r="J1871" s="1704" t="str">
        <x:v>总表第19行｜X=-100里，Y=-100里（-1，-1格）｜布局锁定，可随新证据整体重排</x:v>
      </x:c>
      <x:c r="K1871" s="1704" t="str">
        <x:v>V026已审计｜已建档</x:v>
      </x:c>
    </x:row>
    <x:row r="1872" ht="52" hidden="0" customHeight="1">
      <x:c r="A1872" s="1704" t="str">
        <x:v>SHJ-18-012-10</x:v>
      </x:c>
      <x:c r="B1872" s="1704" t="str">
        <x:v>卷十八 《海內經》</x:v>
      </x:c>
      <x:c r="C1872" s="1704"/>
      <x:c r="D1872" s="1704" t="str">
        <x:v>武夫之丘</x:v>
      </x:c>
      <x:c r="E1872" s="1704" t="str">
        <x:v>山／丘</x:v>
      </x:c>
      <x:c r="F1872" s="1704" t="e">
        <x:f>HYPERLINK("#'都广核心区总表'!B20","→ 查看条目")</x:f>
        <x:v>HYPERLINK is not implemented. linkLocation=#'都广核心区总表'!B20, friendlyName=→ 查看条目</x:v>
      </x:c>
      <x:c r="G1872" s="1704" t="str">
        <x:v>标点与分段参考《山海经校注》；正文对读：https://ctext.org/shan-hai-jing/hai-nei-jing/zh</x:v>
      </x:c>
      <x:c r="H1872" s="1704" t="e">
        <x:f>HYPERLINK("#'山海经原文总库'!A3","↩ 返回目录")</x:f>
        <x:v>HYPERLINK is not implemented. linkLocation=#'山海经原文总库'!A3, friendlyName=↩ 返回目录</x:v>
      </x:c>
      <x:c r="I1872" s="1704" t="str">
        <x:v>是</x:v>
      </x:c>
      <x:c r="J1872" s="1704" t="str">
        <x:v>总表第20行｜X=0里，Y=-100里（0，-1格）｜布局锁定，可随新证据整体重排</x:v>
      </x:c>
      <x:c r="K1872" s="1704" t="str">
        <x:v>V026已审计｜已建档</x:v>
      </x:c>
    </x:row>
    <x:row r="1873" ht="52" hidden="0" customHeight="1">
      <x:c r="A1873" s="1704" t="str">
        <x:v>SHJ-18-012-11</x:v>
      </x:c>
      <x:c r="B1873" s="1704" t="str">
        <x:v>卷十八 《海內經》</x:v>
      </x:c>
      <x:c r="C1873" s="1704"/>
      <x:c r="D1873" s="1704" t="str">
        <x:v>神民之丘</x:v>
      </x:c>
      <x:c r="E1873" s="1704" t="str">
        <x:v>山／丘</x:v>
      </x:c>
      <x:c r="F1873" s="1704" t="e">
        <x:f>HYPERLINK("#'都广核心区总表'!B21","→ 查看条目")</x:f>
        <x:v>HYPERLINK is not implemented. linkLocation=#'都广核心区总表'!B21, friendlyName=→ 查看条目</x:v>
      </x:c>
      <x:c r="G1873" s="1704" t="str">
        <x:v>标点与分段参考《山海经校注》；正文对读：https://ctext.org/shan-hai-jing/hai-nei-jing/zh</x:v>
      </x:c>
      <x:c r="H1873" s="1704" t="e">
        <x:f>HYPERLINK("#'山海经原文总库'!A3","↩ 返回目录")</x:f>
        <x:v>HYPERLINK is not implemented. linkLocation=#'山海经原文总库'!A3, friendlyName=↩ 返回目录</x:v>
      </x:c>
      <x:c r="I1873" s="1704" t="str">
        <x:v>是</x:v>
      </x:c>
      <x:c r="J1873" s="1704" t="str">
        <x:v>总表第21行｜X=+100里，Y=-100里（+1，-1格）｜布局锁定，可随新证据整体重排</x:v>
      </x:c>
      <x:c r="K1873" s="1704" t="str">
        <x:v>V026已审计｜已建档</x:v>
      </x:c>
    </x:row>
    <x:row r="1874" ht="52" hidden="0" customHeight="1">
      <x:c r="A1874" s="1704" t="str">
        <x:v>SHJ-18-012-12</x:v>
      </x:c>
      <x:c r="B1874" s="1704" t="str">
        <x:v>卷十八 《海內經》</x:v>
      </x:c>
      <x:c r="C1874" s="1704"/>
      <x:c r="D1874" s="1704" t="str">
        <x:v>建木</x:v>
      </x:c>
      <x:c r="E1874" s="1704" t="str">
        <x:v>神木／地標</x:v>
      </x:c>
      <x:c r="F1874" s="1704" t="e">
        <x:f>HYPERLINK("#'都广核心区总表'!B10","→ 查看条目")</x:f>
        <x:v>HYPERLINK is not implemented. linkLocation=#'都广核心区总表'!B10, friendlyName=→ 查看条目</x:v>
      </x:c>
      <x:c r="G1874" s="1704" t="str">
        <x:v>标点与分段参考《山海经校注》；正文对读：https://ctext.org/shan-hai-jing/hai-nei-jing/zh</x:v>
      </x:c>
      <x:c r="H1874" s="1704" t="e">
        <x:f>HYPERLINK("#'山海经原文总库'!A3","↩ 返回目录")</x:f>
        <x:v>HYPERLINK is not implemented. linkLocation=#'山海经原文总库'!A3, friendlyName=↩ 返回目录</x:v>
      </x:c>
      <x:c r="I1874" s="1704" t="str">
        <x:v>是</x:v>
      </x:c>
      <x:c r="J1874" s="1704" t="str">
        <x:v>总表第10行｜X=0里，Y=0里（0，0格）｜核心关系锁定</x:v>
      </x:c>
      <x:c r="K1874" s="1704" t="str">
        <x:v>V026已审计｜已建档</x:v>
      </x:c>
    </x:row>
    <x:row r="1875" ht="52" hidden="0" customHeight="1">
      <x:c r="A1875" s="1704" t="str">
        <x:v>SHJ-18-013-1</x:v>
      </x:c>
      <x:c r="B1875" s="1704" t="str">
        <x:v>卷十八 《海內經》</x:v>
      </x:c>
      <x:c r="C1875" s="1704" t="str">
        <x:v>有窫窳，龍首，是食人。有青獸，人面，名曰猩猩。</x:v>
      </x:c>
      <x:c r="D1875" s="1704" t="str">
        <x:v>窫窳</x:v>
      </x:c>
      <x:c r="E1875" s="1704" t="str">
        <x:v>地理名稱</x:v>
      </x:c>
      <x:c r="F1875" s="1704" t="e">
        <x:f>HYPERLINK("#'都广核心区总表'!B27","→ 查看条目")</x:f>
        <x:v>HYPERLINK is not implemented. linkLocation=#'都广核心区总表'!B27, friendlyName=→ 查看条目</x:v>
      </x:c>
      <x:c r="G1875" s="1704" t="str">
        <x:v>标点与分段参考《山海经校注》；正文对读：https://ctext.org/shan-hai-jing/hai-nei-jing/zh</x:v>
      </x:c>
      <x:c r="H1875" s="1704" t="e">
        <x:f>HYPERLINK("#'山海经原文总库'!A3","↩ 返回目录")</x:f>
        <x:v>HYPERLINK is not implemented. linkLocation=#'山海经原文总库'!A3, friendlyName=↩ 返回目录</x:v>
      </x:c>
      <x:c r="I1875" s="1704" t="str">
        <x:v>是</x:v>
      </x:c>
      <x:c r="J1875" s="1704" t="str">
        <x:v>总表第27行｜X=+100里，Y=0里（+1，0格）｜方向锁定；距离推定</x:v>
      </x:c>
      <x:c r="K1875" s="1704" t="str">
        <x:v>V026已审计｜已建档</x:v>
      </x:c>
    </x:row>
    <x:row r="1876" ht="52" hidden="0" customHeight="1">
      <x:c r="A1876" s="1704" t="str">
        <x:v>SHJ-18-013-2</x:v>
      </x:c>
      <x:c r="B1876" s="1704" t="str">
        <x:v>卷十八 《海內經》</x:v>
      </x:c>
      <x:c r="C1876" s="1704"/>
      <x:c r="D1876" s="1704" t="str">
        <x:v>猩猩</x:v>
      </x:c>
      <x:c r="E1876" s="1704" t="str">
        <x:v>地理名稱</x:v>
      </x:c>
      <x:c r="F1876" s="1704" t="e">
        <x:f>HYPERLINK("#'都广核心区总表'!B29","→ 查看条目")</x:f>
        <x:v>HYPERLINK is not implemented. linkLocation=#'都广核心区总表'!B29, friendlyName=→ 查看条目</x:v>
      </x:c>
      <x:c r="G1876" s="1704" t="str">
        <x:v>标点与分段参考《山海经校注》；正文对读：https://ctext.org/shan-hai-jing/hai-nei-jing/zh</x:v>
      </x:c>
      <x:c r="H1876" s="1704" t="e">
        <x:f>HYPERLINK("#'山海经原文总库'!A3","↩ 返回目录")</x:f>
        <x:v>HYPERLINK is not implemented. linkLocation=#'山海经原文总库'!A3, friendlyName=↩ 返回目录</x:v>
      </x:c>
      <x:c r="I1876" s="1704" t="str">
        <x:v>是</x:v>
      </x:c>
      <x:c r="J1876" s="1704" t="str">
        <x:v>总表第29行｜X=+200里，Y=0里（+2，0格）｜方向锁定；距离推定</x:v>
      </x:c>
      <x:c r="K1876" s="1704" t="str">
        <x:v>V026已审计｜已建档</x:v>
      </x:c>
    </x:row>
    <x:row r="1877" ht="52" hidden="0" customHeight="1">
      <x:c r="A1877" s="1704" t="str">
        <x:v>SHJ-18-014-1</x:v>
      </x:c>
      <x:c r="B1877" s="1704" t="str">
        <x:v>卷十八 《海內經》</x:v>
      </x:c>
      <x:c r="C1877" s="1704" t="str">
        <x:v>西南有巴國。大皞生咸鳥，咸鳥生乘釐，乘釐生後照，後照是始爲巴人。</x:v>
      </x:c>
      <x:c r="D1877" s="1704" t="str">
        <x:v>巴國</x:v>
      </x:c>
      <x:c r="E1877" s="1704" t="str">
        <x:v>國家／族群</x:v>
      </x:c>
      <x:c r="F1877" s="1704" t="e">
        <x:f>HYPERLINK("#'都广核心区总表'!B166","→ 查看条目")</x:f>
        <x:v>HYPERLINK is not implemented. linkLocation=#'都广核心区总表'!B166, friendlyName=→ 查看条目</x:v>
      </x:c>
      <x:c r="G1877" s="1704" t="str">
        <x:v>标点与分段参考《山海经校注》；正文对读：https://ctext.org/shan-hai-jing/hai-nei-jing/zh</x:v>
      </x:c>
      <x:c r="H1877" s="1704" t="e">
        <x:f>HYPERLINK("#'山海经原文总库'!A3","↩ 返回目录")</x:f>
        <x:v>HYPERLINK is not implemented. linkLocation=#'山海经原文总库'!A3, friendlyName=↩ 返回目录</x:v>
      </x:c>
      <x:c r="I1877" s="1704" t="str">
        <x:v>是（拓扑／接口）</x:v>
      </x:c>
      <x:c r="J1877" s="1704" t="str">
        <x:v>总表R166｜巴国；西南关系锁定，距离未锁</x:v>
      </x:c>
      <x:c r="K1877" s="1704" t="str">
        <x:v>V030闭合｜已建档</x:v>
      </x:c>
    </x:row>
    <x:row r="1878" ht="52" hidden="0" customHeight="1">
      <x:c r="A1878" s="1704" t="str">
        <x:v>SHJ-18-015-1</x:v>
      </x:c>
      <x:c r="B1878" s="1704" t="str">
        <x:v>卷十八 《海內經》</x:v>
      </x:c>
      <x:c r="C1878" s="1704" t="str">
        <x:v>有國名曰流黃辛氏，其域中方三百里，其出是塵土。有巴遂山，澠水出焉。</x:v>
      </x:c>
      <x:c r="D1878" s="1704" t="str">
        <x:v>流黃辛氏國</x:v>
      </x:c>
      <x:c r="E1878" s="1704" t="str">
        <x:v>國家／族群</x:v>
      </x:c>
      <x:c r="F1878" s="1704" t="e">
        <x:f>HYPERLINK("#'都广核心区总表'!B24","→ 查看条目")</x:f>
        <x:v>HYPERLINK is not implemented. linkLocation=#'都广核心区总表'!B24, friendlyName=→ 查看条目</x:v>
      </x:c>
      <x:c r="G1878" s="1704" t="str">
        <x:v>标点与分段参考《山海经校注》；正文对读：https://ctext.org/shan-hai-jing/hai-nei-jing/zh</x:v>
      </x:c>
      <x:c r="H1878" s="1704" t="e">
        <x:f>HYPERLINK("#'山海经原文总库'!A3","↩ 返回目录")</x:f>
        <x:v>HYPERLINK is not implemented. linkLocation=#'山海经原文总库'!A3, friendlyName=↩ 返回目录</x:v>
      </x:c>
      <x:c r="I1878" s="1704" t="str">
        <x:v>是</x:v>
      </x:c>
      <x:c r="J1878" s="1704" t="str">
        <x:v>总表第24行｜X=-400里，Y=0里（-4，0格）｜方向锁定；中心距离推定</x:v>
      </x:c>
      <x:c r="K1878" s="1704" t="str">
        <x:v>V026已审计｜已建档</x:v>
      </x:c>
    </x:row>
    <x:row r="1879" ht="52" hidden="0" customHeight="1">
      <x:c r="A1879" s="1704" t="str">
        <x:v>SHJ-18-015-2</x:v>
      </x:c>
      <x:c r="B1879" s="1704" t="str">
        <x:v>卷十八 《海內經》</x:v>
      </x:c>
      <x:c r="C1879" s="1704"/>
      <x:c r="D1879" s="1704" t="str">
        <x:v>巴遂山</x:v>
      </x:c>
      <x:c r="E1879" s="1704" t="str">
        <x:v>山／丘</x:v>
      </x:c>
      <x:c r="F1879" s="1704" t="e">
        <x:f>HYPERLINK("#'都广核心区总表'!B25","→ 查看条目")</x:f>
        <x:v>HYPERLINK is not implemented. linkLocation=#'都广核心区总表'!B25, friendlyName=→ 查看条目</x:v>
      </x:c>
      <x:c r="G1879" s="1704" t="str">
        <x:v>标点与分段参考《山海经校注》；正文对读：https://ctext.org/shan-hai-jing/hai-nei-jing/zh</x:v>
      </x:c>
      <x:c r="H1879" s="1704" t="e">
        <x:f>HYPERLINK("#'山海经原文总库'!A3","↩ 返回目录")</x:f>
        <x:v>HYPERLINK is not implemented. linkLocation=#'山海经原文总库'!A3, friendlyName=↩ 返回目录</x:v>
      </x:c>
      <x:c r="I1879" s="1704" t="str">
        <x:v>是</x:v>
      </x:c>
      <x:c r="J1879" s="1704" t="str">
        <x:v>总表第25行｜X=-400里，Y=0里（-4，0格）｜国域内部关系锁定</x:v>
      </x:c>
      <x:c r="K1879" s="1704" t="str">
        <x:v>V026已审计｜已建档</x:v>
      </x:c>
    </x:row>
    <x:row r="1880" ht="52" hidden="0" customHeight="1">
      <x:c r="A1880" s="1704" t="str">
        <x:v>SHJ-18-015-3</x:v>
      </x:c>
      <x:c r="B1880" s="1704" t="str">
        <x:v>卷十八 《海內經》</x:v>
      </x:c>
      <x:c r="C1880" s="1704"/>
      <x:c r="D1880" s="1704" t="str">
        <x:v>澠水</x:v>
      </x:c>
      <x:c r="E1880" s="1704" t="str">
        <x:v>水系／水域</x:v>
      </x:c>
      <x:c r="F1880" s="1704" t="e">
        <x:f>HYPERLINK("#'都广核心区总表'!B26","→ 查看条目")</x:f>
        <x:v>HYPERLINK is not implemented. linkLocation=#'都广核心区总表'!B26, friendlyName=→ 查看条目</x:v>
      </x:c>
      <x:c r="G1880" s="1704" t="str">
        <x:v>标点与分段参考《山海经校注》；正文对读：https://ctext.org/shan-hai-jing/hai-nei-jing/zh</x:v>
      </x:c>
      <x:c r="H1880" s="1704" t="e">
        <x:f>HYPERLINK("#'山海经原文总库'!A3","↩ 返回目录")</x:f>
        <x:v>HYPERLINK is not implemented. linkLocation=#'山海经原文总库'!A3, friendlyName=↩ 返回目录</x:v>
      </x:c>
      <x:c r="I1880" s="1704" t="str">
        <x:v>是</x:v>
      </x:c>
      <x:c r="J1880" s="1704" t="str">
        <x:v>总表第26行｜X=-400里，Y=0里（-4，0格）｜源点锁定；河道待接续</x:v>
      </x:c>
      <x:c r="K1880" s="1704" t="str">
        <x:v>V026已审计｜已建档</x:v>
      </x:c>
    </x:row>
    <x:row r="1881" ht="52" hidden="0" customHeight="1">
      <x:c r="A1881" s="1704" t="str">
        <x:v>SHJ-18-016-1</x:v>
      </x:c>
      <x:c r="B1881" s="1704" t="str">
        <x:v>卷十八 《海內經》</x:v>
      </x:c>
      <x:c r="C1881" s="1704" t="str">
        <x:v>又有硃卷之國。有黑蛇，青首，食象。</x:v>
      </x:c>
      <x:c r="D1881" s="1704" t="str">
        <x:v>朱卷国</x:v>
      </x:c>
      <x:c r="E1881" s="1704" t="str">
        <x:v>国家／族群</x:v>
      </x:c>
      <x:c r="F1881" s="1704" t="e">
        <x:f>HYPERLINK("#'都广核心区总表'!B167","→ 查看条目")</x:f>
        <x:v>HYPERLINK is not implemented. linkLocation=#'都广核心区总表'!B167, friendlyName=→ 查看条目</x:v>
      </x:c>
      <x:c r="G1881" s="1704" t="str">
        <x:v>标点与分段参考《山海经校注》；正文对读：https://ctext.org/shan-hai-jing/hai-nei-jing/zh</x:v>
      </x:c>
      <x:c r="H1881" s="1704" t="e">
        <x:f>HYPERLINK("#'山海经原文总库'!A3","↩ 返回目录")</x:f>
        <x:v>HYPERLINK is not implemented. linkLocation=#'山海经原文总库'!A3, friendlyName=↩ 返回目录</x:v>
      </x:c>
      <x:c r="I1881" s="1704" t="str">
        <x:v>是（拓扑／接口）</x:v>
      </x:c>
      <x:c r="J1881" s="1704" t="str">
        <x:v>总表R167｜朱卷国</x:v>
      </x:c>
      <x:c r="K1881" s="1704" t="str">
        <x:v>V030闭合｜已建档</x:v>
      </x:c>
    </x:row>
    <x:row r="1882" ht="52" hidden="0" customHeight="1">
      <x:c r="A1882" s="1704" t="str">
        <x:v>SHJ-18-016-2</x:v>
      </x:c>
      <x:c r="B1882" s="1704" t="str">
        <x:v>卷十八 《海內經》</x:v>
      </x:c>
      <x:c r="C1882" s="1704"/>
      <x:c r="D1882" s="1704" t="str">
        <x:v>黑蛇</x:v>
      </x:c>
      <x:c r="E1882" s="1704" t="str">
        <x:v>异蛇／食象者</x:v>
      </x:c>
      <x:c r="F1882" s="1704" t="e">
        <x:f>HYPERLINK("#'都广核心区总表'!B168","→ 查看条目")</x:f>
        <x:v>HYPERLINK is not implemented. linkLocation=#'都广核心区总表'!B168, friendlyName=→ 查看条目</x:v>
      </x:c>
      <x:c r="G1882" s="1704" t="str">
        <x:v>标点与分段参考《山海经校注》；正文对读：https://ctext.org/shan-hai-jing/hai-nei-jing/zh</x:v>
      </x:c>
      <x:c r="H1882" s="1704" t="e">
        <x:f>HYPERLINK("#'山海经原文总库'!A3","↩ 返回目录")</x:f>
        <x:v>HYPERLINK is not implemented. linkLocation=#'山海经原文总库'!A3, friendlyName=↩ 返回目录</x:v>
      </x:c>
      <x:c r="I1882" s="1704" t="str">
        <x:v>是（拓扑／接口）</x:v>
      </x:c>
      <x:c r="J1882" s="1704" t="str">
        <x:v>总表R168｜黑蛇（朱卷国层）</x:v>
      </x:c>
      <x:c r="K1882" s="1704" t="str">
        <x:v>V031漏拆修复｜已建档</x:v>
      </x:c>
    </x:row>
    <x:row r="1883" ht="52" hidden="0" customHeight="1">
      <x:c r="A1883" s="1704" t="str">
        <x:v>SHJ-18-017-1</x:v>
      </x:c>
      <x:c r="B1883" s="1704" t="str">
        <x:v>卷十八 《海內經》</x:v>
      </x:c>
      <x:c r="C1883" s="1704" t="str">
        <x:v>南方有贛巨人，人面長臂，黑身有毛，反踵，見人笑亦笑，脣蔽其面，因即逃也。</x:v>
      </x:c>
      <x:c r="D1883" s="1704" t="str">
        <x:v>南方</x:v>
      </x:c>
      <x:c r="E1883" s="1704" t="str">
        <x:v>区域</x:v>
      </x:c>
      <x:c r="F1883" s="1704" t="e">
        <x:f>HYPERLINK("#'都广核心区总表'!B169","→ 查看条目")</x:f>
        <x:v>HYPERLINK is not implemented. linkLocation=#'都广核心区总表'!B169, friendlyName=→ 查看条目</x:v>
      </x:c>
      <x:c r="G1883" s="1704" t="str">
        <x:v>标点与分段参考《山海经校注》；正文对读：https://ctext.org/shan-hai-jing/hai-nei-jing/zh</x:v>
      </x:c>
      <x:c r="H1883" s="1704" t="e">
        <x:f>HYPERLINK("#'山海经原文总库'!A3","↩ 返回目录")</x:f>
        <x:v>HYPERLINK is not implemented. linkLocation=#'山海经原文总库'!A3, friendlyName=↩ 返回目录</x:v>
      </x:c>
      <x:c r="I1883" s="1704" t="str">
        <x:v>是（拓扑／接口）</x:v>
      </x:c>
      <x:c r="J1883" s="1704" t="str">
        <x:v>总表R169｜南方区域层</x:v>
      </x:c>
      <x:c r="K1883" s="1704" t="str">
        <x:v>V030闭合｜已建档</x:v>
      </x:c>
    </x:row>
    <x:row r="1884" ht="52" hidden="0" customHeight="1">
      <x:c r="A1884" s="1704" t="str">
        <x:v>SHJ-18-017-2</x:v>
      </x:c>
      <x:c r="B1884" s="1704" t="str">
        <x:v>卷十八 《海內經》</x:v>
      </x:c>
      <x:c r="C1884" s="1704"/>
      <x:c r="D1884" s="1704" t="str">
        <x:v>赣巨人</x:v>
      </x:c>
      <x:c r="E1884" s="1704" t="str">
        <x:v>巨人／异民</x:v>
      </x:c>
      <x:c r="F1884" s="1704" t="e">
        <x:f>HYPERLINK("#'都广核心区总表'!B170","→ 查看条目")</x:f>
        <x:v>HYPERLINK is not implemented. linkLocation=#'都广核心区总表'!B170, friendlyName=→ 查看条目</x:v>
      </x:c>
      <x:c r="G1884" s="1704" t="str">
        <x:v>标点与分段参考《山海经校注》；正文对读：https://ctext.org/shan-hai-jing/hai-nei-jing/zh</x:v>
      </x:c>
      <x:c r="H1884" s="1704" t="e">
        <x:f>HYPERLINK("#'山海经原文总库'!A3","↩ 返回目录")</x:f>
        <x:v>HYPERLINK is not implemented. linkLocation=#'山海经原文总库'!A3, friendlyName=↩ 返回目录</x:v>
      </x:c>
      <x:c r="I1884" s="1704" t="str">
        <x:v>是（拓扑／接口）</x:v>
      </x:c>
      <x:c r="J1884" s="1704" t="str">
        <x:v>总表R170｜赣巨人</x:v>
      </x:c>
      <x:c r="K1884" s="1704" t="str">
        <x:v>V031漏拆修复｜已建档</x:v>
      </x:c>
    </x:row>
    <x:row r="1885" ht="52" hidden="0" customHeight="1">
      <x:c r="A1885" s="1704" t="str">
        <x:v>SHJ-18-018-1</x:v>
      </x:c>
      <x:c r="B1885" s="1704" t="str">
        <x:v>卷十八 《海內經》</x:v>
      </x:c>
      <x:c r="C1885" s="1704" t="str">
        <x:v>又有黑人，虎首鳥足，兩手持蛇，方啖之。</x:v>
      </x:c>
      <x:c r="D1885" s="1704" t="str">
        <x:v>黑人</x:v>
      </x:c>
      <x:c r="E1885" s="1704" t="str">
        <x:v>异民／族群</x:v>
      </x:c>
      <x:c r="F1885" s="1704" t="e">
        <x:f>HYPERLINK("#'都广核心区总表'!B172","→ 查看条目")</x:f>
        <x:v>HYPERLINK is not implemented. linkLocation=#'都广核心区总表'!B172, friendlyName=→ 查看条目</x:v>
      </x:c>
      <x:c r="G1885" s="1704" t="str">
        <x:v>标点与分段参考《山海经校注》；正文对读：https://ctext.org/shan-hai-jing/hai-nei-jing/zh</x:v>
      </x:c>
      <x:c r="H1885" s="1704" t="e">
        <x:f>HYPERLINK("#'山海经原文总库'!A3","↩ 返回目录")</x:f>
        <x:v>HYPERLINK is not implemented. linkLocation=#'山海经原文总库'!A3, friendlyName=↩ 返回目录</x:v>
      </x:c>
      <x:c r="I1885" s="1704" t="str">
        <x:v>是（拓扑／接口）</x:v>
      </x:c>
      <x:c r="J1885" s="1704" t="str">
        <x:v>总表R172｜黑人（虎首鸟足层）</x:v>
      </x:c>
      <x:c r="K1885" s="1704" t="str">
        <x:v>V031原文分段修复｜已建档</x:v>
      </x:c>
    </x:row>
    <x:row r="1886" ht="52" hidden="0" customHeight="1">
      <x:c r="A1886" s="1704" t="str">
        <x:v>SHJ-18-019-1</x:v>
      </x:c>
      <x:c r="B1886" s="1704" t="str">
        <x:v>卷十八 《海內經》</x:v>
      </x:c>
      <x:c r="C1886" s="1704" t="str">
        <x:v>有嬴民，鳥足。有封豕。</x:v>
      </x:c>
      <x:c r="D1886" s="1704" t="str">
        <x:v>嬴民</x:v>
      </x:c>
      <x:c r="E1886" s="1704" t="str">
        <x:v>族群</x:v>
      </x:c>
      <x:c r="F1886" s="1704" t="e">
        <x:f>HYPERLINK("#'都广核心区总表'!B171","→ 查看条目")</x:f>
        <x:v>HYPERLINK is not implemented. linkLocation=#'都广核心区总表'!B171, friendlyName=→ 查看条目</x:v>
      </x:c>
      <x:c r="G1886" s="1704" t="str">
        <x:v>标点与分段参考《山海经校注》；正文对读：https://ctext.org/shan-hai-jing/hai-nei-jing/zh</x:v>
      </x:c>
      <x:c r="H1886" s="1704" t="e">
        <x:f>HYPERLINK("#'山海经原文总库'!A3","↩ 返回目录")</x:f>
        <x:v>HYPERLINK is not implemented. linkLocation=#'山海经原文总库'!A3, friendlyName=↩ 返回目录</x:v>
      </x:c>
      <x:c r="I1886" s="1704" t="str">
        <x:v>是（拓扑／接口）</x:v>
      </x:c>
      <x:c r="J1886" s="1704" t="str">
        <x:v>总表R171｜嬴民</x:v>
      </x:c>
      <x:c r="K1886" s="1704" t="str">
        <x:v>V031原文分段修复｜已建档</x:v>
      </x:c>
    </x:row>
    <x:row r="1887" ht="52" hidden="0" customHeight="1">
      <x:c r="A1887" s="1704" t="str">
        <x:v>SHJ-18-019-2</x:v>
      </x:c>
      <x:c r="B1887" s="1704" t="str">
        <x:v>卷十八 《海內經》</x:v>
      </x:c>
      <x:c r="C1887" s="1704"/>
      <x:c r="D1887" s="1704" t="str">
        <x:v>封豕</x:v>
      </x:c>
      <x:c r="E1887" s="1704" t="str">
        <x:v>异兽</x:v>
      </x:c>
      <x:c r="F1887" s="1704" t="e">
        <x:f>HYPERLINK("#'都广核心区总表'!B173","→ 查看条目")</x:f>
        <x:v>HYPERLINK is not implemented. linkLocation=#'都广核心区总表'!B173, friendlyName=→ 查看条目</x:v>
      </x:c>
      <x:c r="G1887" s="1704" t="str">
        <x:v>标点与分段参考《山海经校注》；正文对读：https://ctext.org/shan-hai-jing/hai-nei-jing/zh</x:v>
      </x:c>
      <x:c r="H1887" s="1704" t="e">
        <x:f>HYPERLINK("#'山海经原文总库'!A3","↩ 返回目录")</x:f>
        <x:v>HYPERLINK is not implemented. linkLocation=#'山海经原文总库'!A3, friendlyName=↩ 返回目录</x:v>
      </x:c>
      <x:c r="I1887" s="1704" t="str">
        <x:v>是（拓扑／接口）</x:v>
      </x:c>
      <x:c r="J1887" s="1704" t="str">
        <x:v>总表R173｜封豕</x:v>
      </x:c>
      <x:c r="K1887" s="1704" t="str">
        <x:v>V031漏拆修复｜已建档</x:v>
      </x:c>
    </x:row>
    <x:row r="1888" ht="52" hidden="0" customHeight="1">
      <x:c r="A1888" s="1704" t="str">
        <x:v>SHJ-18-020-1</x:v>
      </x:c>
      <x:c r="B1888" s="1704" t="str">
        <x:v>卷十八 《海內經》</x:v>
      </x:c>
      <x:c r="C1888" s="1704" t="str">
        <x:v>有人曰苗民。有神焉，人首蛇身，長如轅，左右有首，衣紫衣，冠旃冠，名曰延維，人主得而饗食之，伯天下。</x:v>
      </x:c>
      <x:c r="D1888" s="1704" t="str">
        <x:v>苗民</x:v>
      </x:c>
      <x:c r="E1888" s="1704" t="str">
        <x:v>族群</x:v>
      </x:c>
      <x:c r="F1888" s="1704" t="e">
        <x:f>HYPERLINK("#'都广核心区总表'!B174","→ 查看条目")</x:f>
        <x:v>HYPERLINK is not implemented. linkLocation=#'都广核心区总表'!B174, friendlyName=→ 查看条目</x:v>
      </x:c>
      <x:c r="G1888" s="1704" t="str">
        <x:v>标点与分段参考《山海经校注》；正文对读：https://ctext.org/shan-hai-jing/hai-nei-jing/zh</x:v>
      </x:c>
      <x:c r="H1888" s="1704" t="e">
        <x:f>HYPERLINK("#'山海经原文总库'!A3","↩ 返回目录")</x:f>
        <x:v>HYPERLINK is not implemented. linkLocation=#'山海经原文总库'!A3, friendlyName=↩ 返回目录</x:v>
      </x:c>
      <x:c r="I1888" s="1704" t="str">
        <x:v>是（拓扑／接口）</x:v>
      </x:c>
      <x:c r="J1888" s="1704" t="str">
        <x:v>总表R174｜苗民</x:v>
      </x:c>
      <x:c r="K1888" s="1704" t="str">
        <x:v>V030闭合｜已建档</x:v>
      </x:c>
    </x:row>
    <x:row r="1889" ht="52" hidden="0" customHeight="1">
      <x:c r="A1889" s="1704" t="str">
        <x:v>SHJ-18-020-2</x:v>
      </x:c>
      <x:c r="B1889" s="1704" t="str">
        <x:v>卷十八 《海內經》</x:v>
      </x:c>
      <x:c r="C1889" s="1704"/>
      <x:c r="D1889" s="1704" t="str">
        <x:v>延维</x:v>
      </x:c>
      <x:c r="E1889" s="1704" t="str">
        <x:v>神祇</x:v>
      </x:c>
      <x:c r="F1889" s="1704" t="e">
        <x:f>HYPERLINK("#'都广核心区总表'!B175","→ 查看条目")</x:f>
        <x:v>HYPERLINK is not implemented. linkLocation=#'都广核心区总表'!B175, friendlyName=→ 查看条目</x:v>
      </x:c>
      <x:c r="G1889" s="1704" t="str">
        <x:v>标点与分段参考《山海经校注》；正文对读：https://ctext.org/shan-hai-jing/hai-nei-jing/zh</x:v>
      </x:c>
      <x:c r="H1889" s="1704" t="e">
        <x:f>HYPERLINK("#'山海经原文总库'!A3","↩ 返回目录")</x:f>
        <x:v>HYPERLINK is not implemented. linkLocation=#'山海经原文总库'!A3, friendlyName=↩ 返回目录</x:v>
      </x:c>
      <x:c r="I1889" s="1704" t="str">
        <x:v>是（拓扑／接口）</x:v>
      </x:c>
      <x:c r="J1889" s="1704" t="str">
        <x:v>总表R175｜延维</x:v>
      </x:c>
      <x:c r="K1889" s="1704" t="str">
        <x:v>V031漏拆修复｜已建档</x:v>
      </x:c>
    </x:row>
    <x:row r="1890" ht="52" hidden="0" customHeight="1">
      <x:c r="A1890" s="1704" t="str">
        <x:v>SHJ-18-021-1</x:v>
      </x:c>
      <x:c r="B1890" s="1704" t="str">
        <x:v>卷十八 《海內經》</x:v>
      </x:c>
      <x:c r="C1890" s="1704" t="str">
        <x:v>有鸞鳥自歌，鳳鳥自舞。鳳鳥首文曰德，翼文曰順，膺文曰仁，背文曰義，見則天下和。</x:v>
      </x:c>
      <x:c r="D1890" s="1704"/>
      <x:c r="E1890" s="1704"/>
      <x:c r="F1890" s="1704"/>
      <x:c r="G1890" s="1704" t="str">
        <x:v>标点与分段参考《山海经校注》；正文对读：https://ctext.org/shan-hai-jing/hai-nei-jing/zh</x:v>
      </x:c>
      <x:c r="H1890" s="1704" t="e">
        <x:f>HYPERLINK("#'山海经原文总库'!A3","↩ 返回目录")</x:f>
        <x:v>HYPERLINK is not implemented. linkLocation=#'山海经原文总库'!A3, friendlyName=↩ 返回目录</x:v>
      </x:c>
      <x:c r="I1890" s="1704"/>
      <x:c r="J1890" s="1704" t="str">
        <x:v>V029鸾凤文明征兆事件层｜保留原文，不制造坐标</x:v>
      </x:c>
      <x:c r="K1890" s="1704" t="str">
        <x:v>V026已审计｜非地图对象</x:v>
      </x:c>
    </x:row>
    <x:row r="1891" ht="52" hidden="0" customHeight="1">
      <x:c r="A1891" s="1704" t="str">
        <x:v>SHJ-18-022-1</x:v>
      </x:c>
      <x:c r="B1891" s="1704" t="str">
        <x:v>卷十八 《海內經》</x:v>
      </x:c>
      <x:c r="C1891" s="1704" t="str">
        <x:v>又有青獸如菟，名曰（上山下囷）狗。有翠鳥。有孔鳥。</x:v>
      </x:c>
      <x:c r="D1891" s="1704"/>
      <x:c r="E1891" s="1704"/>
      <x:c r="F1891" s="1704"/>
      <x:c r="G1891" s="1704" t="str">
        <x:v>标点与分段参考《山海经校注》；正文对读：https://ctext.org/shan-hai-jing/hai-nei-jing/zh</x:v>
      </x:c>
      <x:c r="H1891" s="1704" t="e">
        <x:f>HYPERLINK("#'山海经原文总库'!A3","↩ 返回目录")</x:f>
        <x:v>HYPERLINK is not implemented. linkLocation=#'山海经原文总库'!A3, friendlyName=↩ 返回目录</x:v>
      </x:c>
      <x:c r="I1891" s="1704"/>
      <x:c r="J1891" s="1704" t="str">
        <x:v>V029异兽鸟类非地理层｜保留原文，不制造坐标</x:v>
      </x:c>
      <x:c r="K1891" s="1704" t="str">
        <x:v>V026已审计｜非地图对象</x:v>
      </x:c>
    </x:row>
    <x:row r="1892" ht="52" hidden="0" customHeight="1">
      <x:c r="A1892" s="1704" t="str">
        <x:v>SHJ-18-023-1</x:v>
      </x:c>
      <x:c r="B1892" s="1704" t="str">
        <x:v>卷十八 《海內經》</x:v>
      </x:c>
      <x:c r="C1892" s="1704" t="str">
        <x:v>南海之內有衡山。有菌山。有桂山。有山名三天子之都。</x:v>
      </x:c>
      <x:c r="D1892" s="1704" t="str">
        <x:v>衡山</x:v>
      </x:c>
      <x:c r="E1892" s="1704" t="str">
        <x:v>山／丘</x:v>
      </x:c>
      <x:c r="F1892" s="1704" t="e">
        <x:f>HYPERLINK("#'都广核心区总表'!B176","→ 查看条目")</x:f>
        <x:v>HYPERLINK is not implemented. linkLocation=#'都广核心区总表'!B176, friendlyName=→ 查看条目</x:v>
      </x:c>
      <x:c r="G1892" s="1704" t="str">
        <x:v>标点与分段参考《山海经校注》；正文对读：https://ctext.org/shan-hai-jing/hai-nei-jing/zh</x:v>
      </x:c>
      <x:c r="H1892" s="1704" t="e">
        <x:f>HYPERLINK("#'山海经原文总库'!A3","↩ 返回目录")</x:f>
        <x:v>HYPERLINK is not implemented. linkLocation=#'山海经原文总库'!A3, friendlyName=↩ 返回目录</x:v>
      </x:c>
      <x:c r="I1892" s="1704" t="str">
        <x:v>是（拓扑／接口）</x:v>
      </x:c>
      <x:c r="J1892" s="1704" t="str">
        <x:v>总表R176｜衡山（卷十八南海内层）</x:v>
      </x:c>
      <x:c r="K1892" s="1704" t="str">
        <x:v>V030闭合｜已建档</x:v>
      </x:c>
    </x:row>
    <x:row r="1893" ht="52" hidden="0" customHeight="1">
      <x:c r="A1893" s="1704" t="str">
        <x:v>SHJ-18-023-2</x:v>
      </x:c>
      <x:c r="B1893" s="1704" t="str">
        <x:v>卷十八 《海內經》</x:v>
      </x:c>
      <x:c r="C1893" s="1704"/>
      <x:c r="D1893" s="1704" t="str">
        <x:v>菌山</x:v>
      </x:c>
      <x:c r="E1893" s="1704" t="str">
        <x:v>山／丘</x:v>
      </x:c>
      <x:c r="F1893" s="1704" t="e">
        <x:f>HYPERLINK("#'都广核心区总表'!B177","→ 查看条目")</x:f>
        <x:v>HYPERLINK is not implemented. linkLocation=#'都广核心区总表'!B177, friendlyName=→ 查看条目</x:v>
      </x:c>
      <x:c r="G1893" s="1704" t="str">
        <x:v>标点与分段参考《山海经校注》；正文对读：https://ctext.org/shan-hai-jing/hai-nei-jing/zh</x:v>
      </x:c>
      <x:c r="H1893" s="1704" t="e">
        <x:f>HYPERLINK("#'山海经原文总库'!A3","↩ 返回目录")</x:f>
        <x:v>HYPERLINK is not implemented. linkLocation=#'山海经原文总库'!A3, friendlyName=↩ 返回目录</x:v>
      </x:c>
      <x:c r="I1893" s="1704" t="str">
        <x:v>是（拓扑／接口）</x:v>
      </x:c>
      <x:c r="J1893" s="1704" t="str">
        <x:v>总表R177｜菌山</x:v>
      </x:c>
      <x:c r="K1893" s="1704" t="str">
        <x:v>V030闭合｜已建档</x:v>
      </x:c>
    </x:row>
    <x:row r="1894" ht="52" hidden="0" customHeight="1">
      <x:c r="A1894" s="1704" t="str">
        <x:v>SHJ-18-023-3</x:v>
      </x:c>
      <x:c r="B1894" s="1704" t="str">
        <x:v>卷十八 《海內經》</x:v>
      </x:c>
      <x:c r="C1894" s="1704"/>
      <x:c r="D1894" s="1704" t="str">
        <x:v>桂山</x:v>
      </x:c>
      <x:c r="E1894" s="1704" t="str">
        <x:v>山／丘</x:v>
      </x:c>
      <x:c r="F1894" s="1704" t="e">
        <x:f>HYPERLINK("#'都广核心区总表'!B178","→ 查看条目")</x:f>
        <x:v>HYPERLINK is not implemented. linkLocation=#'都广核心区总表'!B178, friendlyName=→ 查看条目</x:v>
      </x:c>
      <x:c r="G1894" s="1704" t="str">
        <x:v>标点与分段参考《山海经校注》；正文对读：https://ctext.org/shan-hai-jing/hai-nei-jing/zh</x:v>
      </x:c>
      <x:c r="H1894" s="1704" t="e">
        <x:f>HYPERLINK("#'山海经原文总库'!A3","↩ 返回目录")</x:f>
        <x:v>HYPERLINK is not implemented. linkLocation=#'山海经原文总库'!A3, friendlyName=↩ 返回目录</x:v>
      </x:c>
      <x:c r="I1894" s="1704" t="str">
        <x:v>是（拓扑／接口）</x:v>
      </x:c>
      <x:c r="J1894" s="1704" t="str">
        <x:v>总表R178｜桂山（卷十八南海内层）</x:v>
      </x:c>
      <x:c r="K1894" s="1704" t="str">
        <x:v>V030闭合｜已建档</x:v>
      </x:c>
    </x:row>
    <x:row r="1895" ht="52" hidden="0" customHeight="1">
      <x:c r="A1895" s="1704" t="str">
        <x:v>SHJ-18-023-4</x:v>
      </x:c>
      <x:c r="B1895" s="1704" t="str">
        <x:v>卷十八 《海內經》</x:v>
      </x:c>
      <x:c r="C1895" s="1704"/>
      <x:c r="D1895" s="1704" t="str">
        <x:v>三天子之都</x:v>
      </x:c>
      <x:c r="E1895" s="1704" t="str">
        <x:v>城邑／區域</x:v>
      </x:c>
      <x:c r="F1895" s="1704" t="e">
        <x:f>HYPERLINK("#'都广核心区总表'!B179","→ 查看条目")</x:f>
        <x:v>HYPERLINK is not implemented. linkLocation=#'都广核心区总表'!B179, friendlyName=→ 查看条目</x:v>
      </x:c>
      <x:c r="G1895" s="1704" t="str">
        <x:v>标点与分段参考《山海经校注》；正文对读：https://ctext.org/shan-hai-jing/hai-nei-jing/zh</x:v>
      </x:c>
      <x:c r="H1895" s="1704" t="e">
        <x:f>HYPERLINK("#'山海经原文总库'!A3","↩ 返回目录")</x:f>
        <x:v>HYPERLINK is not implemented. linkLocation=#'山海经原文总库'!A3, friendlyName=↩ 返回目录</x:v>
      </x:c>
      <x:c r="I1895" s="1704" t="str">
        <x:v>是（拓扑／接口）</x:v>
      </x:c>
      <x:c r="J1895" s="1704" t="str">
        <x:v>总表R179｜三天子之都</x:v>
      </x:c>
      <x:c r="K1895" s="1704" t="str">
        <x:v>V030闭合｜已建档</x:v>
      </x:c>
    </x:row>
    <x:row r="1896" ht="52" hidden="0" customHeight="1">
      <x:c r="A1896" s="1704" t="str">
        <x:v>SHJ-18-024-1</x:v>
      </x:c>
      <x:c r="B1896" s="1704" t="str">
        <x:v>卷十八 《海內經》</x:v>
      </x:c>
      <x:c r="C1896" s="1704" t="str">
        <x:v>南方蒼梧之丘，蒼梧之淵，其中有九嶷山，舜之所葬，在長沙零陵界中。</x:v>
      </x:c>
      <x:c r="D1896" s="1704" t="str">
        <x:v>蒼梧之丘</x:v>
      </x:c>
      <x:c r="E1896" s="1704" t="str">
        <x:v>山／丘</x:v>
      </x:c>
      <x:c r="F1896" s="1704" t="e">
        <x:f>HYPERLINK("#'都广核心区总表'!B34","→ 查看条目")</x:f>
        <x:v>HYPERLINK is not implemented. linkLocation=#'都广核心区总表'!B34, friendlyName=→ 查看条目</x:v>
      </x:c>
      <x:c r="G1896" s="1704" t="str">
        <x:v>标点与分段参考《山海经校注》；正文对读：https://ctext.org/shan-hai-jing/hai-nei-jing/zh</x:v>
      </x:c>
      <x:c r="H1896" s="1704" t="e">
        <x:f>HYPERLINK("#'山海经原文总库'!A3","↩ 返回目录")</x:f>
        <x:v>HYPERLINK is not implemented. linkLocation=#'山海经原文总库'!A3, friendlyName=↩ 返回目录</x:v>
      </x:c>
      <x:c r="I1896" s="1704" t="str">
        <x:v>是</x:v>
      </x:c>
      <x:c r="J1896" s="1704" t="str">
        <x:v>总表第34行｜X=+300里，Y=0里（+3，0格）｜模块关系锁定；精确边界未锁</x:v>
      </x:c>
      <x:c r="K1896" s="1704" t="str">
        <x:v>V026已审计｜已建档</x:v>
      </x:c>
    </x:row>
    <x:row r="1897" ht="52" customHeight="1">
      <x:c r="A1897" s="1704" t="str">
        <x:v>SHJ-18-024-2</x:v>
      </x:c>
      <x:c r="B1897" s="1704" t="str">
        <x:v>卷十八 《海內經》</x:v>
      </x:c>
      <x:c r="C1897" s="1704"/>
      <x:c r="D1897" s="1704" t="str">
        <x:v>蒼梧之淵</x:v>
      </x:c>
      <x:c r="E1897" s="1704" t="str">
        <x:v>水系／水域</x:v>
      </x:c>
      <x:c r="F1897" s="1704" t="e">
        <x:f>HYPERLINK("#'都广核心区总表'!B35","→ 查看条目")</x:f>
        <x:v>HYPERLINK is not implemented. linkLocation=#'都广核心区总表'!B35, friendlyName=→ 查看条目</x:v>
      </x:c>
      <x:c r="G1897" s="1704" t="str">
        <x:v>标点与分段参考《山海经校注》；正文对读：https://ctext.org/shan-hai-jing/hai-nei-jing/zh</x:v>
      </x:c>
      <x:c r="H1897" s="1704" t="e">
        <x:f>HYPERLINK("#'山海经原文总库'!A3","↩ 返回目录")</x:f>
        <x:v>HYPERLINK is not implemented. linkLocation=#'山海经原文总库'!A3, friendlyName=↩ 返回目录</x:v>
      </x:c>
      <x:c r="I1897" s="1704" t="str">
        <x:v>是</x:v>
      </x:c>
      <x:c r="J1897" s="1704" t="str">
        <x:v>总表第35行｜X=+300里，Y=0里（+3，0格）｜模块关系锁定</x:v>
      </x:c>
      <x:c r="K1897" s="1704" t="str">
        <x:v>V026已审计｜已建档</x:v>
      </x:c>
    </x:row>
    <x:row r="1898" ht="52" customHeight="1">
      <x:c r="A1898" s="1704" t="str">
        <x:v>SHJ-18-024-3</x:v>
      </x:c>
      <x:c r="B1898" s="1704" t="str">
        <x:v>卷十八 《海內經》</x:v>
      </x:c>
      <x:c r="C1898" s="1704"/>
      <x:c r="D1898" s="1704" t="str">
        <x:v>九嶷山</x:v>
      </x:c>
      <x:c r="E1898" s="1704" t="str">
        <x:v>山／丘</x:v>
      </x:c>
      <x:c r="F1898" s="1704" t="e">
        <x:f>HYPERLINK("#'都广核心区总表'!B36","→ 查看条目")</x:f>
        <x:v>HYPERLINK is not implemented. linkLocation=#'都广核心区总表'!B36, friendlyName=→ 查看条目</x:v>
      </x:c>
      <x:c r="G1898" s="1704" t="str">
        <x:v>标点与分段参考《山海经校注》；正文对读：https://ctext.org/shan-hai-jing/hai-nei-jing/zh</x:v>
      </x:c>
      <x:c r="H1898" s="1704" t="e">
        <x:f>HYPERLINK("#'山海经原文总库'!A3","↩ 返回目录")</x:f>
        <x:v>HYPERLINK is not implemented. linkLocation=#'山海经原文总库'!A3, friendlyName=↩ 返回目录</x:v>
      </x:c>
      <x:c r="I1898" s="1704" t="str">
        <x:v>是</x:v>
      </x:c>
      <x:c r="J1898" s="1704" t="str">
        <x:v>总表第36行｜X=+300里，Y=0里（+3，0格）｜模块锚点锁定</x:v>
      </x:c>
      <x:c r="K1898" s="1704" t="str">
        <x:v>V026已审计｜已建档</x:v>
      </x:c>
    </x:row>
    <x:row r="1899" ht="52" customHeight="1">
      <x:c r="A1899" s="1704" t="str">
        <x:v>SHJ-18-024-4</x:v>
      </x:c>
      <x:c r="B1899" s="1704" t="str">
        <x:v>卷十八 《海內經》</x:v>
      </x:c>
      <x:c r="C1899" s="1704"/>
      <x:c r="D1899" s="1704" t="str">
        <x:v>舜葬</x:v>
      </x:c>
      <x:c r="E1899" s="1704" t="str">
        <x:v>墓葬</x:v>
      </x:c>
      <x:c r="F1899" s="1704" t="e">
        <x:f>HYPERLINK("#'都广核心区总表'!B32","→ 查看条目")</x:f>
        <x:v>HYPERLINK is not implemented. linkLocation=#'都广核心区总表'!B32, friendlyName=→ 查看条目</x:v>
      </x:c>
      <x:c r="G1899" s="1704" t="str">
        <x:v>标点与分段参考《山海经校注》；正文对读：https://ctext.org/shan-hai-jing/hai-nei-jing/zh</x:v>
      </x:c>
      <x:c r="H1899" s="1704" t="e">
        <x:f>HYPERLINK("#'山海经原文总库'!A3","↩ 返回目录")</x:f>
        <x:v>HYPERLINK is not implemented. linkLocation=#'山海经原文总库'!A3, friendlyName=↩ 返回目录</x:v>
      </x:c>
      <x:c r="I1899" s="1704" t="str">
        <x:v>是</x:v>
      </x:c>
      <x:c r="J1899" s="1704" t="str">
        <x:v>总表第32行｜X=+300里，Y=0里（+3，0格）｜方向关系锁定；距离推定</x:v>
      </x:c>
      <x:c r="K1899" s="1704" t="str">
        <x:v>V026已审计｜已建档</x:v>
      </x:c>
    </x:row>
    <x:row r="1900" ht="52" customHeight="1">
      <x:c r="A1900" s="1704" t="str">
        <x:v>SHJ-18-024-5</x:v>
      </x:c>
      <x:c r="B1900" s="1704" t="str">
        <x:v>卷十八 《海內經》</x:v>
      </x:c>
      <x:c r="C1900" s="1704"/>
      <x:c r="D1900" s="1704" t="str">
        <x:v>長沙零陵界</x:v>
      </x:c>
      <x:c r="E1900" s="1704" t="str">
        <x:v>地理名稱</x:v>
      </x:c>
      <x:c r="F1900" s="1704" t="e">
        <x:f>HYPERLINK("#'都广核心区总表'!B180","→ 查看条目")</x:f>
        <x:v>HYPERLINK is not implemented. linkLocation=#'都广核心区总表'!B180, friendlyName=→ 查看条目</x:v>
      </x:c>
      <x:c r="G1900" s="1704" t="str">
        <x:v>标点与分段参考《山海经校注》；正文对读：https://ctext.org/shan-hai-jing/hai-nei-jing/zh</x:v>
      </x:c>
      <x:c r="H1900" s="1704" t="e">
        <x:f>HYPERLINK("#'山海经原文总库'!A3","↩ 返回目录")</x:f>
        <x:v>HYPERLINK is not implemented. linkLocation=#'山海经原文总库'!A3, friendlyName=↩ 返回目录</x:v>
      </x:c>
      <x:c r="I1900" s="1704" t="str">
        <x:v>是（拓扑／接口）</x:v>
      </x:c>
      <x:c r="J1900" s="1704" t="str">
        <x:v>总表R180｜长沙零陵界校注层</x:v>
      </x:c>
      <x:c r="K1900" s="1704" t="str">
        <x:v>V030闭合｜已建档</x:v>
      </x:c>
    </x:row>
    <x:row r="1901" ht="52" customHeight="1">
      <x:c r="A1901" s="1704" t="str">
        <x:v>SHJ-18-025-1</x:v>
      </x:c>
      <x:c r="B1901" s="1704" t="str">
        <x:v>卷十八 《海內經》</x:v>
      </x:c>
      <x:c r="C1901" s="1704" t="str">
        <x:v>北海之內，有蛇山者，蛇水出焉，東入於海。有五採之鳥，飛蔽一鄉，名曰翳鳥。又有不距之山，巧倕葬其西。</x:v>
      </x:c>
      <x:c r="D1901" s="1704" t="str">
        <x:v>北海之内</x:v>
      </x:c>
      <x:c r="E1901" s="1704" t="str">
        <x:v>区域</x:v>
      </x:c>
      <x:c r="F1901" s="1704" t="e">
        <x:f>HYPERLINK("#'都广核心区总表'!B181","→ 查看条目")</x:f>
        <x:v>HYPERLINK is not implemented. linkLocation=#'都广核心区总表'!B181, friendlyName=→ 查看条目</x:v>
      </x:c>
      <x:c r="G1901" s="1704" t="str">
        <x:v>标点与分段参考《山海经校注》；正文对读：https://ctext.org/shan-hai-jing/hai-nei-jing/zh</x:v>
      </x:c>
      <x:c r="H1901" s="1704" t="e">
        <x:f>HYPERLINK("#'山海经原文总库'!A3","↩ 返回目录")</x:f>
        <x:v>HYPERLINK is not implemented. linkLocation=#'山海经原文总库'!A3, friendlyName=↩ 返回目录</x:v>
      </x:c>
      <x:c r="I1901" s="1704" t="str">
        <x:v>是（拓扑／接口）</x:v>
      </x:c>
      <x:c r="J1901" s="1704" t="str">
        <x:v>总表R181｜北海之内区域层</x:v>
      </x:c>
      <x:c r="K1901" s="1704" t="str">
        <x:v>V030闭合｜已建档</x:v>
      </x:c>
    </x:row>
    <x:row r="1902" ht="52" customHeight="1">
      <x:c r="A1902" s="1704" t="str">
        <x:v>SHJ-18-025-2</x:v>
      </x:c>
      <x:c r="B1902" s="1704" t="str">
        <x:v>卷十八 《海內經》</x:v>
      </x:c>
      <x:c r="C1902" s="1704"/>
      <x:c r="D1902" s="1704" t="str">
        <x:v>蛇山</x:v>
      </x:c>
      <x:c r="E1902" s="1704" t="str">
        <x:v>山／丘</x:v>
      </x:c>
      <x:c r="F1902" s="1704" t="e">
        <x:f>HYPERLINK("#'都广核心区总表'!B182","→ 查看条目")</x:f>
        <x:v>HYPERLINK is not implemented. linkLocation=#'都广核心区总表'!B182, friendlyName=→ 查看条目</x:v>
      </x:c>
      <x:c r="G1902" s="1704" t="str">
        <x:v>标点与分段参考《山海经校注》；正文对读：https://ctext.org/shan-hai-jing/hai-nei-jing/zh</x:v>
      </x:c>
      <x:c r="H1902" s="1704" t="e">
        <x:f>HYPERLINK("#'山海经原文总库'!A3","↩ 返回目录")</x:f>
        <x:v>HYPERLINK is not implemented. linkLocation=#'山海经原文总库'!A3, friendlyName=↩ 返回目录</x:v>
      </x:c>
      <x:c r="I1902" s="1704" t="str">
        <x:v>是（拓扑／接口）</x:v>
      </x:c>
      <x:c r="J1902" s="1704" t="str">
        <x:v>总表R182｜蛇山</x:v>
      </x:c>
      <x:c r="K1902" s="1704" t="str">
        <x:v>V030闭合｜已建档</x:v>
      </x:c>
    </x:row>
    <x:row r="1903" ht="52" customHeight="1">
      <x:c r="A1903" s="1704" t="str">
        <x:v>SHJ-18-025-3</x:v>
      </x:c>
      <x:c r="B1903" s="1704" t="str">
        <x:v>卷十八 《海內經》</x:v>
      </x:c>
      <x:c r="C1903" s="1704"/>
      <x:c r="D1903" s="1704" t="str">
        <x:v>蛇水</x:v>
      </x:c>
      <x:c r="E1903" s="1704" t="str">
        <x:v>水系／水域</x:v>
      </x:c>
      <x:c r="F1903" s="1704" t="e">
        <x:f>HYPERLINK("#'都广核心区总表'!B183","→ 查看条目")</x:f>
        <x:v>HYPERLINK is not implemented. linkLocation=#'都广核心区总表'!B183, friendlyName=→ 查看条目</x:v>
      </x:c>
      <x:c r="G1903" s="1704" t="str">
        <x:v>标点与分段参考《山海经校注》；正文对读：https://ctext.org/shan-hai-jing/hai-nei-jing/zh</x:v>
      </x:c>
      <x:c r="H1903" s="1704" t="e">
        <x:f>HYPERLINK("#'山海经原文总库'!A3","↩ 返回目录")</x:f>
        <x:v>HYPERLINK is not implemented. linkLocation=#'山海经原文总库'!A3, friendlyName=↩ 返回目录</x:v>
      </x:c>
      <x:c r="I1903" s="1704" t="str">
        <x:v>是（拓扑／接口）</x:v>
      </x:c>
      <x:c r="J1903" s="1704" t="str">
        <x:v>总表R183｜蛇水</x:v>
      </x:c>
      <x:c r="K1903" s="1704" t="str">
        <x:v>V030闭合｜已建档</x:v>
      </x:c>
    </x:row>
    <x:row r="1904" ht="52" customHeight="1">
      <x:c r="A1904" s="1704" t="str">
        <x:v>SHJ-18-025-4</x:v>
      </x:c>
      <x:c r="B1904" s="1704" t="str">
        <x:v>卷十八 《海內經》</x:v>
      </x:c>
      <x:c r="C1904" s="1704"/>
      <x:c r="D1904" s="1704" t="str">
        <x:v>海</x:v>
      </x:c>
      <x:c r="E1904" s="1704" t="str">
        <x:v>水系／水域</x:v>
      </x:c>
      <x:c r="F1904" s="1704" t="e">
        <x:f>HYPERLINK("#'都广核心区总表'!B184","→ 查看条目")</x:f>
        <x:v>HYPERLINK is not implemented. linkLocation=#'都广核心区总表'!B184, friendlyName=→ 查看条目</x:v>
      </x:c>
      <x:c r="G1904" s="1704" t="str">
        <x:v>标点与分段参考《山海经校注》；正文对读：https://ctext.org/shan-hai-jing/hai-nei-jing/zh</x:v>
      </x:c>
      <x:c r="H1904" s="1704" t="e">
        <x:f>HYPERLINK("#'山海经原文总库'!A3","↩ 返回目录")</x:f>
        <x:v>HYPERLINK is not implemented. linkLocation=#'山海经原文总库'!A3, friendlyName=↩ 返回目录</x:v>
      </x:c>
      <x:c r="I1904" s="1704" t="str">
        <x:v>是（拓扑／接口）</x:v>
      </x:c>
      <x:c r="J1904" s="1704" t="str">
        <x:v>总表R184｜蛇水入海接口</x:v>
      </x:c>
      <x:c r="K1904" s="1704" t="str">
        <x:v>V030闭合｜已建档</x:v>
      </x:c>
    </x:row>
    <x:row r="1905" ht="52" customHeight="1">
      <x:c r="A1905" s="1704" t="str">
        <x:v>SHJ-18-025-5</x:v>
      </x:c>
      <x:c r="B1905" s="1704" t="str">
        <x:v>卷十八 《海內經》</x:v>
      </x:c>
      <x:c r="C1905" s="1704"/>
      <x:c r="D1905" s="1704" t="str">
        <x:v>不距山</x:v>
      </x:c>
      <x:c r="E1905" s="1704" t="str">
        <x:v>山／丘</x:v>
      </x:c>
      <x:c r="F1905" s="1704" t="e">
        <x:f>HYPERLINK("#'都广核心区总表'!B186","→ 查看条目")</x:f>
        <x:v>HYPERLINK is not implemented. linkLocation=#'都广核心区总表'!B186, friendlyName=→ 查看条目</x:v>
      </x:c>
      <x:c r="G1905" s="1704" t="str">
        <x:v>标点与分段参考《山海经校注》；正文对读：https://ctext.org/shan-hai-jing/hai-nei-jing/zh</x:v>
      </x:c>
      <x:c r="H1905" s="1704" t="e">
        <x:f>HYPERLINK("#'山海经原文总库'!A3","↩ 返回目录")</x:f>
        <x:v>HYPERLINK is not implemented. linkLocation=#'山海经原文总库'!A3, friendlyName=↩ 返回目录</x:v>
      </x:c>
      <x:c r="I1905" s="1704" t="str">
        <x:v>是（拓扑／接口）</x:v>
      </x:c>
      <x:c r="J1905" s="1704" t="str">
        <x:v>总表R186｜不距之山</x:v>
      </x:c>
      <x:c r="K1905" s="1704" t="str">
        <x:v>V030闭合｜已建档</x:v>
      </x:c>
    </x:row>
    <x:row r="1906" ht="52" customHeight="1">
      <x:c r="A1906" s="1704" t="str">
        <x:v>SHJ-18-025-6</x:v>
      </x:c>
      <x:c r="B1906" s="1704" t="str">
        <x:v>卷十八 《海內經》</x:v>
      </x:c>
      <x:c r="C1906" s="1704"/>
      <x:c r="D1906" s="1704" t="str">
        <x:v>巧倕葬地</x:v>
      </x:c>
      <x:c r="E1906" s="1704" t="str">
        <x:v>墓葬</x:v>
      </x:c>
      <x:c r="F1906" s="1704" t="e">
        <x:f>HYPERLINK("#'都广核心区总表'!B187","→ 查看条目")</x:f>
        <x:v>HYPERLINK is not implemented. linkLocation=#'都广核心区总表'!B187, friendlyName=→ 查看条目</x:v>
      </x:c>
      <x:c r="G1906" s="1704" t="str">
        <x:v>标点与分段参考《山海经校注》；正文对读：https://ctext.org/shan-hai-jing/hai-nei-jing/zh</x:v>
      </x:c>
      <x:c r="H1906" s="1704" t="e">
        <x:f>HYPERLINK("#'山海经原文总库'!A3","↩ 返回目录")</x:f>
        <x:v>HYPERLINK is not implemented. linkLocation=#'山海经原文总库'!A3, friendlyName=↩ 返回目录</x:v>
      </x:c>
      <x:c r="I1906" s="1704" t="str">
        <x:v>是（拓扑／接口）</x:v>
      </x:c>
      <x:c r="J1906" s="1704" t="str">
        <x:v>总表R187｜巧倕葬地；位于不距山西</x:v>
      </x:c>
      <x:c r="K1906" s="1704" t="str">
        <x:v>V030闭合｜已建档</x:v>
      </x:c>
    </x:row>
    <x:row r="1907" ht="52" customHeight="1">
      <x:c r="A1907" s="1704" t="str">
        <x:v>SHJ-18-025-7</x:v>
      </x:c>
      <x:c r="B1907" s="1704" t="str">
        <x:v>卷十八 《海內經》</x:v>
      </x:c>
      <x:c r="C1907" s="1704"/>
      <x:c r="D1907" s="1704" t="str">
        <x:v>翳鸟</x:v>
      </x:c>
      <x:c r="E1907" s="1704" t="str">
        <x:v>异鸟</x:v>
      </x:c>
      <x:c r="F1907" s="1704" t="e">
        <x:f>HYPERLINK("#'都广核心区总表'!B185","→ 查看条目")</x:f>
        <x:v>HYPERLINK is not implemented. linkLocation=#'都广核心区总表'!B185, friendlyName=→ 查看条目</x:v>
      </x:c>
      <x:c r="G1907" s="1704" t="str">
        <x:v>标点与分段参考《山海经校注》；正文对读：https://ctext.org/shan-hai-jing/hai-nei-jing/zh</x:v>
      </x:c>
      <x:c r="H1907" s="1704" t="e">
        <x:f>HYPERLINK("#'山海经原文总库'!A3","↩ 返回目录")</x:f>
        <x:v>HYPERLINK is not implemented. linkLocation=#'山海经原文总库'!A3, friendlyName=↩ 返回目录</x:v>
      </x:c>
      <x:c r="I1907" s="1704" t="str">
        <x:v>是（拓扑／接口）</x:v>
      </x:c>
      <x:c r="J1907" s="1704" t="str">
        <x:v>总表R185｜翳鸟</x:v>
      </x:c>
      <x:c r="K1907" s="1704" t="str">
        <x:v>V031漏拆修复｜已建档</x:v>
      </x:c>
    </x:row>
    <x:row r="1908" ht="52" customHeight="1">
      <x:c r="A1908" s="1704" t="str">
        <x:v>SHJ-18-026-1</x:v>
      </x:c>
      <x:c r="B1908" s="1704" t="str">
        <x:v>卷十八 《海內經》</x:v>
      </x:c>
      <x:c r="C1908" s="1704" t="str">
        <x:v>北海之內，有反縛盜械、帶戈常倍之佐，名曰相顧之屍。</x:v>
      </x:c>
      <x:c r="D1908" s="1704" t="str">
        <x:v>相顾之尸</x:v>
      </x:c>
      <x:c r="E1908" s="1704" t="str">
        <x:v>尸体地标</x:v>
      </x:c>
      <x:c r="F1908" s="1704" t="e">
        <x:f>HYPERLINK("#'都广核心区总表'!B188","→ 查看条目")</x:f>
        <x:v>HYPERLINK is not implemented. linkLocation=#'都广核心区总表'!B188, friendlyName=→ 查看条目</x:v>
      </x:c>
      <x:c r="G1908" s="1704" t="str">
        <x:v>标点与分段参考《山海经校注》；正文对读：https://ctext.org/shan-hai-jing/hai-nei-jing/zh</x:v>
      </x:c>
      <x:c r="H1908" s="1704" t="e">
        <x:f>HYPERLINK("#'山海经原文总库'!A3","↩ 返回目录")</x:f>
        <x:v>HYPERLINK is not implemented. linkLocation=#'山海经原文总库'!A3, friendlyName=↩ 返回目录</x:v>
      </x:c>
      <x:c r="I1908" s="1704" t="str">
        <x:v>是（拓扑／接口）</x:v>
      </x:c>
      <x:c r="J1908" s="1704" t="str">
        <x:v>总表R188｜相顾之尸</x:v>
      </x:c>
      <x:c r="K1908" s="1704" t="str">
        <x:v>V030闭合｜已建档</x:v>
      </x:c>
    </x:row>
    <x:row r="1909" ht="52" customHeight="1">
      <x:c r="A1909" s="1704" t="str">
        <x:v>SHJ-18-027-1</x:v>
      </x:c>
      <x:c r="B1909" s="1704" t="str">
        <x:v>卷十八 《海內經》</x:v>
      </x:c>
      <x:c r="C1909" s="1704" t="str">
        <x:v>伯夷父生西嶽，西嶽生先龍，先龍是始生氐羌，氐羌乞姓。</x:v>
      </x:c>
      <x:c r="D1909" s="1704"/>
      <x:c r="E1909" s="1704"/>
      <x:c r="F1909" s="1704"/>
      <x:c r="G1909" s="1704" t="str">
        <x:v>标点与分段参考《山海经校注》；正文对读：https://ctext.org/shan-hai-jing/hai-nei-jing/zh</x:v>
      </x:c>
      <x:c r="H1909" s="1704" t="e">
        <x:f>HYPERLINK("#'山海经原文总库'!A3","↩ 返回目录")</x:f>
        <x:v>HYPERLINK is not implemented. linkLocation=#'山海经原文总库'!A3, friendlyName=↩ 返回目录</x:v>
      </x:c>
      <x:c r="I1909" s="1704"/>
      <x:c r="J1909" s="1704" t="str">
        <x:v>V029氐羌谱系非地理层｜保留原文，不制造坐标</x:v>
      </x:c>
      <x:c r="K1909" s="1704" t="str">
        <x:v>V026已审计｜非地图对象</x:v>
      </x:c>
    </x:row>
    <x:row r="1910" ht="52" customHeight="1">
      <x:c r="A1910" s="1704" t="str">
        <x:v>SHJ-18-028-1</x:v>
      </x:c>
      <x:c r="B1910" s="1704" t="str">
        <x:v>卷十八 《海內經》</x:v>
      </x:c>
      <x:c r="C1910" s="1704" t="str">
        <x:v>北海之內，有山，名曰幽都之山，黑水出焉。其上有玄鳥、玄蛇、玄豹、玄虎、玄狐蓬尾。有大玄之山。有玄丘之民。有大幽之國。有赤脛之民。</x:v>
      </x:c>
      <x:c r="D1910" s="1704" t="str">
        <x:v>北海之内</x:v>
      </x:c>
      <x:c r="E1910" s="1704" t="str">
        <x:v>区域</x:v>
      </x:c>
      <x:c r="F1910" s="1704" t="e">
        <x:f>HYPERLINK("#'都广核心区总表'!B181","→ 查看条目")</x:f>
        <x:v>HYPERLINK is not implemented. linkLocation=#'都广核心区总表'!B181, friendlyName=→ 查看条目</x:v>
      </x:c>
      <x:c r="G1910" s="1704" t="str">
        <x:v>标点与分段参考《山海经校注》；正文对读：https://ctext.org/shan-hai-jing/hai-nei-jing/zh</x:v>
      </x:c>
      <x:c r="H1910" s="1704" t="e">
        <x:f>HYPERLINK("#'山海经原文总库'!A3","↩ 返回目录")</x:f>
        <x:v>HYPERLINK is not implemented. linkLocation=#'山海经原文总库'!A3, friendlyName=↩ 返回目录</x:v>
      </x:c>
      <x:c r="I1910" s="1704" t="str">
        <x:v>是（拓扑／接口）</x:v>
      </x:c>
      <x:c r="J1910" s="1704" t="str">
        <x:v>总表R181、R56、R57、R189—R193、R196｜北海—幽都完整模块</x:v>
      </x:c>
      <x:c r="K1910" s="1704" t="str">
        <x:v>V030闭合｜已建档</x:v>
      </x:c>
    </x:row>
    <x:row r="1911" ht="52" customHeight="1">
      <x:c r="A1911" s="1704" t="str">
        <x:v>SHJ-18-028-2</x:v>
      </x:c>
      <x:c r="B1911" s="1704" t="str">
        <x:v>卷十八 《海內經》</x:v>
      </x:c>
      <x:c r="C1911" s="1704"/>
      <x:c r="D1911" s="1704" t="str">
        <x:v>幽都之山</x:v>
      </x:c>
      <x:c r="E1911" s="1704" t="str">
        <x:v>山／丘</x:v>
      </x:c>
      <x:c r="F1911" s="1704" t="e">
        <x:f>HYPERLINK("#'都广核心区总表'!B56","→ 查看条目")</x:f>
        <x:v>HYPERLINK is not implemented. linkLocation=#'都广核心区总表'!B56, friendlyName=→ 查看条目</x:v>
      </x:c>
      <x:c r="G1911" s="1704" t="str">
        <x:v>标点与分段参考《山海经校注》；正文对读：https://ctext.org/shan-hai-jing/hai-nei-jing/zh</x:v>
      </x:c>
      <x:c r="H1911" s="1704" t="e">
        <x:f>HYPERLINK("#'山海经原文总库'!A3","↩ 返回目录")</x:f>
        <x:v>HYPERLINK is not implemented. linkLocation=#'山海经原文总库'!A3, friendlyName=↩ 返回目录</x:v>
      </x:c>
      <x:c r="I1911" s="1704" t="str">
        <x:v>是</x:v>
      </x:c>
      <x:c r="J1911" s="1704" t="str">
        <x:v>总表第56行｜X=0里，Y=+1400里（0，+14格）｜北海关系锁定；距都广里数未锁</x:v>
      </x:c>
      <x:c r="K1911" s="1704" t="str">
        <x:v>V026已审计｜已建档</x:v>
      </x:c>
    </x:row>
    <x:row r="1912" ht="52" customHeight="1">
      <x:c r="A1912" s="1704" t="str">
        <x:v>SHJ-18-028-3</x:v>
      </x:c>
      <x:c r="B1912" s="1704" t="str">
        <x:v>卷十八 《海內經》</x:v>
      </x:c>
      <x:c r="C1912" s="1704"/>
      <x:c r="D1912" s="1704" t="str">
        <x:v>黑水</x:v>
      </x:c>
      <x:c r="E1912" s="1704" t="str">
        <x:v>水系／水域</x:v>
      </x:c>
      <x:c r="F1912" s="1704" t="e">
        <x:f>HYPERLINK("#'都广核心区总表'!B57","→ 查看条目")</x:f>
        <x:v>HYPERLINK is not implemented. linkLocation=#'都广核心区总表'!B57, friendlyName=→ 查看条目</x:v>
      </x:c>
      <x:c r="G1912" s="1704" t="str">
        <x:v>标点与分段参考《山海经校注》；正文对读：https://ctext.org/shan-hai-jing/hai-nei-jing/zh</x:v>
      </x:c>
      <x:c r="H1912" s="1704" t="e">
        <x:f>HYPERLINK("#'山海经原文总库'!A3","↩ 返回目录")</x:f>
        <x:v>HYPERLINK is not implemented. linkLocation=#'山海经原文总库'!A3, friendlyName=↩ 返回目录</x:v>
      </x:c>
      <x:c r="I1912" s="1704" t="str">
        <x:v>是</x:v>
      </x:c>
      <x:c r="J1912" s="1704" t="str">
        <x:v>总表第57行｜X=0里，Y=+1400里（0，+14格）｜源点锁定；与昆仑、都广黑水未合并</x:v>
      </x:c>
      <x:c r="K1912" s="1704" t="str">
        <x:v>V026已审计｜已建档</x:v>
      </x:c>
    </x:row>
    <x:row r="1913" ht="52" customHeight="1">
      <x:c r="A1913" s="1704" t="str">
        <x:v>SHJ-18-028-4</x:v>
      </x:c>
      <x:c r="B1913" s="1704" t="str">
        <x:v>卷十八 《海內經》</x:v>
      </x:c>
      <x:c r="C1913" s="1704"/>
      <x:c r="D1913" s="1704" t="str">
        <x:v>大玄山</x:v>
      </x:c>
      <x:c r="E1913" s="1704" t="str">
        <x:v>山／丘</x:v>
      </x:c>
      <x:c r="F1913" s="1704" t="e">
        <x:f>HYPERLINK("#'都广核心区总表'!B189","→ 查看条目")</x:f>
        <x:v>HYPERLINK is not implemented. linkLocation=#'都广核心区总表'!B189, friendlyName=→ 查看条目</x:v>
      </x:c>
      <x:c r="G1913" s="1704" t="str">
        <x:v>标点与分段参考《山海经校注》；正文对读：https://ctext.org/shan-hai-jing/hai-nei-jing/zh</x:v>
      </x:c>
      <x:c r="H1913" s="1704" t="e">
        <x:f>HYPERLINK("#'山海经原文总库'!A3","↩ 返回目录")</x:f>
        <x:v>HYPERLINK is not implemented. linkLocation=#'山海经原文总库'!A3, friendlyName=↩ 返回目录</x:v>
      </x:c>
      <x:c r="I1913" s="1704" t="str">
        <x:v>是（拓扑／接口）</x:v>
      </x:c>
      <x:c r="J1913" s="1704" t="str">
        <x:v>总表R189｜大玄之山</x:v>
      </x:c>
      <x:c r="K1913" s="1704" t="str">
        <x:v>V030闭合｜已建档</x:v>
      </x:c>
    </x:row>
    <x:row r="1914" ht="52" customHeight="1">
      <x:c r="A1914" s="1704" t="str">
        <x:v>SHJ-18-028-5</x:v>
      </x:c>
      <x:c r="B1914" s="1704" t="str">
        <x:v>卷十八 《海內經》</x:v>
      </x:c>
      <x:c r="C1914" s="1704"/>
      <x:c r="D1914" s="1704" t="str">
        <x:v>玄丘之民</x:v>
      </x:c>
      <x:c r="E1914" s="1704" t="str">
        <x:v>国家／族群</x:v>
      </x:c>
      <x:c r="F1914" s="1704" t="e">
        <x:f>HYPERLINK("#'都广核心区总表'!B190","→ 查看条目")</x:f>
        <x:v>HYPERLINK is not implemented. linkLocation=#'都广核心区总表'!B190, friendlyName=→ 查看条目</x:v>
      </x:c>
      <x:c r="G1914" s="1704" t="str">
        <x:v>标点与分段参考《山海经校注》；正文对读：https://ctext.org/shan-hai-jing/hai-nei-jing/zh</x:v>
      </x:c>
      <x:c r="H1914" s="1704" t="e">
        <x:f>HYPERLINK("#'山海经原文总库'!A3","↩ 返回目录")</x:f>
        <x:v>HYPERLINK is not implemented. linkLocation=#'山海经原文总库'!A3, friendlyName=↩ 返回目录</x:v>
      </x:c>
      <x:c r="I1914" s="1704" t="str">
        <x:v>是（拓扑／接口）</x:v>
      </x:c>
      <x:c r="J1914" s="1704" t="str">
        <x:v>总表R190｜玄丘之民</x:v>
      </x:c>
      <x:c r="K1914" s="1704" t="str">
        <x:v>V030闭合｜已建档</x:v>
      </x:c>
    </x:row>
    <x:row r="1915" ht="52" customHeight="1">
      <x:c r="A1915" s="1704" t="str">
        <x:v>SHJ-18-028-6</x:v>
      </x:c>
      <x:c r="B1915" s="1704" t="str">
        <x:v>卷十八 《海內經》</x:v>
      </x:c>
      <x:c r="C1915" s="1704"/>
      <x:c r="D1915" s="1704" t="str">
        <x:v>大幽国</x:v>
      </x:c>
      <x:c r="E1915" s="1704" t="str">
        <x:v>国家／族群</x:v>
      </x:c>
      <x:c r="F1915" s="1704" t="e">
        <x:f>HYPERLINK("#'都广核心区总表'!B191","→ 查看条目")</x:f>
        <x:v>HYPERLINK is not implemented. linkLocation=#'都广核心区总表'!B191, friendlyName=→ 查看条目</x:v>
      </x:c>
      <x:c r="G1915" s="1704" t="str">
        <x:v>标点与分段参考《山海经校注》；正文对读：https://ctext.org/shan-hai-jing/hai-nei-jing/zh</x:v>
      </x:c>
      <x:c r="H1915" s="1704" t="e">
        <x:f>HYPERLINK("#'山海经原文总库'!A3","↩ 返回目录")</x:f>
        <x:v>HYPERLINK is not implemented. linkLocation=#'山海经原文总库'!A3, friendlyName=↩ 返回目录</x:v>
      </x:c>
      <x:c r="I1915" s="1704" t="str">
        <x:v>是（拓扑／接口）</x:v>
      </x:c>
      <x:c r="J1915" s="1704" t="str">
        <x:v>总表R191｜大幽国</x:v>
      </x:c>
      <x:c r="K1915" s="1704" t="str">
        <x:v>V030闭合｜已建档</x:v>
      </x:c>
    </x:row>
    <x:row r="1916" ht="52" customHeight="1">
      <x:c r="A1916" s="1704" t="str">
        <x:v>SHJ-18-028-7</x:v>
      </x:c>
      <x:c r="B1916" s="1704" t="str">
        <x:v>卷十八 《海內經》</x:v>
      </x:c>
      <x:c r="C1916" s="1704"/>
      <x:c r="D1916" s="1704" t="str">
        <x:v>赤胫之民</x:v>
      </x:c>
      <x:c r="E1916" s="1704" t="str">
        <x:v>族群／异民</x:v>
      </x:c>
      <x:c r="F1916" s="1704" t="e">
        <x:f>HYPERLINK("#'都广核心区总表'!B192","→ 查看条目")</x:f>
        <x:v>HYPERLINK is not implemented. linkLocation=#'都广核心区总表'!B192, friendlyName=→ 查看条目</x:v>
      </x:c>
      <x:c r="G1916" s="1704" t="str">
        <x:v>标点与分段参考《山海经校注》；正文对读：https://ctext.org/shan-hai-jing/hai-nei-jing/zh</x:v>
      </x:c>
      <x:c r="H1916" s="1704" t="e">
        <x:f>HYPERLINK("#'山海经原文总库'!A3","↩ 返回目录")</x:f>
        <x:v>HYPERLINK is not implemented. linkLocation=#'山海经原文总库'!A3, friendlyName=↩ 返回目录</x:v>
      </x:c>
      <x:c r="I1916" s="1704" t="str">
        <x:v>是（拓扑／接口）</x:v>
      </x:c>
      <x:c r="J1916" s="1704" t="str">
        <x:v>总表R192｜赤胫之民</x:v>
      </x:c>
      <x:c r="K1916" s="1704" t="str">
        <x:v>V031漏拆修复｜已建档</x:v>
      </x:c>
    </x:row>
    <x:row r="1917" ht="52" customHeight="1">
      <x:c r="A1917" s="1704" t="str">
        <x:v>SHJ-18-028-8</x:v>
      </x:c>
      <x:c r="B1917" s="1704" t="str">
        <x:v>卷十八 《海內經》</x:v>
      </x:c>
      <x:c r="C1917" s="1704"/>
      <x:c r="D1917" s="1704" t="str">
        <x:v>玄鸟、玄蛇、玄豹、玄虎、玄狐蓬尾</x:v>
      </x:c>
      <x:c r="E1917" s="1704" t="str">
        <x:v>动物／异兽群落</x:v>
      </x:c>
      <x:c r="F1917" s="1704" t="e">
        <x:f>HYPERLINK("#'都广核心区总表'!B196","→ 查看条目")</x:f>
        <x:v>HYPERLINK is not implemented. linkLocation=#'都广核心区总表'!B196, friendlyName=→ 查看条目</x:v>
      </x:c>
      <x:c r="G1917" s="1704" t="str">
        <x:v>标点与分段参考《山海经校注》；正文对读：https://ctext.org/shan-hai-jing/hai-nei-jing/zh</x:v>
      </x:c>
      <x:c r="H1917" s="1704" t="e">
        <x:f>HYPERLINK("#'山海经原文总库'!A3","↩ 返回目录")</x:f>
        <x:v>HYPERLINK is not implemented. linkLocation=#'山海经原文总库'!A3, friendlyName=↩ 返回目录</x:v>
      </x:c>
      <x:c r="I1917" s="1704" t="str">
        <x:v>是（拓扑／接口）</x:v>
      </x:c>
      <x:c r="J1917" s="1704" t="str">
        <x:v>总表R196｜幽都玄兽群</x:v>
      </x:c>
      <x:c r="K1917" s="1704" t="str">
        <x:v>V031漏拆修复｜已建档</x:v>
      </x:c>
    </x:row>
    <x:row r="1918" ht="52" customHeight="1">
      <x:c r="A1918" s="1704" t="str">
        <x:v>SHJ-18-029-1</x:v>
      </x:c>
      <x:c r="B1918" s="1704" t="str">
        <x:v>卷十八 《海內經》</x:v>
      </x:c>
      <x:c r="C1918" s="1704" t="str">
        <x:v>有釘靈之國，其民從膝已下有毛，馬蹄善走。</x:v>
      </x:c>
      <x:c r="D1918" s="1704" t="str">
        <x:v>釘靈國</x:v>
      </x:c>
      <x:c r="E1918" s="1704" t="str">
        <x:v>國家／族群</x:v>
      </x:c>
      <x:c r="F1918" s="1704" t="e">
        <x:f>HYPERLINK("#'都广核心区总表'!B193","→ 查看条目")</x:f>
        <x:v>HYPERLINK is not implemented. linkLocation=#'都广核心区总表'!B193, friendlyName=→ 查看条目</x:v>
      </x:c>
      <x:c r="G1918" s="1704" t="str">
        <x:v>标点与分段参考《山海经校注》；正文对读：https://ctext.org/shan-hai-jing/hai-nei-jing/zh</x:v>
      </x:c>
      <x:c r="H1918" s="1704" t="e">
        <x:f>HYPERLINK("#'山海经原文总库'!A3","↩ 返回目录")</x:f>
        <x:v>HYPERLINK is not implemented. linkLocation=#'山海经原文总库'!A3, friendlyName=↩ 返回目录</x:v>
      </x:c>
      <x:c r="I1918" s="1704" t="str">
        <x:v>是（拓扑／接口）</x:v>
      </x:c>
      <x:c r="J1918" s="1704" t="str">
        <x:v>总表R193｜钉灵国</x:v>
      </x:c>
      <x:c r="K1918" s="1704" t="str">
        <x:v>V030闭合｜已建档</x:v>
      </x:c>
    </x:row>
    <x:row r="1919" ht="52" customHeight="1">
      <x:c r="A1919" s="1704" t="str">
        <x:v>SHJ-18-030-1</x:v>
      </x:c>
      <x:c r="B1919" s="1704" t="str">
        <x:v>卷十八 《海內經》</x:v>
      </x:c>
      <x:c r="C1919" s="1704" t="str">
        <x:v>炎帝之孫伯陵，伯陵同吳權之妻阿女緣婦，緣婦孕三年，是生鼓、延、殳。始爲侯，鼓、延是始爲鍾，爲樂風。</x:v>
      </x:c>
      <x:c r="D1919" s="1704"/>
      <x:c r="E1919" s="1704"/>
      <x:c r="F1919" s="1704"/>
      <x:c r="G1919" s="1704" t="str">
        <x:v>标点与分段参考《山海经校注》；正文对读：https://ctext.org/shan-hai-jing/hai-nei-jing/zh</x:v>
      </x:c>
      <x:c r="H1919" s="1704" t="e">
        <x:f>HYPERLINK("#'山海经原文总库'!A3","↩ 返回目录")</x:f>
        <x:v>HYPERLINK is not implemented. linkLocation=#'山海经原文总库'!A3, friendlyName=↩ 返回目录</x:v>
      </x:c>
      <x:c r="I1919" s="1704" t="str">
        <x:v>否（非地图）</x:v>
      </x:c>
      <x:c r="J1919" s="1704" t="str">
        <x:v>V029分类C｜炎帝后裔谱系＋钟、乐风起源。正文没有地点、方向或里数，不制造坐标。</x:v>
      </x:c>
      <x:c r="K1919" s="1704" t="str">
        <x:v>V029已审计｜纯谱系／文明发明</x:v>
      </x:c>
    </x:row>
    <x:row r="1920" ht="52" customHeight="1">
      <x:c r="A1920" s="1704" t="str">
        <x:v>SHJ-18-031-1</x:v>
      </x:c>
      <x:c r="B1920" s="1704" t="str">
        <x:v>卷十八 《海內經》</x:v>
      </x:c>
      <x:c r="C1920" s="1704" t="str">
        <x:v>黃帝生駱明，駱明生白馬，白馬是爲鯀。</x:v>
      </x:c>
      <x:c r="D1920" s="1704"/>
      <x:c r="E1920" s="1704"/>
      <x:c r="F1920" s="1704"/>
      <x:c r="G1920" s="1704" t="str">
        <x:v>标点与分段参考《山海经校注》；正文对读：https://ctext.org/shan-hai-jing/hai-nei-jing/zh</x:v>
      </x:c>
      <x:c r="H1920" s="1704" t="e">
        <x:f>HYPERLINK("#'山海经原文总库'!A3","↩ 返回目录")</x:f>
        <x:v>HYPERLINK is not implemented. linkLocation=#'山海经原文总库'!A3, friendlyName=↩ 返回目录</x:v>
      </x:c>
      <x:c r="I1920" s="1704" t="str">
        <x:v>否（非地图）</x:v>
      </x:c>
      <x:c r="J1920" s="1704" t="str">
        <x:v>V029分类C｜黄帝—骆明—白马—鲧谱系。只给血缘，不给出生地、居处或事件地。</x:v>
      </x:c>
      <x:c r="K1920" s="1704" t="str">
        <x:v>V029已审计｜纯谱系</x:v>
      </x:c>
    </x:row>
    <x:row r="1921" ht="52" customHeight="1">
      <x:c r="A1921" s="1704" t="str">
        <x:v>SHJ-18-032-1</x:v>
      </x:c>
      <x:c r="B1921" s="1704" t="str">
        <x:v>卷十八 《海內經》</x:v>
      </x:c>
      <x:c r="C1921" s="1704" t="str">
        <x:v>帝俊生禺號，禺號生淫梁，淫梁生番禺，是始爲舟。番禺生奚仲，奚仲生吉光，吉光是始以木爲車。</x:v>
      </x:c>
      <x:c r="D1921" s="1704"/>
      <x:c r="E1921" s="1704"/>
      <x:c r="F1921" s="1704"/>
      <x:c r="G1921" s="1704" t="str">
        <x:v>标点与分段参考《山海经校注》；正文对读：https://ctext.org/shan-hai-jing/hai-nei-jing/zh</x:v>
      </x:c>
      <x:c r="H1921" s="1704" t="e">
        <x:f>HYPERLINK("#'山海经原文总库'!A3","↩ 返回目录")</x:f>
        <x:v>HYPERLINK is not implemented. linkLocation=#'山海经原文总库'!A3, friendlyName=↩ 返回目录</x:v>
      </x:c>
      <x:c r="I1921" s="1704" t="str">
        <x:v>否（非地图）</x:v>
      </x:c>
      <x:c r="J1921" s="1704" t="str">
        <x:v>V029分类C｜帝俊—禺号—淫梁—番禺—奚仲—吉光谱系及舟、车起源。发明行为没有明确地点，不落棋盘。</x:v>
      </x:c>
      <x:c r="K1921" s="1704" t="str">
        <x:v>V029已审计｜纯谱系／文明发明</x:v>
      </x:c>
    </x:row>
    <x:row r="1922" ht="52" customHeight="1">
      <x:c r="A1922" s="1704" t="str">
        <x:v>SHJ-18-033-1</x:v>
      </x:c>
      <x:c r="B1922" s="1704" t="str">
        <x:v>卷十八 《海內經》</x:v>
      </x:c>
      <x:c r="C1922" s="1704" t="str">
        <x:v>少皞生般，般是始爲弓矢。</x:v>
      </x:c>
      <x:c r="D1922" s="1704"/>
      <x:c r="E1922" s="1704"/>
      <x:c r="F1922" s="1704"/>
      <x:c r="G1922" s="1704" t="str">
        <x:v>标点与分段参考《山海经校注》；正文对读：https://ctext.org/shan-hai-jing/hai-nei-jing/zh</x:v>
      </x:c>
      <x:c r="H1922" s="1704" t="e">
        <x:f>HYPERLINK("#'山海经原文总库'!A3","↩ 返回目录")</x:f>
        <x:v>HYPERLINK is not implemented. linkLocation=#'山海经原文总库'!A3, friendlyName=↩ 返回目录</x:v>
      </x:c>
      <x:c r="I1922" s="1704" t="str">
        <x:v>否（非地图）</x:v>
      </x:c>
      <x:c r="J1922" s="1704" t="str">
        <x:v>V029分类C｜少皞—般谱系与弓矢起源。无地理关系，不落棋盘。</x:v>
      </x:c>
      <x:c r="K1922" s="1704" t="str">
        <x:v>V029已审计｜纯谱系／文明发明</x:v>
      </x:c>
    </x:row>
    <x:row r="1923" ht="52" customHeight="1">
      <x:c r="A1923" s="1704" t="str">
        <x:v>SHJ-18-034-1</x:v>
      </x:c>
      <x:c r="B1923" s="1704" t="str">
        <x:v>卷十八 《海內經》</x:v>
      </x:c>
      <x:c r="C1923" s="1704" t="str">
        <x:v>帝俊賜羿彤弓素矰，以扶下國，羿是始去恤下地之百艱。</x:v>
      </x:c>
      <x:c r="D1923" s="1704"/>
      <x:c r="E1923" s="1704"/>
      <x:c r="F1923" s="1704"/>
      <x:c r="G1923" s="1704" t="str">
        <x:v>标点与分段参考《山海经校注》；正文对读：https://ctext.org/shan-hai-jing/hai-nei-jing/zh</x:v>
      </x:c>
      <x:c r="H1923" s="1704" t="e">
        <x:f>HYPERLINK("#'山海经原文总库'!A3","↩ 返回目录")</x:f>
        <x:v>HYPERLINK is not implemented. linkLocation=#'山海经原文总库'!A3, friendlyName=↩ 返回目录</x:v>
      </x:c>
      <x:c r="I1923" s="1704" t="str">
        <x:v>否（非地图）</x:v>
      </x:c>
      <x:c r="J1923" s="1704" t="str">
        <x:v>V029分类D｜帝俊赐羿彤弓素矰、羿扶下国。“下国／下地”是泛称的下界人间，不是可落单点的地名。</x:v>
      </x:c>
      <x:c r="K1923" s="1704" t="str">
        <x:v>V029已审计｜无定点事件</x:v>
      </x:c>
    </x:row>
    <x:row r="1924" ht="52" customHeight="1">
      <x:c r="A1924" s="1704" t="str">
        <x:v>SHJ-18-035-1</x:v>
      </x:c>
      <x:c r="B1924" s="1704" t="str">
        <x:v>卷十八 《海內經》</x:v>
      </x:c>
      <x:c r="C1924" s="1704" t="str">
        <x:v>帝俊生晏龍，晏龍是爲琴瑟。</x:v>
      </x:c>
      <x:c r="D1924" s="1704"/>
      <x:c r="E1924" s="1704"/>
      <x:c r="F1924" s="1704"/>
      <x:c r="G1924" s="1704" t="str">
        <x:v>标点与分段参考《山海经校注》；正文对读：https://ctext.org/shan-hai-jing/hai-nei-jing/zh</x:v>
      </x:c>
      <x:c r="H1924" s="1704" t="e">
        <x:f>HYPERLINK("#'山海经原文总库'!A3","↩ 返回目录")</x:f>
        <x:v>HYPERLINK is not implemented. linkLocation=#'山海经原文总库'!A3, friendlyName=↩ 返回目录</x:v>
      </x:c>
      <x:c r="I1924" s="1704" t="str">
        <x:v>否（非地图）</x:v>
      </x:c>
      <x:c r="J1924" s="1704" t="str">
        <x:v>V029分类C｜帝俊—晏龙谱系与琴瑟起源。无地理关系，不落棋盘。</x:v>
      </x:c>
      <x:c r="K1924" s="1704" t="str">
        <x:v>V029已审计｜纯谱系／文明发明</x:v>
      </x:c>
    </x:row>
    <x:row r="1925" ht="52" customHeight="1">
      <x:c r="A1925" s="1704" t="str">
        <x:v>SHJ-18-036-1</x:v>
      </x:c>
      <x:c r="B1925" s="1704" t="str">
        <x:v>卷十八 《海內經》</x:v>
      </x:c>
      <x:c r="C1925" s="1704" t="str">
        <x:v>帝俊有子八人，是始爲歌舞。</x:v>
      </x:c>
      <x:c r="D1925" s="1704"/>
      <x:c r="E1925" s="1704"/>
      <x:c r="F1925" s="1704"/>
      <x:c r="G1925" s="1704" t="str">
        <x:v>标点与分段参考《山海经校注》；正文对读：https://ctext.org/shan-hai-jing/hai-nei-jing/zh</x:v>
      </x:c>
      <x:c r="H1925" s="1704" t="e">
        <x:f>HYPERLINK("#'山海经原文总库'!A3","↩ 返回目录")</x:f>
        <x:v>HYPERLINK is not implemented. linkLocation=#'山海经原文总库'!A3, friendlyName=↩ 返回目录</x:v>
      </x:c>
      <x:c r="I1925" s="1704" t="str">
        <x:v>否（非地图）</x:v>
      </x:c>
      <x:c r="J1925" s="1704" t="str">
        <x:v>V029分类C｜帝俊八子与歌舞起源。无人物姓名、地点和方向，不落棋盘。</x:v>
      </x:c>
      <x:c r="K1925" s="1704" t="str">
        <x:v>V029已审计｜纯谱系／文明发明</x:v>
      </x:c>
    </x:row>
    <x:row r="1926" ht="52" customHeight="1">
      <x:c r="A1926" s="1704" t="str">
        <x:v>SHJ-18-037-1</x:v>
      </x:c>
      <x:c r="B1926" s="1704" t="str">
        <x:v>卷十八 《海內經》</x:v>
      </x:c>
      <x:c r="C1926" s="1704" t="str">
        <x:v>帝俊生三身，三身生義均，義均是始爲巧倕，是始作下民百巧。后稷是播百穀。稷之孫曰叔均，始作牛耕。大比赤陰，是始爲國。禹鯀是始布土，均定九州。</x:v>
      </x:c>
      <x:c r="D1926" s="1704" t="str">
        <x:v>九州</x:v>
      </x:c>
      <x:c r="E1926" s="1704" t="str">
        <x:v>區域</x:v>
      </x:c>
      <x:c r="F1926" s="1704"/>
      <x:c r="G1926" s="1704" t="str">
        <x:v>标点与分段参考《山海经校注》；正文对读：https://ctext.org/shan-hai-jing/hai-nei-jing/zh</x:v>
      </x:c>
      <x:c r="H1926" s="1704" t="e">
        <x:f>HYPERLINK("#'山海经原文总库'!A3","↩ 返回目录")</x:f>
        <x:v>HYPERLINK is not implemented. linkLocation=#'山海经原文总库'!A3, friendlyName=↩ 返回目录</x:v>
      </x:c>
      <x:c r="I1926" s="1704" t="str">
        <x:v>部分关联（不落新点）</x:v>
      </x:c>
      <x:c r="J1926" s="1704" t="str">
        <x:v>V029分类M｜混合谱系与文明起源段：帝俊—三身—义均／巧倕—百巧；后稷播百谷；叔均始作牛耕；大比赤阴始为国；禹鲧布土定九州。R22、R129、R140仅作为后稷墓、叔均墓、都广生态的既有地理参照，不得把播谷、牛耕活动绑定到墓地。义均即巧倕的身份关系转接SHJ-18-024-6巧倕葬地，但葬地仍缺全局锚点。九州是广域秩序结果，不落单点。</x:v>
      </x:c>
      <x:c r="K1926" s="1704" t="str">
        <x:v>V029已审计｜混合谱系／广域概念</x:v>
      </x:c>
    </x:row>
    <x:row r="1927" ht="52" customHeight="1">
      <x:c r="A1927" s="1704" t="str">
        <x:v>SHJ-18-038-1</x:v>
      </x:c>
      <x:c r="B1927" s="1704" t="str">
        <x:v>卷十八 《海內經》</x:v>
      </x:c>
      <x:c r="C1927" s="1704" t="str">
        <x:v>炎帝之妻，赤水之子聽訞生炎居，炎居生節並，節並生戲器，戲器生祝融，祝融降處於江水，生共工，共工生術器，術器首方顛，是復土穰，以處江水。共工生后土，后土生噎鳴，噎鳴生歲十有二。</x:v>
      </x:c>
      <x:c r="D1927" s="1704" t="str">
        <x:v>赤水</x:v>
      </x:c>
      <x:c r="E1927" s="1704" t="str">
        <x:v>水系／水域</x:v>
      </x:c>
      <x:c r="F1927" s="1704"/>
      <x:c r="G1927" s="1704" t="str">
        <x:v>标点与分段参考《山海经校注》；正文对读：https://ctext.org/shan-hai-jing/hai-nei-jing/zh</x:v>
      </x:c>
      <x:c r="H1927" s="1704" t="e">
        <x:f>HYPERLINK("#'山海经原文总库'!A3","↩ 返回目录")</x:f>
        <x:v>HYPERLINK is not implemented. linkLocation=#'山海经原文总库'!A3, friendlyName=↩ 返回目录</x:v>
      </x:c>
      <x:c r="I1927" s="1704" t="str">
        <x:v>否（谱系为主）</x:v>
      </x:c>
      <x:c r="J1927" s="1704" t="str">
        <x:v>V030闭合分类｜炎帝—听訞—炎居—节并—戏器—祝融—共工—术器—后土—噎鸣为谱系链。“赤水之子”属于谱系称谓，不自动绑定任何现有赤水坐标；江水事件接口已由总表R194独立承接。</x:v>
      </x:c>
      <x:c r="K1927" s="1704" t="str">
        <x:v>V030闭合｜非地图谱系／接口已分离</x:v>
      </x:c>
    </x:row>
    <x:row r="1928" ht="52" customHeight="1">
      <x:c r="A1928" s="1704" t="str">
        <x:v>SHJ-18-038-2</x:v>
      </x:c>
      <x:c r="B1928" s="1704" t="str">
        <x:v>卷十八 《海內經》</x:v>
      </x:c>
      <x:c r="C1928" s="1704"/>
      <x:c r="D1928" s="1704" t="str">
        <x:v>江水</x:v>
      </x:c>
      <x:c r="E1928" s="1704" t="str">
        <x:v>水系／水域</x:v>
      </x:c>
      <x:c r="F1928" s="1704" t="e">
        <x:f>HYPERLINK("#'都广核心区总表'!B194","→ 查看条目")</x:f>
        <x:v>HYPERLINK is not implemented. linkLocation=#'都广核心区总表'!B194, friendlyName=→ 查看条目</x:v>
      </x:c>
      <x:c r="G1928" s="1704" t="str">
        <x:v>标点与分段参考《山海经校注》；正文对读：https://ctext.org/shan-hai-jing/hai-nei-jing/zh</x:v>
      </x:c>
      <x:c r="H1928" s="1704" t="e">
        <x:f>HYPERLINK("#'山海经原文总库'!A3","↩ 返回目录")</x:f>
        <x:v>HYPERLINK is not implemented. linkLocation=#'山海经原文总库'!A3, friendlyName=↩ 返回目录</x:v>
      </x:c>
      <x:c r="I1928" s="1704" t="str">
        <x:v>是（拓扑／接口）</x:v>
      </x:c>
      <x:c r="J1928" s="1704" t="str">
        <x:v>总表R194｜江水事件层；跨卷同名水系未合并</x:v>
      </x:c>
      <x:c r="K1928" s="1704" t="str">
        <x:v>V030闭合｜已建档</x:v>
      </x:c>
    </x:row>
    <x:row r="1929" ht="52" customHeight="1">
      <x:c r="A1929" s="1704" t="str">
        <x:v>SHJ-18-039-1</x:v>
      </x:c>
      <x:c r="B1929" s="1704" t="str">
        <x:v>卷十八 《海內經》</x:v>
      </x:c>
      <x:c r="C1929" s="1704" t="str">
        <x:v>洪水滔天。鯀竊帝之息壤以堙洪水，不待帝命。帝令祝融殺鯀於羽郊。鯀復生禹。帝乃命禹卒布土以定九州。</x:v>
      </x:c>
      <x:c r="D1929" s="1704" t="str">
        <x:v>羽郊</x:v>
      </x:c>
      <x:c r="E1929" s="1704" t="str">
        <x:v>地理名稱</x:v>
      </x:c>
      <x:c r="F1929" s="1704" t="e">
        <x:f>HYPERLINK("#'都广核心区总表'!B195","→ 查看条目")</x:f>
        <x:v>HYPERLINK is not implemented. linkLocation=#'都广核心区总表'!B195, friendlyName=→ 查看条目</x:v>
      </x:c>
      <x:c r="G1929" s="1704" t="str">
        <x:v>标点与分段参考《山海经校注》；正文对读：https://ctext.org/shan-hai-jing/hai-nei-jing/zh</x:v>
      </x:c>
      <x:c r="H1929" s="1704" t="e">
        <x:f>HYPERLINK("#'山海经原文总库'!A3","↩ 返回目录")</x:f>
        <x:v>HYPERLINK is not implemented. linkLocation=#'山海经原文总库'!A3, friendlyName=↩ 返回目录</x:v>
      </x:c>
      <x:c r="I1929" s="1704" t="str">
        <x:v>是（拓扑／接口）</x:v>
      </x:c>
      <x:c r="J1929" s="1704" t="str">
        <x:v>总表R195｜羽郊；未锚定事件地点</x:v>
      </x:c>
      <x:c r="K1929" s="1704" t="str">
        <x:v>V030闭合｜已建档</x:v>
      </x:c>
    </x:row>
    <x:row r="1930" ht="52" customHeight="1">
      <x:c r="A1930" s="1704" t="str">
        <x:v>SHJ-18-039-2</x:v>
      </x:c>
      <x:c r="B1930" s="1704" t="str">
        <x:v>卷十八 《海內經》</x:v>
      </x:c>
      <x:c r="C1930" s="1704"/>
      <x:c r="D1930" s="1704" t="str">
        <x:v>九州</x:v>
      </x:c>
      <x:c r="E1930" s="1704" t="str">
        <x:v>區域</x:v>
      </x:c>
      <x:c r="F1930" s="1704"/>
      <x:c r="G1930" s="1704" t="str">
        <x:v>标点与分段参考《山海经校注》；正文对读：https://ctext.org/shan-hai-jing/hai-nei-jing/zh</x:v>
      </x:c>
      <x:c r="H1930" s="1704" t="e">
        <x:f>HYPERLINK("#'山海经原文总库'!A3","↩ 返回目录")</x:f>
        <x:v>HYPERLINK is not implemented. linkLocation=#'山海经原文总库'!A3, friendlyName=↩ 返回目录</x:v>
      </x:c>
      <x:c r="I1930" s="1704" t="str">
        <x:v>否（广域概念）</x:v>
      </x:c>
      <x:c r="J1930" s="1704" t="str">
        <x:v>V029分类E｜九州是禹完成布土后的广域秩序与分区结果，不是单点、城市或一个100里区域。本项目不为“九州”建立单一主棋盘坐标。</x:v>
      </x:c>
      <x:c r="K1930" s="1704" t="str">
        <x:v>V029已审计｜广域概念／不落单点</x:v>
      </x:c>
    </x:row>
  </x:sheetData>
  <x:mergeCells>
    <x:mergeCell ref="A1:H1"/>
    <x:mergeCell ref="A2:H2"/>
    <x:mergeCell ref="A3:H3"/>
    <x:mergeCell ref="J5:J7"/>
    <x:mergeCell ref="J8:J18"/>
    <x:mergeCell ref="J20:J24"/>
    <x:mergeCell ref="J25:J27"/>
    <x:mergeCell ref="J28:J30"/>
    <x:mergeCell ref="J31:J33"/>
    <x:mergeCell ref="J34:J35"/>
    <x:mergeCell ref="J36:J38"/>
    <x:mergeCell ref="J39:J42"/>
    <x:mergeCell ref="J43:J45"/>
    <x:mergeCell ref="J46:J49"/>
    <x:mergeCell ref="K5:K7"/>
    <x:mergeCell ref="K8:K18"/>
    <x:mergeCell ref="K20:K24"/>
    <x:mergeCell ref="K25:K27"/>
    <x:mergeCell ref="K28:K30"/>
    <x:mergeCell ref="K31:K33"/>
    <x:mergeCell ref="K34:K35"/>
    <x:mergeCell ref="K36:K38"/>
    <x:mergeCell ref="K39:K42"/>
    <x:mergeCell ref="K43:K45"/>
    <x:mergeCell ref="K46:K49"/>
  </x:mergeCells>
  <x:pageMargins left="0.7" right="0.7" top="0.75" bottom="0.75" header="0.3" footer="0.3"/>
</x:worksheet>
</file>